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2135"/>
  </bookViews>
  <sheets>
    <sheet name="PROPOSTA RODO - CARGA COLETADA " sheetId="1" r:id="rId1"/>
    <sheet name="RELAÇÃO DE MUNICÍPIO" sheetId="2" r:id="rId2"/>
  </sheets>
  <definedNames>
    <definedName name="_xlnm._FilterDatabase" localSheetId="1" hidden="1">'RELAÇÃO DE MUNICÍPIO'!$A$1:$H$5592</definedName>
  </definedNames>
  <calcPr calcId="144525"/>
</workbook>
</file>

<file path=xl/sharedStrings.xml><?xml version="1.0" encoding="utf-8"?>
<sst xmlns="http://schemas.openxmlformats.org/spreadsheetml/2006/main" count="33986" uniqueCount="11096">
  <si>
    <t>PROPOSTA COMERCIAL</t>
  </si>
  <si>
    <t>Guarulhos, 11 de dezembro de 2025.</t>
  </si>
  <si>
    <t>Proposta vigente a partir da data da assinatura pelas partes.</t>
  </si>
  <si>
    <t>Origem: Curitiba/PR (interior 0).</t>
  </si>
  <si>
    <t>Em atenção à V.sas, apresentamos nossa proposta comercial de transporte de cargas na modalidade fracionada conforme discriminação abaixo:</t>
  </si>
  <si>
    <t xml:space="preserve">CLIENTE: </t>
  </si>
  <si>
    <t>CNPJ: 35593034000111</t>
  </si>
  <si>
    <t>Nº proposta (N.R):</t>
  </si>
  <si>
    <t>CONEXAO BR 277 MATERIAIS PARA CONSTRUCAO LTDA</t>
  </si>
  <si>
    <t>Insc. Est.: 9098913375</t>
  </si>
  <si>
    <t>/2025</t>
  </si>
  <si>
    <t xml:space="preserve">Att: </t>
  </si>
  <si>
    <t xml:space="preserve">Feito: Rebeca Barbosa </t>
  </si>
  <si>
    <t xml:space="preserve">E-mail: </t>
  </si>
  <si>
    <t xml:space="preserve">Atualizado: </t>
  </si>
  <si>
    <t>TABELA DE TRANSPORTE RODOVIÁRIO FRACIONADA</t>
  </si>
  <si>
    <t xml:space="preserve">REGIÃO </t>
  </si>
  <si>
    <t>UF</t>
  </si>
  <si>
    <t xml:space="preserve">DESTINO             </t>
  </si>
  <si>
    <t>FRETE PESO</t>
  </si>
  <si>
    <t>AD Valorem (%) - com valor minimo de R$ 5,66</t>
  </si>
  <si>
    <t>GRIS (%) - com valor minimo de R$ 2,50</t>
  </si>
  <si>
    <t>Taxa Portuária (kg) - com valor minimo de R$ 3,00</t>
  </si>
  <si>
    <t>Seguro Fluvial sobre a Nota Fiscal (%)</t>
  </si>
  <si>
    <t>Pedágio (Fração de 100 Kg)</t>
  </si>
  <si>
    <t>Taxa de Despacho</t>
  </si>
  <si>
    <t>TAS (Taxa Administração Sefaz)</t>
  </si>
  <si>
    <t xml:space="preserve">Prazo de entrega/    Dias úteis </t>
  </si>
  <si>
    <t>0,01 a 30 kg</t>
  </si>
  <si>
    <t xml:space="preserve">30,01 a 50 kg </t>
  </si>
  <si>
    <t>50,01 a 70 Kg</t>
  </si>
  <si>
    <t>70,01 a 100 kg</t>
  </si>
  <si>
    <t>PREÇO POR KG EXCEDENTE</t>
  </si>
  <si>
    <t>NORTE</t>
  </si>
  <si>
    <t>AC</t>
  </si>
  <si>
    <t>Rio Branco</t>
  </si>
  <si>
    <t>a</t>
  </si>
  <si>
    <t>Interior 0</t>
  </si>
  <si>
    <t>Interior 1</t>
  </si>
  <si>
    <t>Interior 2</t>
  </si>
  <si>
    <t>Interior 3</t>
  </si>
  <si>
    <t>AM</t>
  </si>
  <si>
    <t>Manaus</t>
  </si>
  <si>
    <t>Interior / Fluvial 1</t>
  </si>
  <si>
    <t>Interior / Fluvial 2</t>
  </si>
  <si>
    <t>Interior / Fluvial 3</t>
  </si>
  <si>
    <t>AP</t>
  </si>
  <si>
    <t>Macapá</t>
  </si>
  <si>
    <t>PA</t>
  </si>
  <si>
    <t>Belém</t>
  </si>
  <si>
    <t>Interior / Fluvial 0</t>
  </si>
  <si>
    <t>RO</t>
  </si>
  <si>
    <t>Porto Velho</t>
  </si>
  <si>
    <t>RR</t>
  </si>
  <si>
    <t>Boa Vista</t>
  </si>
  <si>
    <t>TO</t>
  </si>
  <si>
    <t xml:space="preserve">Palmas </t>
  </si>
  <si>
    <t>NORDESTE</t>
  </si>
  <si>
    <t>AL</t>
  </si>
  <si>
    <t>Maceió</t>
  </si>
  <si>
    <t>BA</t>
  </si>
  <si>
    <t>Salvador</t>
  </si>
  <si>
    <t>CE</t>
  </si>
  <si>
    <t>Fortaleza</t>
  </si>
  <si>
    <t>MA</t>
  </si>
  <si>
    <t xml:space="preserve">São Luís </t>
  </si>
  <si>
    <t>Sul do Maranhão 1</t>
  </si>
  <si>
    <t>Sul do Maranhão 2</t>
  </si>
  <si>
    <t>PB</t>
  </si>
  <si>
    <t>João Pessoa</t>
  </si>
  <si>
    <t>PE</t>
  </si>
  <si>
    <t>Recife</t>
  </si>
  <si>
    <t>PI</t>
  </si>
  <si>
    <t>Teresina</t>
  </si>
  <si>
    <t>interior 2</t>
  </si>
  <si>
    <t>RN</t>
  </si>
  <si>
    <t>Natal</t>
  </si>
  <si>
    <t>SE</t>
  </si>
  <si>
    <t>Aracaju</t>
  </si>
  <si>
    <t>SUDESTE</t>
  </si>
  <si>
    <t>ES</t>
  </si>
  <si>
    <t>Vitoria</t>
  </si>
  <si>
    <t>MG</t>
  </si>
  <si>
    <t xml:space="preserve">Belo Horizonte </t>
  </si>
  <si>
    <t>RJ</t>
  </si>
  <si>
    <t>Rio de Janeiro</t>
  </si>
  <si>
    <t>SP</t>
  </si>
  <si>
    <t>São Paulo</t>
  </si>
  <si>
    <t>SUL</t>
  </si>
  <si>
    <t>RS</t>
  </si>
  <si>
    <t>Porto Alegre</t>
  </si>
  <si>
    <t>SC</t>
  </si>
  <si>
    <t>Joinville</t>
  </si>
  <si>
    <t>CENTRO-OESTE</t>
  </si>
  <si>
    <t>DF</t>
  </si>
  <si>
    <t>Brasília</t>
  </si>
  <si>
    <t>Cidade Satélite</t>
  </si>
  <si>
    <t>GO</t>
  </si>
  <si>
    <t>Goiânia</t>
  </si>
  <si>
    <t>MS</t>
  </si>
  <si>
    <t>Campo Grande</t>
  </si>
  <si>
    <t>MT</t>
  </si>
  <si>
    <t xml:space="preserve">Cuiabá </t>
  </si>
  <si>
    <t>Obs.: Para cargas com produto químico e clientes que necessitam de logística, como triagem por nota fiscal, estado, região e separação por cnpj, deverá adicionar três dias nos prazos de entrega acima.</t>
  </si>
  <si>
    <t>Generalidades:</t>
  </si>
  <si>
    <t>ICMS:</t>
  </si>
  <si>
    <t>Conforme legislação vigente.</t>
  </si>
  <si>
    <t>Cubagem:</t>
  </si>
  <si>
    <t>300 Kg / m³.</t>
  </si>
  <si>
    <t xml:space="preserve">Produtos químicos:                                                          </t>
  </si>
  <si>
    <t xml:space="preserve">Será acrescentado 25% sobre a tarifa de frete peso.           </t>
  </si>
  <si>
    <t>Devolução:</t>
  </si>
  <si>
    <t xml:space="preserve">100% do frete. </t>
  </si>
  <si>
    <t>Reentrega:</t>
  </si>
  <si>
    <t>50% do frete original, com o valor mínimo de R$ 107,67 + impostos.</t>
  </si>
  <si>
    <t xml:space="preserve">Armazenagem para carga fracionada:                                                                                                          </t>
  </si>
  <si>
    <t>A partir de 3 dias úteis da chegada com tarifação de R$ 0,04 por kg/ dia, com o valor mínimo de R$182,45 + seguro de 0,22% fixo sobre o valor da nota fiscal.</t>
  </si>
  <si>
    <t xml:space="preserve">Paletização: </t>
  </si>
  <si>
    <t xml:space="preserve">Se exigido pelo cliente, R$ 58,09 por pallet + Impostos. </t>
  </si>
  <si>
    <t>Cobrança</t>
  </si>
  <si>
    <t>À vista ou faturado, que ocorrerá após análise de crédito.</t>
  </si>
  <si>
    <t>8.1</t>
  </si>
  <si>
    <t>Prazo de pagamento:</t>
  </si>
  <si>
    <t>22 dias após emissão de CTe (Rodoviário), no entanto para transporte acima de 10 toneladas, será necessário pagamento de 60% no ato da contratação.</t>
  </si>
  <si>
    <t>8.2</t>
  </si>
  <si>
    <t>Observação:</t>
  </si>
  <si>
    <t>Caso o cliente não receba a carga dentro do prazo de 3 dias após a chegada na filial de destino, a cobrança do frete será automática independente do problema que impeça a transportadora de concluir a entrega. Problemas como retenção Sefaz, pendências de Pin, agendamento ou quaisquer outro que seja de responsábilidade do cliente.</t>
  </si>
  <si>
    <t>8.3</t>
  </si>
  <si>
    <t>Cliente À vista:</t>
  </si>
  <si>
    <t>Pagamento mediante a emissão do conhecimento de transporte (Cte).</t>
  </si>
  <si>
    <t>8.4</t>
  </si>
  <si>
    <t>Crédito:</t>
  </si>
  <si>
    <t>Conforme cadastro e Serasa.</t>
  </si>
  <si>
    <t>8.5</t>
  </si>
  <si>
    <t>Faturas vencidas:</t>
  </si>
  <si>
    <t>Juros de 0,33% ao dia e 2% multa.</t>
  </si>
  <si>
    <t>TBB (Taxa de Boleto Bancário):</t>
  </si>
  <si>
    <t>R$ 4,03 por título (fatura fretes).</t>
  </si>
  <si>
    <t>TDC (Taxa de Devolução de Canhoto):</t>
  </si>
  <si>
    <t>R$ 3,36 por nota fiscal.</t>
  </si>
  <si>
    <t>Frete Cortesia:</t>
  </si>
  <si>
    <t>Somente mostruário para Representante Comercial, com autorização da Diretoria Comercial.</t>
  </si>
  <si>
    <t>11.1</t>
  </si>
  <si>
    <t>Frete Cortesia (Devolução):</t>
  </si>
  <si>
    <t>Somente com autorização da Diretoria Comercial.</t>
  </si>
  <si>
    <t>Indenizações:</t>
  </si>
  <si>
    <t>Será pago pelo valor declarado em NF, o pagamento ocorrerá ao contratante dos serviços, com o minimo de 60 dias após o início da regulação.</t>
  </si>
  <si>
    <t>12.1</t>
  </si>
  <si>
    <t>Avarias e Faltas:</t>
  </si>
  <si>
    <t>Pedidos de indenizações decorrentes de avarias ou faltas, somente serão aceitos com base no disposto na Lei 11.442, artigo nono, parágrafo único de 5 de janeiro de 2007, ou seja, quando registrados imediatamente no ato da entrega e na presença do representante legal da Transportadora. Será pago de acordo com o valor do produto em nota fiscal, com desconto do ICMS.</t>
  </si>
  <si>
    <r>
      <rPr>
        <b/>
        <sz val="18"/>
        <color rgb="FF1F2DA8"/>
        <rFont val="Calibri"/>
        <charset val="134"/>
      </rPr>
      <t xml:space="preserve">Taxa EMEX (Taxa de Emergência Excepcional):
</t>
    </r>
    <r>
      <rPr>
        <sz val="18"/>
        <color indexed="62"/>
        <rFont val="Calibri"/>
        <charset val="134"/>
      </rPr>
      <t>Valor cobrado para regiões que se encontram em estado de beligerância e enquanto a situação não se normalizar (conforme NTC).</t>
    </r>
  </si>
  <si>
    <t xml:space="preserve">Será cobrado 0,40% do valor da Nota Fiscal, com valor mínimo de R$ 33,00 para cargas com origem ou destino na Região Metropolitana (capital e Interior 0) do Rio de Janeiro.                              </t>
  </si>
  <si>
    <r>
      <rPr>
        <b/>
        <sz val="18"/>
        <color rgb="FF1F2DA8"/>
        <rFont val="Arial"/>
        <charset val="134"/>
      </rPr>
      <t xml:space="preserve">TDA (Taxa de Dificuldade de Acesso):  </t>
    </r>
    <r>
      <rPr>
        <sz val="18"/>
        <color indexed="62"/>
        <rFont val="Arial"/>
        <charset val="134"/>
      </rPr>
      <t>Cobrado quando o destino estiver localizado em endereço de difícil acesso, por exemplo: zonas rurais, fazendas, distritos, ilhas, praias, reservas ecologicas, povoados, endereços afastados da zona urbana... (Valores até 200 km de percuso percorrido, o excedente precisa ser avaliado).</t>
    </r>
  </si>
  <si>
    <t xml:space="preserve">1) 3/4          (De 0,001 a 3.500 kg) - R$1.200,00 e limitado a 8 pallets PBR.    
2) Toco       (De 3.500,01 a 7.000 kg)  - R$ 1.800,00 e limitado a 12 pallets PBR.  
3) Truck     (De 7.000,01 a 12.000 kg) - R$ 2.700,00 e limitado a 16 pallets PBR.    
4) Carreta  (De 12.000,01 a 25.000 kg)  - R$ 4.000,00 e limitado a 28 pallets PBR.      </t>
  </si>
  <si>
    <r>
      <rPr>
        <b/>
        <sz val="18"/>
        <color rgb="FF1F2DA8"/>
        <rFont val="Calibri"/>
        <charset val="134"/>
      </rPr>
      <t xml:space="preserve">TDE (Taxa de Dificuldade de Entrega):                     </t>
    </r>
    <r>
      <rPr>
        <sz val="18"/>
        <color indexed="62"/>
        <rFont val="Arial"/>
        <charset val="134"/>
      </rPr>
      <t xml:space="preserve">Recebimento precário, que gere longas filas e tempo excessivo na descarga; Exigência de separação de ítens no recebimento; Exigência de tripulação superior a do veículo para carga e descarga; Cargas com peso individual acima de 80kg's, Cargas destinadas à Hipermercados, Supermercado e Distribuidoras; </t>
    </r>
  </si>
  <si>
    <t xml:space="preserve">Será cobrado 20% sobre o valor do frete, com mínimo de R$ 350,00 e máximo de R$ 800,00.                                                       </t>
  </si>
  <si>
    <r>
      <rPr>
        <b/>
        <sz val="18"/>
        <color rgb="FF1F2DA8"/>
        <rFont val="Arial"/>
        <charset val="134"/>
      </rPr>
      <t xml:space="preserve">TCE (Taxa de Carro Exclusivo):                             </t>
    </r>
    <r>
      <rPr>
        <sz val="18"/>
        <color indexed="62"/>
        <rFont val="Arial"/>
        <charset val="134"/>
      </rPr>
      <t xml:space="preserve">            Cobrança para clientes que exigem entrega com carro exclusivo e/ou entrega com hora marcada; Coletas e Entregas em locais fora do horário comercial; Os valores serão cobrados por carro de acordo com a compatibilidade de peso e pallets.</t>
    </r>
  </si>
  <si>
    <t xml:space="preserve">1) 3/4          (De 0,001 a 3.500 kg) R$ 800,00 e limitado a 8 pallets PBR.           
2) Toco       (De 3.500,01 a 7.000 kg)  R$ 1.200,00 e limitado a 12 pallets PBR.               
3) Truck     (De 7.000,01 a 12.000 kg) R$ 1.800,00 e limitado a 16 pallets PBR.                   
4) Carreta  (De 12.000,01 a 25.000 kg)  R$ 2.942,09 e limitado a 28 pallets PBR.                                        </t>
  </si>
  <si>
    <t>16.1</t>
  </si>
  <si>
    <t>TCE PARA VOLUMES COM RESTRIÇÃO DE MEDIDAS:</t>
  </si>
  <si>
    <t>Para volumes a partir de 1,10Altura , 1,00Largura e 1,60 Comprimento e limitado a 650kg real deve ser analisado a existência do custo extra para realização de coleta ou entrega, com valor do item 16.</t>
  </si>
  <si>
    <t>Diária de carga fracionada:</t>
  </si>
  <si>
    <t>Será cobrado o mesmo valor do item 16, a partir da 2ª hora de permanência do local de entrega, exceto para entrega TCE (Taxa de Carro Exclusivo).</t>
  </si>
  <si>
    <t>Pernoite:</t>
  </si>
  <si>
    <t>Será cobrado o mesmo valor do item 14.</t>
  </si>
  <si>
    <r>
      <rPr>
        <b/>
        <sz val="18"/>
        <color rgb="FF1F2DA8"/>
        <rFont val="Calibri"/>
        <charset val="134"/>
      </rPr>
      <t xml:space="preserve">Serviço com Munk: </t>
    </r>
    <r>
      <rPr>
        <sz val="18"/>
        <color indexed="62"/>
        <rFont val="Arial"/>
        <charset val="134"/>
      </rPr>
      <t>Cobrado quando houver em um lote de carga algum volume com peso acima de 80 kg e o destinatário não tiver condições de descarregar, ou seja, não possuir empilhadeira, galpões com peso elevado ou com niveladoras de doca.</t>
    </r>
  </si>
  <si>
    <t>A negociar.</t>
  </si>
  <si>
    <t>TRT (Taxa de Restrição de Trânsito):</t>
  </si>
  <si>
    <t xml:space="preserve">Será cobrado 14,97% do frete total, com valor mínimo de R$ 35,67.                          </t>
  </si>
  <si>
    <t>TRF (Taxa Redespacho Fluvial):</t>
  </si>
  <si>
    <t>Para entregas nos interiores fluviais do Amazonas,será cobrado o valor por volume de R$ 25,00, por meio de cte complementar de frete. E para as cidades do Pará (Novo Progresso, Trairão, Distrito de Moraes de Almeida-Itaituba, Distrito Castelo dos Sonhos-Altamira, Distrito de Cripurizão-Itaituba, Jacareacanga, Alenquer, Juruti, Obidos, Monte Alegre, Mojuí dos Campos, Oriximiná, Itaituba, Porto Trombetas-Distrito de Oriximiná, Terra Santa, Vila Belo Monte, Vila Vitoria da Conquista, Vila Gelado, Pista de Ciex Tuere, Vila Divinopolis - distritos de Novo Repartimento), será cobrado o valor por volume de R$ 100,00, por meio de cte complementar de frete.</t>
  </si>
  <si>
    <t>TAG (Taxa de Agendamento):</t>
  </si>
  <si>
    <t>Será cobrado uma taxa de R$ 26,92 por conhecimento.</t>
  </si>
  <si>
    <t xml:space="preserve">Coleta: </t>
  </si>
  <si>
    <t>Será cobrado de acordo com o serviço prestado.</t>
  </si>
  <si>
    <t>23.1</t>
  </si>
  <si>
    <t>Horário de Corte de Coleta:</t>
  </si>
  <si>
    <t>Solicitada até as 17:00 horas será coletada no próximo dia útil. Caso seja solicitado para o mesmo dia, será considerada COLETA DEDICADA, com cobrança diferenciada (consultar valores).</t>
  </si>
  <si>
    <t>23.2</t>
  </si>
  <si>
    <t>Coleta/ Entrega aos Sábados:</t>
  </si>
  <si>
    <t xml:space="preserve">Adicional de 60% no frete, com mínimo de R$ 1.214,48.       </t>
  </si>
  <si>
    <t>23.3</t>
  </si>
  <si>
    <t>Coleta aos Domingos e Feriados:</t>
  </si>
  <si>
    <t xml:space="preserve">Adicional de 70% no frete, com mínimo de R$ 1.493,05.      </t>
  </si>
  <si>
    <r>
      <rPr>
        <b/>
        <sz val="18"/>
        <color rgb="FF1F2DA8"/>
        <rFont val="Calibri"/>
        <charset val="134"/>
        <scheme val="minor"/>
      </rPr>
      <t xml:space="preserve">Coleta e Redespacho em Área Portuária:
</t>
    </r>
    <r>
      <rPr>
        <sz val="18"/>
        <color indexed="62"/>
        <rFont val="Calibri"/>
        <charset val="134"/>
      </rPr>
      <t>Valor cobrado por conhecimento, quando a destinação  das cargas se der em áreas portuárias.</t>
    </r>
  </si>
  <si>
    <t>Será cobrado uma taxa de R$ 107,67 por conhecimento.</t>
  </si>
  <si>
    <t>23.4</t>
  </si>
  <si>
    <t>Coleta No-Show :</t>
  </si>
  <si>
    <t>Será cobrado o mesmo valor do item 16.</t>
  </si>
  <si>
    <t>Descarga :</t>
  </si>
  <si>
    <t>Empresa com mão de obra própria e que cobra a descarga do transportador, esse valor será cobrado do cliente com o adicional de 15% + impostos.</t>
  </si>
  <si>
    <t>Vigência:</t>
  </si>
  <si>
    <t xml:space="preserve">Proposta será cancelada caso não haja movimentação decorridos 90 dias. </t>
  </si>
  <si>
    <t>Reajuste:</t>
  </si>
  <si>
    <t>Semetral - Automático segundo INTC e NTC (Associação Nacional do Transporte de Cargas e Logística) acompanhando o item: 27</t>
  </si>
  <si>
    <t>TAC (Taxa de Acompanhamento de Combustível).</t>
  </si>
  <si>
    <t>Observação: 
          As taxas de TDA, TDE, TCE, TRF, TRT, Taxa EMEX e TAG serão emitidas no CTe de embarque e/ou CTe de emissão.
          Para emissão de CTe's Complementares  serão acrescidos os impostos conforme destinação.</t>
  </si>
  <si>
    <t>http://www.todobrasil.log.br/?navegar=site</t>
  </si>
  <si>
    <t>TRANSPORTADORA</t>
  </si>
  <si>
    <t>REGIÃO</t>
  </si>
  <si>
    <t>MUNICÍPIO</t>
  </si>
  <si>
    <t>CÓDIGO IBGE</t>
  </si>
  <si>
    <t>CEP MIN E CEP MAX</t>
  </si>
  <si>
    <t>CLASSIFICAÇÃO</t>
  </si>
  <si>
    <t>VOLTAR</t>
  </si>
  <si>
    <t>TODOBRASIL</t>
  </si>
  <si>
    <t>69900-001 a 69924-999</t>
  </si>
  <si>
    <t>CAPITAL</t>
  </si>
  <si>
    <t>Bujari</t>
  </si>
  <si>
    <t>69926-000 a 69926-999</t>
  </si>
  <si>
    <t>INTERIOR 0</t>
  </si>
  <si>
    <t>Senador Guiomard</t>
  </si>
  <si>
    <t>69925-000 a 69925-999</t>
  </si>
  <si>
    <t>Acrelândia</t>
  </si>
  <si>
    <t>69945-000 a 69949-999</t>
  </si>
  <si>
    <t>INTERIOR 1</t>
  </si>
  <si>
    <t>Capixaba</t>
  </si>
  <si>
    <t>69931-000 a 69931-999</t>
  </si>
  <si>
    <t>Epitaciolândia</t>
  </si>
  <si>
    <t>69934-000 a 69934-999</t>
  </si>
  <si>
    <t>Manoel Urbano</t>
  </si>
  <si>
    <t>69950-000 a 69954-999</t>
  </si>
  <si>
    <t>Plácido de Castro</t>
  </si>
  <si>
    <t>69928-000 a 69929-999</t>
  </si>
  <si>
    <t>Porto Acre</t>
  </si>
  <si>
    <t>69927-000 a 69927-999</t>
  </si>
  <si>
    <t>Sena Madureira</t>
  </si>
  <si>
    <t>69940-000 a 69944-999</t>
  </si>
  <si>
    <t>Xapuri</t>
  </si>
  <si>
    <t>69930-000 a 69930-999</t>
  </si>
  <si>
    <t>Assis Brasil</t>
  </si>
  <si>
    <t>69935-000 a 69939-999</t>
  </si>
  <si>
    <t>INTERIOR 2</t>
  </si>
  <si>
    <t>Brasiléia</t>
  </si>
  <si>
    <t>69932-000 a 69933-999</t>
  </si>
  <si>
    <t>Feijó</t>
  </si>
  <si>
    <t>69960-000 a 69969-999</t>
  </si>
  <si>
    <t>Santa Rosa do Purus</t>
  </si>
  <si>
    <t>69955-000 a 69959-999</t>
  </si>
  <si>
    <t>Tarauacá</t>
  </si>
  <si>
    <t>69970-000 a 69974-999</t>
  </si>
  <si>
    <t>Cruzeiro do Sul</t>
  </si>
  <si>
    <t>69980-000 a 69981-999</t>
  </si>
  <si>
    <t>INTERIOR 3</t>
  </si>
  <si>
    <t>Jordão</t>
  </si>
  <si>
    <t>69975-000 a 69979-999</t>
  </si>
  <si>
    <t>Marechal Thaumaturgo</t>
  </si>
  <si>
    <t>69983-000 a 69984-999</t>
  </si>
  <si>
    <t>Mâncio Lima</t>
  </si>
  <si>
    <t>69990-000 a 69999-999</t>
  </si>
  <si>
    <t>Porto Walter</t>
  </si>
  <si>
    <t>69982-000 a 69982-999</t>
  </si>
  <si>
    <t>Rodrigues Alves</t>
  </si>
  <si>
    <t>69985-000 a 69989-999</t>
  </si>
  <si>
    <t>57000-001 a 57099-999</t>
  </si>
  <si>
    <t>Barra de Santo Antônio</t>
  </si>
  <si>
    <t>57925-000 a 57929-999</t>
  </si>
  <si>
    <t>Barra de São Miguel</t>
  </si>
  <si>
    <t>57180-000 a 57199-999</t>
  </si>
  <si>
    <t>Coqueiro Seco</t>
  </si>
  <si>
    <t>57140-000 a 57149-999</t>
  </si>
  <si>
    <t>Marechal Deodoro</t>
  </si>
  <si>
    <t>57160-000 a 57179-999</t>
  </si>
  <si>
    <t>Messias</t>
  </si>
  <si>
    <t>57990-000 a 57994-999</t>
  </si>
  <si>
    <t>Paripueira</t>
  </si>
  <si>
    <t>57935-000 a 57939-999</t>
  </si>
  <si>
    <t>Pilar</t>
  </si>
  <si>
    <t>57150-000 a 57159-999</t>
  </si>
  <si>
    <t>Rio Largo</t>
  </si>
  <si>
    <t>57100-000 a 57119-999</t>
  </si>
  <si>
    <t>Santa Luzia do Norte</t>
  </si>
  <si>
    <t>57130-000 a 57139-999</t>
  </si>
  <si>
    <t>Satuba</t>
  </si>
  <si>
    <t>57120-000 a 57129-999</t>
  </si>
  <si>
    <t>Anadia</t>
  </si>
  <si>
    <t>57660-000 a 57669-999</t>
  </si>
  <si>
    <t>Atalaia</t>
  </si>
  <si>
    <t>57690-000 a 57699-999</t>
  </si>
  <si>
    <t>Boca da Mata</t>
  </si>
  <si>
    <t>57680-000 a 57689-999</t>
  </si>
  <si>
    <t>Branquinha</t>
  </si>
  <si>
    <t>57830-000 a 57839-999</t>
  </si>
  <si>
    <t>Cajueiro</t>
  </si>
  <si>
    <t>57770-000 a 57779-999</t>
  </si>
  <si>
    <t>Campo Alegre</t>
  </si>
  <si>
    <t>57250-000 a 57253-999</t>
  </si>
  <si>
    <t>Capela</t>
  </si>
  <si>
    <t>57780-000 a 57799-999</t>
  </si>
  <si>
    <t>Coruripe</t>
  </si>
  <si>
    <t>57230-000 a 57239-999</t>
  </si>
  <si>
    <t>Flexeiras</t>
  </si>
  <si>
    <t>57995-000 a 57999-999</t>
  </si>
  <si>
    <t>Jequiá da Praia</t>
  </si>
  <si>
    <t>57255-000 a 57256-999</t>
  </si>
  <si>
    <t>Joaquim Gomes</t>
  </si>
  <si>
    <t>57980-000 a 57989-999</t>
  </si>
  <si>
    <t>Maribondo</t>
  </si>
  <si>
    <t>57670-000 a 57679-999</t>
  </si>
  <si>
    <t>Matriz de Camaragibe</t>
  </si>
  <si>
    <t>57910-000 a 57919-999</t>
  </si>
  <si>
    <t>Murici</t>
  </si>
  <si>
    <t>57820-000 a 57829-999</t>
  </si>
  <si>
    <t>Novo Lino</t>
  </si>
  <si>
    <t>57970-000 a 57974-999</t>
  </si>
  <si>
    <t>Passo de Camaragibe</t>
  </si>
  <si>
    <t>57930-000 a 57934-999</t>
  </si>
  <si>
    <t>Pindoba</t>
  </si>
  <si>
    <t>57720-000 a 57729-999</t>
  </si>
  <si>
    <t>Roteiro</t>
  </si>
  <si>
    <t>57257-000 a 57259-999</t>
  </si>
  <si>
    <t>São José da Laje</t>
  </si>
  <si>
    <t>57860-000 a 57889-999</t>
  </si>
  <si>
    <t>São Luís do Quitunde</t>
  </si>
  <si>
    <t>57920-000 a 57924-999</t>
  </si>
  <si>
    <t>São Miguel dos Campos</t>
  </si>
  <si>
    <t>57240-001 a 57249-999</t>
  </si>
  <si>
    <t>São Miguel dos Milagres</t>
  </si>
  <si>
    <t>57940-000 a 57944-999</t>
  </si>
  <si>
    <t>União dos Palmares</t>
  </si>
  <si>
    <t>57800-000 a 57819-999</t>
  </si>
  <si>
    <t>Viçosa</t>
  </si>
  <si>
    <t>57700-000 a 57719-999</t>
  </si>
  <si>
    <t>Arapiraca</t>
  </si>
  <si>
    <t>57300-001 a 57319-999</t>
  </si>
  <si>
    <t>Batalha</t>
  </si>
  <si>
    <t>57420-000 a 57424-999</t>
  </si>
  <si>
    <t>57630-000 a 57634-999</t>
  </si>
  <si>
    <t>Cacimbinhas</t>
  </si>
  <si>
    <t>57570-000 a 57579-999</t>
  </si>
  <si>
    <t>Campestre</t>
  </si>
  <si>
    <t>57968-000 a 57969-999</t>
  </si>
  <si>
    <t>57350-000 a 57359-999</t>
  </si>
  <si>
    <t>Chã Preta</t>
  </si>
  <si>
    <t>57760-000 a 57769-999</t>
  </si>
  <si>
    <t>Coité do Nóia</t>
  </si>
  <si>
    <t>57325-000 a 57329-999</t>
  </si>
  <si>
    <t>Colônia Leopoldina</t>
  </si>
  <si>
    <t>57975-000 a 57979-999</t>
  </si>
  <si>
    <t>Craíbas</t>
  </si>
  <si>
    <t>57320-000 a 57324-999</t>
  </si>
  <si>
    <t>Dois Riachos</t>
  </si>
  <si>
    <t>57560-000 a 57569-999</t>
  </si>
  <si>
    <t>Estrela de Alagoas</t>
  </si>
  <si>
    <t>57625-000 a 57629-999</t>
  </si>
  <si>
    <t>Feira Grande</t>
  </si>
  <si>
    <t>57340-000 a 57349-999</t>
  </si>
  <si>
    <t>Feliz Deserto</t>
  </si>
  <si>
    <t>57220-000 a 57229-999</t>
  </si>
  <si>
    <t>Girau do Ponciano</t>
  </si>
  <si>
    <t>57360-000 a 57369-999</t>
  </si>
  <si>
    <t>Ibateguara</t>
  </si>
  <si>
    <t>57890-000 a 57899-999</t>
  </si>
  <si>
    <t>Igaci</t>
  </si>
  <si>
    <t>57620-000 a 57624-999</t>
  </si>
  <si>
    <t>Igreja Nova</t>
  </si>
  <si>
    <t>57280-000 a 57289-999</t>
  </si>
  <si>
    <t>Jacaré dos Homens</t>
  </si>
  <si>
    <t>57430-000 a 57434-999</t>
  </si>
  <si>
    <t>Jacuípe</t>
  </si>
  <si>
    <t>57960-000 a 57964-999</t>
  </si>
  <si>
    <t>Japaratinga</t>
  </si>
  <si>
    <t>57950-000 a 57954-999</t>
  </si>
  <si>
    <t>Jaramataia</t>
  </si>
  <si>
    <t>57425-000 a 57429-999</t>
  </si>
  <si>
    <t>Jundiá</t>
  </si>
  <si>
    <t>57965-000 a 57967-999</t>
  </si>
  <si>
    <t>Junqueiro</t>
  </si>
  <si>
    <t>57270-000 a 57274-999</t>
  </si>
  <si>
    <t>Lagoa da Canoa</t>
  </si>
  <si>
    <t>57330-000 a 57339-999</t>
  </si>
  <si>
    <t>Limoeiro de Anadia</t>
  </si>
  <si>
    <t>57260-000 a 57264-999</t>
  </si>
  <si>
    <t>Major Isidoro</t>
  </si>
  <si>
    <t>57580-000 a 57599-999</t>
  </si>
  <si>
    <t>Mar Vermelho</t>
  </si>
  <si>
    <t>57730-000 a 57739-999</t>
  </si>
  <si>
    <t>Maragogi</t>
  </si>
  <si>
    <t>57955-000 a 57959-999</t>
  </si>
  <si>
    <t>Maravilha</t>
  </si>
  <si>
    <t>57520-000 a 57524-999</t>
  </si>
  <si>
    <t>Minador do Negrão</t>
  </si>
  <si>
    <t>57615-000 a 57619-999</t>
  </si>
  <si>
    <t>Monteirópolis</t>
  </si>
  <si>
    <t>57440-000 a 57441-999</t>
  </si>
  <si>
    <t>Olho D'Água Grande</t>
  </si>
  <si>
    <t>57390-000 a 57399-999</t>
  </si>
  <si>
    <t>Olivença</t>
  </si>
  <si>
    <t>57550-000 a 57559-999</t>
  </si>
  <si>
    <t>Palmeira dos Índios</t>
  </si>
  <si>
    <t>57600-001 a 57614-999</t>
  </si>
  <si>
    <t>Paulo Jacinto</t>
  </si>
  <si>
    <t>57740-000 a 57749-999</t>
  </si>
  <si>
    <t>Penedo</t>
  </si>
  <si>
    <t>57200-000 a 57209-999</t>
  </si>
  <si>
    <t>Piaçabuçu</t>
  </si>
  <si>
    <t>57210-000 a 57219-999</t>
  </si>
  <si>
    <t>Porto Calvo</t>
  </si>
  <si>
    <t>57900-000 a 57909-999</t>
  </si>
  <si>
    <t>Porto de Pedras</t>
  </si>
  <si>
    <t>57945-000 a 57949-999</t>
  </si>
  <si>
    <t>Porto Real do Colégio</t>
  </si>
  <si>
    <t>57290-000 a 57299-999</t>
  </si>
  <si>
    <t>Quebrangulo</t>
  </si>
  <si>
    <t>57750-000 a 57759-999</t>
  </si>
  <si>
    <t>Santana do Mundaú</t>
  </si>
  <si>
    <t>57840-000 a 57859-999</t>
  </si>
  <si>
    <t>São Sebastião</t>
  </si>
  <si>
    <t>57275-000 a 57279-999</t>
  </si>
  <si>
    <t>Tanque D'Arca</t>
  </si>
  <si>
    <t>57635-000 a 57639-999</t>
  </si>
  <si>
    <t>Taquarana</t>
  </si>
  <si>
    <t>57640-000 a 57659-999</t>
  </si>
  <si>
    <t>Teotônio Vilela</t>
  </si>
  <si>
    <t>57265-000 a 57269-999</t>
  </si>
  <si>
    <t>Traipu</t>
  </si>
  <si>
    <t>57370-000 a 57379-999</t>
  </si>
  <si>
    <t>Belo Monte</t>
  </si>
  <si>
    <t>57435-000 a 57439-999</t>
  </si>
  <si>
    <t>Canapi</t>
  </si>
  <si>
    <t>57530-000 a 57534-999</t>
  </si>
  <si>
    <t>Carneiros</t>
  </si>
  <si>
    <t>57535-000 a 57539-999</t>
  </si>
  <si>
    <t>Delmiro Gouveia</t>
  </si>
  <si>
    <t>57480-000 a 57489-999</t>
  </si>
  <si>
    <t>Inhapi</t>
  </si>
  <si>
    <t>57545-000 a 57549-999</t>
  </si>
  <si>
    <t>Mata Grande</t>
  </si>
  <si>
    <t>57540-000 a 57544-999</t>
  </si>
  <si>
    <t>Olho D'Água das Flores</t>
  </si>
  <si>
    <t>57442-000 a 57444-999</t>
  </si>
  <si>
    <t>Olho D'Água do Casado</t>
  </si>
  <si>
    <t>57470-000 a 57474-999</t>
  </si>
  <si>
    <t>Ouro Branco</t>
  </si>
  <si>
    <t>57525-000 a 57529-999</t>
  </si>
  <si>
    <t>Palestina</t>
  </si>
  <si>
    <t>57410-000 a 57419-999</t>
  </si>
  <si>
    <t>Pariconha</t>
  </si>
  <si>
    <t>57475-000 a 57479-999</t>
  </si>
  <si>
    <t>Piranhas</t>
  </si>
  <si>
    <t>57460-000 a 57469-999</t>
  </si>
  <si>
    <t>Poço das Trincheiras</t>
  </si>
  <si>
    <t>57510-000 a 57514-999</t>
  </si>
  <si>
    <t>Pão de Açúcar</t>
  </si>
  <si>
    <t>57400-000 a 57409-999</t>
  </si>
  <si>
    <t>Santana do Ipanema</t>
  </si>
  <si>
    <t>57500-000 a 57509-999</t>
  </si>
  <si>
    <t>Senador Rui Palmeira</t>
  </si>
  <si>
    <t>57515-000 a 57519-999</t>
  </si>
  <si>
    <t>São Brás</t>
  </si>
  <si>
    <t>57380-000 a 57389-999</t>
  </si>
  <si>
    <t>São José da Tapera</t>
  </si>
  <si>
    <t>57445-000 a 57459-999</t>
  </si>
  <si>
    <t>Água Branca</t>
  </si>
  <si>
    <t>57490-000 a 57499-999</t>
  </si>
  <si>
    <t>69000-001 a 69099-999</t>
  </si>
  <si>
    <t>Alvarães</t>
  </si>
  <si>
    <t>69540-000 a 69549-999</t>
  </si>
  <si>
    <t>FLUVIAL 1</t>
  </si>
  <si>
    <t>Anamã</t>
  </si>
  <si>
    <t>69445-000 a 69449-999</t>
  </si>
  <si>
    <t>Anori</t>
  </si>
  <si>
    <t>69440-000 a 69444-999</t>
  </si>
  <si>
    <t>Autazes</t>
  </si>
  <si>
    <t>69240-000 a 69249-999</t>
  </si>
  <si>
    <t>Barcelos</t>
  </si>
  <si>
    <t>69700-000 a 69729-999</t>
  </si>
  <si>
    <t>Barreirinha</t>
  </si>
  <si>
    <t>69160-000 a 69179-999</t>
  </si>
  <si>
    <t>Beruri</t>
  </si>
  <si>
    <t>69430-000 a 69434-999</t>
  </si>
  <si>
    <t>Boa Vista do Ramos</t>
  </si>
  <si>
    <t>69195-000 a 69199-999</t>
  </si>
  <si>
    <t>Borba</t>
  </si>
  <si>
    <t>69200-000 a 69229-999</t>
  </si>
  <si>
    <t>Caapiranga</t>
  </si>
  <si>
    <t>69425-000 a 69429-999</t>
  </si>
  <si>
    <t>Careiro</t>
  </si>
  <si>
    <t>69250-000 a 69254-999</t>
  </si>
  <si>
    <t>Careiro da Várzea</t>
  </si>
  <si>
    <t>69255-000 a 69259-999</t>
  </si>
  <si>
    <t>Coari</t>
  </si>
  <si>
    <t>69460-000 a 69469-999</t>
  </si>
  <si>
    <t>Codajás</t>
  </si>
  <si>
    <t>69450-000 a 69459-999</t>
  </si>
  <si>
    <t>Fonte Boa</t>
  </si>
  <si>
    <t>69670-000 a 69679-999</t>
  </si>
  <si>
    <t>Humaitá</t>
  </si>
  <si>
    <t>69800-000 a 69819-999</t>
  </si>
  <si>
    <t>Itapiranga</t>
  </si>
  <si>
    <t>69120-000 a 69129-999</t>
  </si>
  <si>
    <t>Japurá</t>
  </si>
  <si>
    <t>69495-000 a 69499-999</t>
  </si>
  <si>
    <t>Juruá</t>
  </si>
  <si>
    <t>69520-000 a 69529-999</t>
  </si>
  <si>
    <t>Jutaí</t>
  </si>
  <si>
    <t>69660-000 a 69669-999</t>
  </si>
  <si>
    <t>Lábrea</t>
  </si>
  <si>
    <t>69830-000 a 69849-999</t>
  </si>
  <si>
    <t>Manaquiri</t>
  </si>
  <si>
    <t>69435-000 a 69439-999</t>
  </si>
  <si>
    <t>Manicoré</t>
  </si>
  <si>
    <t>69280-000 a 69299-999</t>
  </si>
  <si>
    <t>Maraã</t>
  </si>
  <si>
    <t>69490-000 a 69494-999</t>
  </si>
  <si>
    <t>Maués</t>
  </si>
  <si>
    <t>69190-000 a 69194-999</t>
  </si>
  <si>
    <t>Nhamundá</t>
  </si>
  <si>
    <t>69140-000 a 69149-999</t>
  </si>
  <si>
    <t>Nova Olinda do Norte</t>
  </si>
  <si>
    <t>69230-000 a 69239-999</t>
  </si>
  <si>
    <t>Novo Aripuanã</t>
  </si>
  <si>
    <t>69260-000 a 69264-999</t>
  </si>
  <si>
    <t>Parintins</t>
  </si>
  <si>
    <t>69150-001 a 69159-999</t>
  </si>
  <si>
    <t>Santa Isabel do Rio Negro</t>
  </si>
  <si>
    <t>69740-000 a 69749-999</t>
  </si>
  <si>
    <t>São Gabriel da Cachoeira</t>
  </si>
  <si>
    <t>69750-000 a 69799-999</t>
  </si>
  <si>
    <t>São Sebastião do Uatumã</t>
  </si>
  <si>
    <t>69135-000 a 69139-999</t>
  </si>
  <si>
    <t>Tapauá</t>
  </si>
  <si>
    <t>69480-000 a 69484-999</t>
  </si>
  <si>
    <t>Tefé</t>
  </si>
  <si>
    <t>69550-001 a 69559-999</t>
  </si>
  <si>
    <t>Uarini</t>
  </si>
  <si>
    <t>69530-000 a 69539-999</t>
  </si>
  <si>
    <t>Urucará</t>
  </si>
  <si>
    <t>69130-000 a 69134-999</t>
  </si>
  <si>
    <t>Urucurituba</t>
  </si>
  <si>
    <t>69180-000 a 69189-999</t>
  </si>
  <si>
    <t>Amaturá</t>
  </si>
  <si>
    <t>69620-000 a 69629-999</t>
  </si>
  <si>
    <t>FLUVIAL 2</t>
  </si>
  <si>
    <t>Atalaia do Norte</t>
  </si>
  <si>
    <t>69650-000 a 69659-999</t>
  </si>
  <si>
    <t>Benjamin Constant</t>
  </si>
  <si>
    <t>69630-000 a 69639-999</t>
  </si>
  <si>
    <t>Canutama</t>
  </si>
  <si>
    <t>69820-000 a 69829-999</t>
  </si>
  <si>
    <t>Carauari</t>
  </si>
  <si>
    <t>69500-000 a 69509-999</t>
  </si>
  <si>
    <t>Itamarati</t>
  </si>
  <si>
    <t>69510-000 a 69519-999</t>
  </si>
  <si>
    <t>Santo Antônio do Içá</t>
  </si>
  <si>
    <t>69680-000 a 69684-999</t>
  </si>
  <si>
    <t>São Paulo de Olivença</t>
  </si>
  <si>
    <t>69600-000 a 69619-999</t>
  </si>
  <si>
    <t>Tabatinga</t>
  </si>
  <si>
    <t>69640-000 a 69649-999</t>
  </si>
  <si>
    <t>Tonantins</t>
  </si>
  <si>
    <t>69685-000 a 69699-999</t>
  </si>
  <si>
    <t>Boca do Acre</t>
  </si>
  <si>
    <t>69850-000 a 69859-999</t>
  </si>
  <si>
    <t>FLUVIAL 3</t>
  </si>
  <si>
    <t>Eirunepé</t>
  </si>
  <si>
    <t>69880-000 a 69889-999</t>
  </si>
  <si>
    <t>Envira</t>
  </si>
  <si>
    <t>69870-000 a 69879-999</t>
  </si>
  <si>
    <t>Guajará</t>
  </si>
  <si>
    <t>69895-000 a 69899-999</t>
  </si>
  <si>
    <t>Ipixuna</t>
  </si>
  <si>
    <t>69890-000 a 69894-999</t>
  </si>
  <si>
    <t>Pauini</t>
  </si>
  <si>
    <t>69860-000 a 69869-999</t>
  </si>
  <si>
    <t>Iranduba</t>
  </si>
  <si>
    <t>69415-000 a 69424-999</t>
  </si>
  <si>
    <t>Manacapuru</t>
  </si>
  <si>
    <t>69400-001 a 69414-999</t>
  </si>
  <si>
    <t>Presidente Figueiredo</t>
  </si>
  <si>
    <t>69735-000 a 69739-999</t>
  </si>
  <si>
    <t>Rio Preto da Eva</t>
  </si>
  <si>
    <t>69117-000 a 69119-999</t>
  </si>
  <si>
    <t>Novo Airão</t>
  </si>
  <si>
    <t>69730-000 a 69734-999</t>
  </si>
  <si>
    <t>Apuí</t>
  </si>
  <si>
    <t>69265-000 a 69279-999</t>
  </si>
  <si>
    <t>Itacoatiara</t>
  </si>
  <si>
    <t>69100-001 a 69113-999</t>
  </si>
  <si>
    <t>Silves</t>
  </si>
  <si>
    <t>69114-000 a 69116-999</t>
  </si>
  <si>
    <t>68900-001 a 68914-999</t>
  </si>
  <si>
    <t>Mazagão</t>
  </si>
  <si>
    <t>68940-000 a 68944-999</t>
  </si>
  <si>
    <t>Santana</t>
  </si>
  <si>
    <t>68925-001 a 68939-999</t>
  </si>
  <si>
    <t>Itaubal</t>
  </si>
  <si>
    <t>68976-000 a 68979-999</t>
  </si>
  <si>
    <t>Porto Grande</t>
  </si>
  <si>
    <t>68997-000 a 68999-999</t>
  </si>
  <si>
    <t>Amapá</t>
  </si>
  <si>
    <t>68950-000 a 68959-999</t>
  </si>
  <si>
    <t>Cutias</t>
  </si>
  <si>
    <t>68973-000 a 68975-999</t>
  </si>
  <si>
    <t>Ferreira Gomes</t>
  </si>
  <si>
    <t>68915-000 a 68917-999</t>
  </si>
  <si>
    <t>Pedra Branca do Amapari</t>
  </si>
  <si>
    <t>68945-000 a 68947-999</t>
  </si>
  <si>
    <t>Serra do Navio</t>
  </si>
  <si>
    <t>68948-000 a 68949-999</t>
  </si>
  <si>
    <t>Calçoene</t>
  </si>
  <si>
    <t>68960-000 a 68972-999</t>
  </si>
  <si>
    <t>Laranjal do Jari</t>
  </si>
  <si>
    <t>68920-000 a 68923-999</t>
  </si>
  <si>
    <t>Oiapoque</t>
  </si>
  <si>
    <t>68980-000 a 68989-999</t>
  </si>
  <si>
    <t>Pracuúba</t>
  </si>
  <si>
    <t>68918-000 a 68919-999</t>
  </si>
  <si>
    <t>Tartarugalzinho</t>
  </si>
  <si>
    <t>68990-000 a 68996-999</t>
  </si>
  <si>
    <t>Vitória do Jari</t>
  </si>
  <si>
    <t>68924-000 a 68924-999</t>
  </si>
  <si>
    <t>40000-001 a 42599-999</t>
  </si>
  <si>
    <t>Camaçari</t>
  </si>
  <si>
    <t>42800-001 a 42849-999</t>
  </si>
  <si>
    <t>Candeias</t>
  </si>
  <si>
    <t>43800-001 a 43849-999</t>
  </si>
  <si>
    <t>Dias D'Ávila</t>
  </si>
  <si>
    <t>42850-000 a 43699-999</t>
  </si>
  <si>
    <t>Lauro de Freitas</t>
  </si>
  <si>
    <t>42700-000 a 42799-999</t>
  </si>
  <si>
    <t>Simões Filho</t>
  </si>
  <si>
    <t>43700-000 a 43799-999</t>
  </si>
  <si>
    <t>Acajutiba</t>
  </si>
  <si>
    <t>48360-000 a 48369-999</t>
  </si>
  <si>
    <t>Alagoinhas</t>
  </si>
  <si>
    <t>48000-001 a 48107-999</t>
  </si>
  <si>
    <t>Amargosa</t>
  </si>
  <si>
    <t>45300-000 a 45304-999</t>
  </si>
  <si>
    <t>Amélia Rodrigues</t>
  </si>
  <si>
    <t>44230-000 a 44244-999</t>
  </si>
  <si>
    <t>Anguera</t>
  </si>
  <si>
    <t>44670-000 a 44679-999</t>
  </si>
  <si>
    <t>Antônio Cardoso</t>
  </si>
  <si>
    <t>44180-000 a 44189-999</t>
  </si>
  <si>
    <t>Aporá</t>
  </si>
  <si>
    <t>48350-000 a 48359-999</t>
  </si>
  <si>
    <t>Araci</t>
  </si>
  <si>
    <t>48760-000 a 48769-999</t>
  </si>
  <si>
    <t>Aramari</t>
  </si>
  <si>
    <t>48130-000 a 48139-999</t>
  </si>
  <si>
    <t>Aratuípe</t>
  </si>
  <si>
    <t>44490-000 a 44499-999</t>
  </si>
  <si>
    <t>Araçás</t>
  </si>
  <si>
    <t>48108-000 a 48109-999</t>
  </si>
  <si>
    <t>Baixa Grande</t>
  </si>
  <si>
    <t>44620-000 a 44629-999</t>
  </si>
  <si>
    <t>Barrocas</t>
  </si>
  <si>
    <t>48705-000 a 48709-999</t>
  </si>
  <si>
    <t>Biritinga</t>
  </si>
  <si>
    <t>48780-000 a 48789-999</t>
  </si>
  <si>
    <t>Brejões</t>
  </si>
  <si>
    <t>45325-000 a 45329-999</t>
  </si>
  <si>
    <t>Cabaceiras do Paraguaçu</t>
  </si>
  <si>
    <t>44345-000 a 44349-999</t>
  </si>
  <si>
    <t>Cachoeira</t>
  </si>
  <si>
    <t>44300-000 a 44319-999</t>
  </si>
  <si>
    <t>Cairu</t>
  </si>
  <si>
    <t>45420-000 a 45429-999</t>
  </si>
  <si>
    <t>Camamu</t>
  </si>
  <si>
    <t>45445-000 a 45449-999</t>
  </si>
  <si>
    <t>Candeal</t>
  </si>
  <si>
    <t>48710-000 a 48719-999</t>
  </si>
  <si>
    <t>Capela do Alto Alegre</t>
  </si>
  <si>
    <t>44645-000 a 44649-999</t>
  </si>
  <si>
    <t>Capim Grosso</t>
  </si>
  <si>
    <t>44695-000 a 44697-999</t>
  </si>
  <si>
    <t>Cardeal da Silva</t>
  </si>
  <si>
    <t>48390-000 a 48399-999</t>
  </si>
  <si>
    <t>Castro Alves</t>
  </si>
  <si>
    <t>44500-000 a 44519-999</t>
  </si>
  <si>
    <t>Catu</t>
  </si>
  <si>
    <t>48110-000 a 48119-999</t>
  </si>
  <si>
    <t>Cipó</t>
  </si>
  <si>
    <t>48450-000 a 48454-999</t>
  </si>
  <si>
    <t>Conceição da Feira</t>
  </si>
  <si>
    <t>44320-000 a 44329-999</t>
  </si>
  <si>
    <t>Conceição do Almeida</t>
  </si>
  <si>
    <t>44540-000 a 44549-999</t>
  </si>
  <si>
    <t>Conceição do Coité</t>
  </si>
  <si>
    <t>48730-000 a 48749-999</t>
  </si>
  <si>
    <t>Conceição do Jacuípe</t>
  </si>
  <si>
    <t>44245-000 a 44249-999</t>
  </si>
  <si>
    <t>Conde</t>
  </si>
  <si>
    <t>48300-000 a 48309-999</t>
  </si>
  <si>
    <t>Coração de Maria</t>
  </si>
  <si>
    <t>44250-000 a 44254-999</t>
  </si>
  <si>
    <t>Cravolândia</t>
  </si>
  <si>
    <t>45330-000 a 45339-999</t>
  </si>
  <si>
    <t>Crisópolis</t>
  </si>
  <si>
    <t>48480-000 a 48484-999</t>
  </si>
  <si>
    <t>Cruz das Almas</t>
  </si>
  <si>
    <t>44380-000 a 44399-999</t>
  </si>
  <si>
    <t>Cícero Dantas</t>
  </si>
  <si>
    <t>48410-000 a 48414-999</t>
  </si>
  <si>
    <t>Dom Macedo Costa</t>
  </si>
  <si>
    <t>44560-000 a 44564-999</t>
  </si>
  <si>
    <t>Elísio Medrado</t>
  </si>
  <si>
    <t>45305-000 a 45309-999</t>
  </si>
  <si>
    <t>Entre Rios</t>
  </si>
  <si>
    <t>48180-000 a 48279-999</t>
  </si>
  <si>
    <t>Esplanada</t>
  </si>
  <si>
    <t>48370-000 a 48389-999</t>
  </si>
  <si>
    <t>Feira de Santana</t>
  </si>
  <si>
    <t>44000-001 a 44149-999</t>
  </si>
  <si>
    <t>Gandu</t>
  </si>
  <si>
    <t>45450-000 a 45451-999</t>
  </si>
  <si>
    <t>Gavião</t>
  </si>
  <si>
    <t>44650-000 a 44654-999</t>
  </si>
  <si>
    <t>Governador Mangabeira</t>
  </si>
  <si>
    <t>44350-000 a 44359-999</t>
  </si>
  <si>
    <t>Guarajuba (Camaçari)</t>
  </si>
  <si>
    <t>47400-000 a 47439-999</t>
  </si>
  <si>
    <t>Iaçu</t>
  </si>
  <si>
    <t>46860-000 a 46874-999</t>
  </si>
  <si>
    <t>Ichu</t>
  </si>
  <si>
    <t>48725-000 a 48729-999</t>
  </si>
  <si>
    <t>Igrapiúna</t>
  </si>
  <si>
    <t>45443-000 a 45444-999</t>
  </si>
  <si>
    <t>Inhambupe</t>
  </si>
  <si>
    <t>48490-000 a 48499-999</t>
  </si>
  <si>
    <t>Ipecaetá</t>
  </si>
  <si>
    <t>44680-000 a 44689-999</t>
  </si>
  <si>
    <t>Ipirá</t>
  </si>
  <si>
    <t>44600-000 a 44609-999</t>
  </si>
  <si>
    <t>Irajuba</t>
  </si>
  <si>
    <t>45370-000 a 45374-999</t>
  </si>
  <si>
    <t>Irará</t>
  </si>
  <si>
    <t>44255-000 a 44259-999</t>
  </si>
  <si>
    <t>Itaberaba</t>
  </si>
  <si>
    <t>46880-000 a 46899-999</t>
  </si>
  <si>
    <t>Itacaré</t>
  </si>
  <si>
    <t>45530-000 a 45539-999</t>
  </si>
  <si>
    <t>Itanagra</t>
  </si>
  <si>
    <t>48290-000 a 48299-999</t>
  </si>
  <si>
    <t>Itaparica</t>
  </si>
  <si>
    <t>44460-000 a 44469-999</t>
  </si>
  <si>
    <t>Itapicuru</t>
  </si>
  <si>
    <t>48475-000 a 48479-999</t>
  </si>
  <si>
    <t>Itatim</t>
  </si>
  <si>
    <t>46875-000 a 46879-999</t>
  </si>
  <si>
    <t>Ituberá</t>
  </si>
  <si>
    <t>45435-000 a 45435-999</t>
  </si>
  <si>
    <t>Jaguaripe</t>
  </si>
  <si>
    <t>44480-000 a 44489-999</t>
  </si>
  <si>
    <t>Jandaíra</t>
  </si>
  <si>
    <t>48310-000 a 48329-999</t>
  </si>
  <si>
    <t>Jiquiriçá</t>
  </si>
  <si>
    <t>45470-000 a 45479-999</t>
  </si>
  <si>
    <t>Laje</t>
  </si>
  <si>
    <t>45490-000 a 45499-999</t>
  </si>
  <si>
    <t>Lamarão</t>
  </si>
  <si>
    <t>48720-000 a 48724-999</t>
  </si>
  <si>
    <t>Macajuba</t>
  </si>
  <si>
    <t>46805-000 a 46809-999</t>
  </si>
  <si>
    <t>Madre de Deus</t>
  </si>
  <si>
    <t>42600-000 a 42699-999</t>
  </si>
  <si>
    <t>Mairi</t>
  </si>
  <si>
    <t>44630-000 a 44634-999</t>
  </si>
  <si>
    <t>Maragogipe</t>
  </si>
  <si>
    <t>44420-000 a 44449-999</t>
  </si>
  <si>
    <t>Maraú</t>
  </si>
  <si>
    <t>45520-000 a 45529-999</t>
  </si>
  <si>
    <t>Mata de São João</t>
  </si>
  <si>
    <t>48280-000 a 48289-999</t>
  </si>
  <si>
    <t>Milagres</t>
  </si>
  <si>
    <t>45315-000 a 45319-999</t>
  </si>
  <si>
    <t>Mundo Novo</t>
  </si>
  <si>
    <t>44800-000 a 44829-999</t>
  </si>
  <si>
    <t>Muniz Ferreira</t>
  </si>
  <si>
    <t>44575-000 a 44579-999</t>
  </si>
  <si>
    <t>Muritiba</t>
  </si>
  <si>
    <t>44340-000 a 44344-999</t>
  </si>
  <si>
    <t>Mutuípe</t>
  </si>
  <si>
    <t>45480-000 a 45489-999</t>
  </si>
  <si>
    <t>Nazaré</t>
  </si>
  <si>
    <t>44400-000 a 44419-999</t>
  </si>
  <si>
    <t>Nilo Peçanha</t>
  </si>
  <si>
    <t>45440-000 a 45442-999</t>
  </si>
  <si>
    <t>Nova Fátima</t>
  </si>
  <si>
    <t>44642-000 a 44644-999</t>
  </si>
  <si>
    <t>Nova Ibiá</t>
  </si>
  <si>
    <t>45452-000 a 45454-999</t>
  </si>
  <si>
    <t>Nova Itarana</t>
  </si>
  <si>
    <t>45390-000 a 45399-999</t>
  </si>
  <si>
    <t>Nova Soure</t>
  </si>
  <si>
    <t>48460-000 a 48469-999</t>
  </si>
  <si>
    <t>Olindina</t>
  </si>
  <si>
    <t>48470-000 a 48474-999</t>
  </si>
  <si>
    <t>Ouriçangas</t>
  </si>
  <si>
    <t>48150-000 a 48169-999</t>
  </si>
  <si>
    <t>Pedrão</t>
  </si>
  <si>
    <t>48140-000 a 48149-999</t>
  </si>
  <si>
    <t>Pintadas</t>
  </si>
  <si>
    <t>44610-000 a 44619-999</t>
  </si>
  <si>
    <t>Piraí do Norte</t>
  </si>
  <si>
    <t>45436-000 a 45439-999</t>
  </si>
  <si>
    <t>Planaltino</t>
  </si>
  <si>
    <t>45375-000 a 45389-999</t>
  </si>
  <si>
    <t>Pojuca</t>
  </si>
  <si>
    <t>48120-000 a 48129-999</t>
  </si>
  <si>
    <t>Presidente Tancredo Neves</t>
  </si>
  <si>
    <t>45416-000 a 45419-999</t>
  </si>
  <si>
    <t>Pé de Serra</t>
  </si>
  <si>
    <t>44655-000 a 44659-999</t>
  </si>
  <si>
    <t>Queimadas</t>
  </si>
  <si>
    <t>48860-000 a 48869-999</t>
  </si>
  <si>
    <t>Quixabeira</t>
  </si>
  <si>
    <t>44713-000 a 44714-999</t>
  </si>
  <si>
    <t>Rafael Jambeiro</t>
  </si>
  <si>
    <t>44520-000 a 44529-999</t>
  </si>
  <si>
    <t>Retirolândia</t>
  </si>
  <si>
    <t>48750-000 a 48759-999</t>
  </si>
  <si>
    <t>Riachão do Jacuípe</t>
  </si>
  <si>
    <t>44640-000 a 44641-999</t>
  </si>
  <si>
    <t>Ribeira do Amparo</t>
  </si>
  <si>
    <t>48440-000 a 48444-999</t>
  </si>
  <si>
    <t>Ribeira do Pombal</t>
  </si>
  <si>
    <t>48400-000 a 48404-999</t>
  </si>
  <si>
    <t>Rio Real</t>
  </si>
  <si>
    <t>48330-000 a 48349-999</t>
  </si>
  <si>
    <t>Salinas da Margarida</t>
  </si>
  <si>
    <t>44450-000 a 44459-999</t>
  </si>
  <si>
    <t>Santa Bárbara</t>
  </si>
  <si>
    <t>44150-000 a 44159-999</t>
  </si>
  <si>
    <t>Santa Inês</t>
  </si>
  <si>
    <t>45320-000 a 45324-999</t>
  </si>
  <si>
    <t>Santa Terezinha</t>
  </si>
  <si>
    <t>44590-000 a 44599-999</t>
  </si>
  <si>
    <t>Santaluz</t>
  </si>
  <si>
    <t>48880-000 a 48889-999</t>
  </si>
  <si>
    <t>Santanópolis</t>
  </si>
  <si>
    <t>44260-000 a 44269-999</t>
  </si>
  <si>
    <t>Santo Amaro</t>
  </si>
  <si>
    <t>44200-000 a 44219-999</t>
  </si>
  <si>
    <t>Santo Antônio de Jesus</t>
  </si>
  <si>
    <t>44570-001 a 44574-999</t>
  </si>
  <si>
    <t>Santo Estêvão</t>
  </si>
  <si>
    <t>44190-000 a 44199-999</t>
  </si>
  <si>
    <t>Sapeaçu</t>
  </si>
  <si>
    <t>44530-000 a 44539-999</t>
  </si>
  <si>
    <t>Saubara</t>
  </si>
  <si>
    <t>44220-000 a 44229-999</t>
  </si>
  <si>
    <t>Serra Preta</t>
  </si>
  <si>
    <t>44660-000 a 44669-999</t>
  </si>
  <si>
    <t>Serrinha</t>
  </si>
  <si>
    <t>48700-000 a 48704-999</t>
  </si>
  <si>
    <t>São Domingos</t>
  </si>
  <si>
    <t>48895-000 a 48899-999</t>
  </si>
  <si>
    <t>São Felipe</t>
  </si>
  <si>
    <t>44550-000 a 44559-999</t>
  </si>
  <si>
    <t>São Francisco do Conde</t>
  </si>
  <si>
    <t>43900-000 a 43999-999</t>
  </si>
  <si>
    <t>São Félix</t>
  </si>
  <si>
    <t>44360-000 a 44379-999</t>
  </si>
  <si>
    <t>São Gonçalo dos Campos</t>
  </si>
  <si>
    <t>44330-000 a 44339-999</t>
  </si>
  <si>
    <t>São José do Jacuípe</t>
  </si>
  <si>
    <t>44698-000 a 44699-999</t>
  </si>
  <si>
    <t>São Miguel das Matas</t>
  </si>
  <si>
    <t>44580-000 a 44589-999</t>
  </si>
  <si>
    <t>São Sebastião do Passé</t>
  </si>
  <si>
    <t>43850-000 a 43899-999</t>
  </si>
  <si>
    <t>Sátiro Dias</t>
  </si>
  <si>
    <t>48485-000 a 48489-999</t>
  </si>
  <si>
    <t>Tanquinho</t>
  </si>
  <si>
    <t>44160-000 a 44179-999</t>
  </si>
  <si>
    <t>Taperoá</t>
  </si>
  <si>
    <t>45430-000 a 45434-999</t>
  </si>
  <si>
    <t>Teodoro Sampaio</t>
  </si>
  <si>
    <t>44280-000 a 44299-999</t>
  </si>
  <si>
    <t>Teofilândia</t>
  </si>
  <si>
    <t>48770-000 a 48779-999</t>
  </si>
  <si>
    <t>Teolândia</t>
  </si>
  <si>
    <t>45465-000 a 45469-999</t>
  </si>
  <si>
    <t>Terra Nova</t>
  </si>
  <si>
    <t>44270-000 a 44279-999</t>
  </si>
  <si>
    <t>Tucano</t>
  </si>
  <si>
    <t>48790-000 a 48799-999</t>
  </si>
  <si>
    <t>Ubaíra</t>
  </si>
  <si>
    <t>45310-000 a 45314-999</t>
  </si>
  <si>
    <t>Valente</t>
  </si>
  <si>
    <t>48890-000 a 48894-999</t>
  </si>
  <si>
    <t>Valença</t>
  </si>
  <si>
    <t>45400-000 a 45415-999</t>
  </si>
  <si>
    <t>Varzedo</t>
  </si>
  <si>
    <t>44565-000 a 44569-999</t>
  </si>
  <si>
    <t>Vera Cruz</t>
  </si>
  <si>
    <t>44470-000 a 44479-999</t>
  </si>
  <si>
    <t>Várzea da Roça</t>
  </si>
  <si>
    <t>44635-000 a 44639-999</t>
  </si>
  <si>
    <t>Wenceslau Guimarães</t>
  </si>
  <si>
    <t>45460-000 a 45464-999</t>
  </si>
  <si>
    <t>Água Fria</t>
  </si>
  <si>
    <t>48170-000 a 48179-999</t>
  </si>
  <si>
    <t>Abaré</t>
  </si>
  <si>
    <t>48680-000 a 48699-999</t>
  </si>
  <si>
    <t>Abaíra</t>
  </si>
  <si>
    <t>46690-000 a 46699-999</t>
  </si>
  <si>
    <t>Adustina</t>
  </si>
  <si>
    <t>48435-000 a 48439-999</t>
  </si>
  <si>
    <t>Aiquara</t>
  </si>
  <si>
    <t>45220-000 a 45224-999</t>
  </si>
  <si>
    <t>Almadina</t>
  </si>
  <si>
    <t>45640-000 a 45644-999</t>
  </si>
  <si>
    <t>América Dourada</t>
  </si>
  <si>
    <t>44910-000 a 44914-999</t>
  </si>
  <si>
    <t>Anagé</t>
  </si>
  <si>
    <t>45180-000 a 45189-999</t>
  </si>
  <si>
    <t>Andaraí</t>
  </si>
  <si>
    <t>46830-000 a 46834-999</t>
  </si>
  <si>
    <t>Andorinha</t>
  </si>
  <si>
    <t>48990-000 a 48999-999</t>
  </si>
  <si>
    <t>Antas</t>
  </si>
  <si>
    <t>48420-000 a 48429-999</t>
  </si>
  <si>
    <t>Antônio Gonçalves</t>
  </si>
  <si>
    <t>44780-000 a 44789-999</t>
  </si>
  <si>
    <t>Apuarema</t>
  </si>
  <si>
    <t>45355-000 a 45359-999</t>
  </si>
  <si>
    <t>Aracatu</t>
  </si>
  <si>
    <t>46130-000 a 46139-999</t>
  </si>
  <si>
    <t>Arataca</t>
  </si>
  <si>
    <t>45695-000 a 45699-999</t>
  </si>
  <si>
    <t>Aurelino Leal</t>
  </si>
  <si>
    <t>45675-000 a 45679-999</t>
  </si>
  <si>
    <t>Banzaê</t>
  </si>
  <si>
    <t>48405-000 a 48409-999</t>
  </si>
  <si>
    <t>Barra da Estiva</t>
  </si>
  <si>
    <t>46650-000 a 46669-999</t>
  </si>
  <si>
    <t>Barra do Choça</t>
  </si>
  <si>
    <t>45120-000 a 45129-999</t>
  </si>
  <si>
    <t>Barra do Mendes</t>
  </si>
  <si>
    <t>44990-000 a 44999-999</t>
  </si>
  <si>
    <t>Barra do Rocha</t>
  </si>
  <si>
    <t>45560-000 a 45569-999</t>
  </si>
  <si>
    <t>Barro Alto</t>
  </si>
  <si>
    <t>44895-000 a 44899-999</t>
  </si>
  <si>
    <t>Barro Preto</t>
  </si>
  <si>
    <t>45625-000 a 45629-999</t>
  </si>
  <si>
    <t>Belo Campo</t>
  </si>
  <si>
    <t>45160-000 a 45169-999</t>
  </si>
  <si>
    <t>Boa Nova</t>
  </si>
  <si>
    <t>45250-000 a 45254-999</t>
  </si>
  <si>
    <t>Boa Vista do Tupim</t>
  </si>
  <si>
    <t>46850-000 a 46859-999</t>
  </si>
  <si>
    <t>Bom Jesus da Serra</t>
  </si>
  <si>
    <t>45263-000 a 45264-999</t>
  </si>
  <si>
    <t>Boninal</t>
  </si>
  <si>
    <t>46740-000 a 46749-999</t>
  </si>
  <si>
    <t>Bonito</t>
  </si>
  <si>
    <t>46820-000 a 46824-999</t>
  </si>
  <si>
    <t>Brumado</t>
  </si>
  <si>
    <t>46100-000 a 46109-999</t>
  </si>
  <si>
    <t>Buerarema</t>
  </si>
  <si>
    <t>45615-000 a 45619-999</t>
  </si>
  <si>
    <t>Caatiba</t>
  </si>
  <si>
    <t>45130-000 a 45139-999</t>
  </si>
  <si>
    <t>Caculé</t>
  </si>
  <si>
    <t>46300-000 a 46309-999</t>
  </si>
  <si>
    <t>Caetanos</t>
  </si>
  <si>
    <t>45265-000 a 45269-999</t>
  </si>
  <si>
    <t>Caetité</t>
  </si>
  <si>
    <t>46400-000 a 46424-999</t>
  </si>
  <si>
    <t>Cafarnaum</t>
  </si>
  <si>
    <t>44880-000 a 44884-999</t>
  </si>
  <si>
    <t>Caldeirão Grande</t>
  </si>
  <si>
    <t>44750-000 a 44754-999</t>
  </si>
  <si>
    <t>Camacan</t>
  </si>
  <si>
    <t>45880-000 a 45889-999</t>
  </si>
  <si>
    <t>Campo Formoso</t>
  </si>
  <si>
    <t>44790-000 a 44797-999</t>
  </si>
  <si>
    <t>Canarana</t>
  </si>
  <si>
    <t>44890-000 a 44894-999</t>
  </si>
  <si>
    <t>Canavieiras</t>
  </si>
  <si>
    <t>45860-000 a 45864-999</t>
  </si>
  <si>
    <t>Cansanção</t>
  </si>
  <si>
    <t>48840-000 a 48849-999</t>
  </si>
  <si>
    <t>Canudos</t>
  </si>
  <si>
    <t>48520-000 a 48539-999</t>
  </si>
  <si>
    <t>Caraíbas</t>
  </si>
  <si>
    <t>45177-000 a 45179-999</t>
  </si>
  <si>
    <t>Casa Nova</t>
  </si>
  <si>
    <t>47300-000 a 47349-999</t>
  </si>
  <si>
    <t>Caém</t>
  </si>
  <si>
    <t>44730-000 a 44739-999</t>
  </si>
  <si>
    <t>Central</t>
  </si>
  <si>
    <t>44940-000 a 44949-999</t>
  </si>
  <si>
    <t>Chorrochó</t>
  </si>
  <si>
    <t>48660-000 a 48679-999</t>
  </si>
  <si>
    <t>Coaraci</t>
  </si>
  <si>
    <t>45638-000 a 45639-999</t>
  </si>
  <si>
    <t>Contendas do Sincorá</t>
  </si>
  <si>
    <t>46620-000 a 46639-999</t>
  </si>
  <si>
    <t>Coronel João Sá</t>
  </si>
  <si>
    <t>48590-000 a 48599-999</t>
  </si>
  <si>
    <t>Curaçá</t>
  </si>
  <si>
    <t>48930-000 a 48949-999</t>
  </si>
  <si>
    <t>Cândido Sales</t>
  </si>
  <si>
    <t>45157-000 a 45159-999</t>
  </si>
  <si>
    <t>Dom Basílio</t>
  </si>
  <si>
    <t>46165-000 a 46169-999</t>
  </si>
  <si>
    <t>Dário Meira</t>
  </si>
  <si>
    <t>45590-000 a 45599-999</t>
  </si>
  <si>
    <t>Encruzilhada</t>
  </si>
  <si>
    <t>45150-000 a 45154-999</t>
  </si>
  <si>
    <t>Euclides da Cunha</t>
  </si>
  <si>
    <t>48500-000 a 48519-999</t>
  </si>
  <si>
    <t>Filadélfia</t>
  </si>
  <si>
    <t>44775-000 a 44779-999</t>
  </si>
  <si>
    <t>Firmino Alves</t>
  </si>
  <si>
    <t>45720-000 a 45724-999</t>
  </si>
  <si>
    <t>Floresta Azul</t>
  </si>
  <si>
    <t>45740-000 a 45744-999</t>
  </si>
  <si>
    <t>Fátima</t>
  </si>
  <si>
    <t>48415-000 a 48419-999</t>
  </si>
  <si>
    <t>Gentio do Ouro</t>
  </si>
  <si>
    <t>47450-000 a 47499-999</t>
  </si>
  <si>
    <t>Glória</t>
  </si>
  <si>
    <t>48620-000 a 48629-999</t>
  </si>
  <si>
    <t>Gongogi</t>
  </si>
  <si>
    <t>45540-000 a 45544-999</t>
  </si>
  <si>
    <t>Guajeru</t>
  </si>
  <si>
    <t>46205-000 a 46219-999</t>
  </si>
  <si>
    <t>Heliópolis</t>
  </si>
  <si>
    <t>48445-000 a 48449-999</t>
  </si>
  <si>
    <t>Ibiassucê</t>
  </si>
  <si>
    <t>46390-000 a 46399-999</t>
  </si>
  <si>
    <t>Ibicaraí</t>
  </si>
  <si>
    <t>45745-000 a 45749-999</t>
  </si>
  <si>
    <t>Ibicoara</t>
  </si>
  <si>
    <t>46760-000 a 46764-999</t>
  </si>
  <si>
    <t>Ibicuí</t>
  </si>
  <si>
    <t>45290-000 a 45299-999</t>
  </si>
  <si>
    <t>Ibipeba</t>
  </si>
  <si>
    <t>44970-000 a 44989-999</t>
  </si>
  <si>
    <t>Ibipitanga</t>
  </si>
  <si>
    <t>46540-000 a 46549-999</t>
  </si>
  <si>
    <t>Ibiquera</t>
  </si>
  <si>
    <t>46840-000 a 46849-999</t>
  </si>
  <si>
    <t>Ibirapitanga</t>
  </si>
  <si>
    <t>45500-000 a 45519-999</t>
  </si>
  <si>
    <t>Ibirataia</t>
  </si>
  <si>
    <t>45580-000 a 45584-999</t>
  </si>
  <si>
    <t>Ibitiara</t>
  </si>
  <si>
    <t>46700-000 a 46729-999</t>
  </si>
  <si>
    <t>Ibititá</t>
  </si>
  <si>
    <t>44960-000 a 44969-999</t>
  </si>
  <si>
    <t>Iguaí</t>
  </si>
  <si>
    <t>45280-000 a 45289-999</t>
  </si>
  <si>
    <t>Ilhéus</t>
  </si>
  <si>
    <t>45650-001 a 45674-999</t>
  </si>
  <si>
    <t>Ipiaú</t>
  </si>
  <si>
    <t>45570-000 a 45579-999</t>
  </si>
  <si>
    <t>Iramaia</t>
  </si>
  <si>
    <t>46770-000 a 46779-999</t>
  </si>
  <si>
    <t>Iraquara</t>
  </si>
  <si>
    <t>46980-000 a 46989-999</t>
  </si>
  <si>
    <t>Irecê</t>
  </si>
  <si>
    <t>44900-000 a 44904-999</t>
  </si>
  <si>
    <t>Itabuna</t>
  </si>
  <si>
    <t>45600-001 a 45614-999</t>
  </si>
  <si>
    <t>Itaeté</t>
  </si>
  <si>
    <t>46790-000 a 46799-999</t>
  </si>
  <si>
    <t>Itagi</t>
  </si>
  <si>
    <t>45230-000 a 45239-999</t>
  </si>
  <si>
    <t>Itagibá</t>
  </si>
  <si>
    <t>45585-000 a 45589-999</t>
  </si>
  <si>
    <t>Itagimirim</t>
  </si>
  <si>
    <t>45850-000 a 45854-999</t>
  </si>
  <si>
    <t>Itaguaçu da Bahia</t>
  </si>
  <si>
    <t>47440-000 a 47449-999</t>
  </si>
  <si>
    <t>Itaju do Colônia</t>
  </si>
  <si>
    <t>45730-000 a 45739-999</t>
  </si>
  <si>
    <t>Itajuípe</t>
  </si>
  <si>
    <t>45630-000 a 45637-999</t>
  </si>
  <si>
    <t>Itamari</t>
  </si>
  <si>
    <t>45455-000 a 45459-999</t>
  </si>
  <si>
    <t>Itambé</t>
  </si>
  <si>
    <t>45140-000 a 45149-999</t>
  </si>
  <si>
    <t>Itapebi</t>
  </si>
  <si>
    <t>45855-000 a 45859-999</t>
  </si>
  <si>
    <t>Itapetinga</t>
  </si>
  <si>
    <t>45700-000 a 45709-999</t>
  </si>
  <si>
    <t>Itapitanga</t>
  </si>
  <si>
    <t>45645-000 a 45649-999</t>
  </si>
  <si>
    <t>Itapé</t>
  </si>
  <si>
    <t>45750-000 a 45759-999</t>
  </si>
  <si>
    <t>Itaquara</t>
  </si>
  <si>
    <t>45340-000 a 45344-999</t>
  </si>
  <si>
    <t>Itarantim</t>
  </si>
  <si>
    <t>45780-000 a 45789-999</t>
  </si>
  <si>
    <t>Itiruçu</t>
  </si>
  <si>
    <t>45350-000 a 45354-999</t>
  </si>
  <si>
    <t>Itiúba</t>
  </si>
  <si>
    <t>48850-000 a 48859-999</t>
  </si>
  <si>
    <t>Itororó</t>
  </si>
  <si>
    <t>45710-000 a 45719-999</t>
  </si>
  <si>
    <t>Ituaçu</t>
  </si>
  <si>
    <t>46640-000 a 46649-999</t>
  </si>
  <si>
    <t>Jacobina</t>
  </si>
  <si>
    <t>44700-000 a 44709-999</t>
  </si>
  <si>
    <t>Jaguaquara</t>
  </si>
  <si>
    <t>45345-000 a 45349-999</t>
  </si>
  <si>
    <t>Jaguarari</t>
  </si>
  <si>
    <t>48960-000 a 48969-999</t>
  </si>
  <si>
    <t>Jequié</t>
  </si>
  <si>
    <t>45200-001 a 45214-999</t>
  </si>
  <si>
    <t>Jeremoabo</t>
  </si>
  <si>
    <t>48540-000 a 48564-999</t>
  </si>
  <si>
    <t>Jitaúna</t>
  </si>
  <si>
    <t>45225-000 a 45229-999</t>
  </si>
  <si>
    <t>João Dourado</t>
  </si>
  <si>
    <t>44920-000 a 44924-999</t>
  </si>
  <si>
    <t>Juazeiro</t>
  </si>
  <si>
    <t>48900-001 a 48924-999</t>
  </si>
  <si>
    <t>Jussara</t>
  </si>
  <si>
    <t>44925-000 a 44929-999</t>
  </si>
  <si>
    <t>Jussari</t>
  </si>
  <si>
    <t>45622-000 a 45624-999</t>
  </si>
  <si>
    <t>Jussiape</t>
  </si>
  <si>
    <t>46670-000 a 46689-999</t>
  </si>
  <si>
    <t>Lafaiete Coutinho</t>
  </si>
  <si>
    <t>45215-000 a 45219-999</t>
  </si>
  <si>
    <t>Lagoa Real</t>
  </si>
  <si>
    <t>46425-000 a 46429-999</t>
  </si>
  <si>
    <t>Lajedinho</t>
  </si>
  <si>
    <t>46825-000 a 46829-999</t>
  </si>
  <si>
    <t>Lajedo do Tabocal</t>
  </si>
  <si>
    <t>45365-000 a 45369-999</t>
  </si>
  <si>
    <t>Lapão</t>
  </si>
  <si>
    <t>44905-000 a 44909-999</t>
  </si>
  <si>
    <t>Lençóis</t>
  </si>
  <si>
    <t>46960-000 a 46969-999</t>
  </si>
  <si>
    <t>Livramento de Nossa Senhora</t>
  </si>
  <si>
    <t>46140-000 a 46164-999</t>
  </si>
  <si>
    <t>Macarani</t>
  </si>
  <si>
    <t>45760-000 a 45769-999</t>
  </si>
  <si>
    <t>Macaúbas</t>
  </si>
  <si>
    <t>46500-000 a 46529-999</t>
  </si>
  <si>
    <t>Macururé</t>
  </si>
  <si>
    <t>48650-000 a 48659-999</t>
  </si>
  <si>
    <t>Maetinga</t>
  </si>
  <si>
    <t>46255-000 a 46269-999</t>
  </si>
  <si>
    <t>Maiquinique</t>
  </si>
  <si>
    <t>45770-000 a 45779-999</t>
  </si>
  <si>
    <t>Malhada de Pedras</t>
  </si>
  <si>
    <t>46110-000 a 46129-999</t>
  </si>
  <si>
    <t>Manoel Vitorino</t>
  </si>
  <si>
    <t>45240-000 a 45249-999</t>
  </si>
  <si>
    <t>Maracás</t>
  </si>
  <si>
    <t>45360-000 a 45364-999</t>
  </si>
  <si>
    <t>Marcionílio Souza</t>
  </si>
  <si>
    <t>46780-000 a 46789-999</t>
  </si>
  <si>
    <t>Mascote</t>
  </si>
  <si>
    <t>45870-000 a 45879-999</t>
  </si>
  <si>
    <t>Miguel Calmon</t>
  </si>
  <si>
    <t>44720-000 a 44729-999</t>
  </si>
  <si>
    <t>Mirangaba</t>
  </si>
  <si>
    <t>44745-000 a 44749-999</t>
  </si>
  <si>
    <t>Mirante</t>
  </si>
  <si>
    <t>45255-000 a 45259-999</t>
  </si>
  <si>
    <t>Monte Santo</t>
  </si>
  <si>
    <t>48800-000 a 48829-999</t>
  </si>
  <si>
    <t>Morro do Chapéu</t>
  </si>
  <si>
    <t>44850-000 a 44879-999</t>
  </si>
  <si>
    <t>Mucugê</t>
  </si>
  <si>
    <t>46750-000 a 46759-999</t>
  </si>
  <si>
    <t>Mulungu do Morro</t>
  </si>
  <si>
    <t>44885-000 a 44889-999</t>
  </si>
  <si>
    <t>Nordestina</t>
  </si>
  <si>
    <t>48870-000 a 48879-999</t>
  </si>
  <si>
    <t>Nova Canaã</t>
  </si>
  <si>
    <t>45270-000 a 45279-999</t>
  </si>
  <si>
    <t>Nova Redenção</t>
  </si>
  <si>
    <t>46835-000 a 46839-999</t>
  </si>
  <si>
    <t>Novo Horizonte</t>
  </si>
  <si>
    <t>46730-000 a 46739-999</t>
  </si>
  <si>
    <t>Novo Triunfo</t>
  </si>
  <si>
    <t>48455-000 a 48459-999</t>
  </si>
  <si>
    <t>Oliveira dos Brejinhos</t>
  </si>
  <si>
    <t>47530-000 a 47559-999</t>
  </si>
  <si>
    <t>Ourolândia</t>
  </si>
  <si>
    <t>44718-000 a 44719-999</t>
  </si>
  <si>
    <t>Palmeiras</t>
  </si>
  <si>
    <t>46930-000 a 46959-999</t>
  </si>
  <si>
    <t>Paripiranga</t>
  </si>
  <si>
    <t>48430-000 a 48434-999</t>
  </si>
  <si>
    <t>Pau Brasil</t>
  </si>
  <si>
    <t>45890-000 a 45899-999</t>
  </si>
  <si>
    <t>Paulo Afonso</t>
  </si>
  <si>
    <t>48600-001 a 48619-999</t>
  </si>
  <si>
    <t>Pedro Alexandre</t>
  </si>
  <si>
    <t>48580-000 a 48589-999</t>
  </si>
  <si>
    <t>Piatã</t>
  </si>
  <si>
    <t>46765-000 a 46769-999</t>
  </si>
  <si>
    <t>Pindobaçu</t>
  </si>
  <si>
    <t>44770-000 a 44774-999</t>
  </si>
  <si>
    <t>Piripá</t>
  </si>
  <si>
    <t>46270-000 a 46279-999</t>
  </si>
  <si>
    <t>Piritiba</t>
  </si>
  <si>
    <t>44830-000 a 44839-999</t>
  </si>
  <si>
    <t>Planalto</t>
  </si>
  <si>
    <t>45190-000 a 45199-999</t>
  </si>
  <si>
    <t>Ponto Novo</t>
  </si>
  <si>
    <t>44755-000 a 44769-999</t>
  </si>
  <si>
    <t>Potiraguá</t>
  </si>
  <si>
    <t>45790-000 a 45799-999</t>
  </si>
  <si>
    <t>Poções</t>
  </si>
  <si>
    <t>45260-000 a 45262-999</t>
  </si>
  <si>
    <t>Presidente Dutra</t>
  </si>
  <si>
    <t>44930-000 a 44939-999</t>
  </si>
  <si>
    <t>Presidente Jânio Quadros</t>
  </si>
  <si>
    <t>46250-000 a 46254-999</t>
  </si>
  <si>
    <t>Quijingue</t>
  </si>
  <si>
    <t>48830-000 a 48839-999</t>
  </si>
  <si>
    <t>Ribeirão do Largo</t>
  </si>
  <si>
    <t>45155-000 a 45156-999</t>
  </si>
  <si>
    <t>Rio de Contas</t>
  </si>
  <si>
    <t>46170-000 a 46179-999</t>
  </si>
  <si>
    <t>Rio do Antônio</t>
  </si>
  <si>
    <t>46220-000 a 46249-999</t>
  </si>
  <si>
    <t>Rio do Pires</t>
  </si>
  <si>
    <t>46550-000 a 46569-999</t>
  </si>
  <si>
    <t>Rodelas</t>
  </si>
  <si>
    <t>48630-000 a 48649-999</t>
  </si>
  <si>
    <t>Ruy Barbosa</t>
  </si>
  <si>
    <t>46800-000 a 46804-999</t>
  </si>
  <si>
    <t>Santa Brígida</t>
  </si>
  <si>
    <t>48570-000 a 48579-999</t>
  </si>
  <si>
    <t>Santa Cruz da Vitória</t>
  </si>
  <si>
    <t>45725-000 a 45729-999</t>
  </si>
  <si>
    <t>Santa Luzia</t>
  </si>
  <si>
    <t>45865-000 a 45869-999</t>
  </si>
  <si>
    <t>Saúde</t>
  </si>
  <si>
    <t>44740-000 a 44744-999</t>
  </si>
  <si>
    <t>Seabra</t>
  </si>
  <si>
    <t>46900-000 a 46929-999</t>
  </si>
  <si>
    <t>Senhor do Bonfim</t>
  </si>
  <si>
    <t>48970-000 a 48989-999</t>
  </si>
  <si>
    <t>Serrolândia</t>
  </si>
  <si>
    <t>44710-000 a 44712-999</t>
  </si>
  <si>
    <t>Sobradinho</t>
  </si>
  <si>
    <t>48925-000 a 48929-999</t>
  </si>
  <si>
    <t>Souto Soares</t>
  </si>
  <si>
    <t>46990-000 a 47099-999</t>
  </si>
  <si>
    <t>São Gabriel</t>
  </si>
  <si>
    <t>44915-000 a 44919-999</t>
  </si>
  <si>
    <t>São José da Vitória</t>
  </si>
  <si>
    <t>45620-000 a 45621-999</t>
  </si>
  <si>
    <t>Sítio do Quinto</t>
  </si>
  <si>
    <t>48565-000 a 48569-999</t>
  </si>
  <si>
    <t>Tanhaçu</t>
  </si>
  <si>
    <t>46600-000 a 46619-999</t>
  </si>
  <si>
    <t>Tapiramutá</t>
  </si>
  <si>
    <t>44840-000 a 44849-999</t>
  </si>
  <si>
    <t>Tremedal</t>
  </si>
  <si>
    <t>45170-000 a 45176-999</t>
  </si>
  <si>
    <t>Uauá</t>
  </si>
  <si>
    <t>48950-000 a 48959-999</t>
  </si>
  <si>
    <t>Ubaitaba</t>
  </si>
  <si>
    <t>45545-000 a 45549-999</t>
  </si>
  <si>
    <t>Ubatã</t>
  </si>
  <si>
    <t>45550-000 a 45559-999</t>
  </si>
  <si>
    <t>Uibaí</t>
  </si>
  <si>
    <t>44950-000 a 44959-999</t>
  </si>
  <si>
    <t>Umburanas</t>
  </si>
  <si>
    <t>44798-000 a 44799-999</t>
  </si>
  <si>
    <t>Una</t>
  </si>
  <si>
    <t>45690-000 a 45694-999</t>
  </si>
  <si>
    <t>Uruçuca</t>
  </si>
  <si>
    <t>45680-000 a 45689-999</t>
  </si>
  <si>
    <t>Utinga</t>
  </si>
  <si>
    <t>46810-000 a 46819-999</t>
  </si>
  <si>
    <t>Vitória da Conquista</t>
  </si>
  <si>
    <t>45000-001 a 45119-999</t>
  </si>
  <si>
    <t>Várzea do Poço</t>
  </si>
  <si>
    <t>44715-000 a 44717-999</t>
  </si>
  <si>
    <t>Várzea Nova</t>
  </si>
  <si>
    <t>44690-000 a 44694-999</t>
  </si>
  <si>
    <t>Wagner</t>
  </si>
  <si>
    <t>46970-000 a 46979-999</t>
  </si>
  <si>
    <t>Xique-Xique</t>
  </si>
  <si>
    <t>Alcobaça</t>
  </si>
  <si>
    <t>45910-000 a 45919-999</t>
  </si>
  <si>
    <t>Angical</t>
  </si>
  <si>
    <t>47960-000 a 47969-999</t>
  </si>
  <si>
    <t>Baianópolis</t>
  </si>
  <si>
    <t>47830-000 a 47844-999</t>
  </si>
  <si>
    <t>Barra</t>
  </si>
  <si>
    <t>47100-000 a 47114-999</t>
  </si>
  <si>
    <t>Barreiras</t>
  </si>
  <si>
    <t>47800-001 a 47819-999</t>
  </si>
  <si>
    <t>Belmonte</t>
  </si>
  <si>
    <t>45800-000 a 45806-999</t>
  </si>
  <si>
    <t>Bom Jesus da Lapa</t>
  </si>
  <si>
    <t>47600-000 a 47609-999</t>
  </si>
  <si>
    <t>Boquira</t>
  </si>
  <si>
    <t>46530-000 a 46539-999</t>
  </si>
  <si>
    <t>Botuporã</t>
  </si>
  <si>
    <t>46570-000 a 46574-999</t>
  </si>
  <si>
    <t>Brejolândia</t>
  </si>
  <si>
    <t>47750-000 a 47759-999</t>
  </si>
  <si>
    <t>Brotas de Macaúbas</t>
  </si>
  <si>
    <t>47560-000 a 47579-999</t>
  </si>
  <si>
    <t>Buritirama</t>
  </si>
  <si>
    <t>47120-000 a 47149-999</t>
  </si>
  <si>
    <t>Campo Alegre de Lourdes</t>
  </si>
  <si>
    <t>47220-000 a 47239-999</t>
  </si>
  <si>
    <t>Candiba</t>
  </si>
  <si>
    <t>46380-000 a 46389-999</t>
  </si>
  <si>
    <t>Canápolis</t>
  </si>
  <si>
    <t>47730-000 a 47739-999</t>
  </si>
  <si>
    <t>Caravelas</t>
  </si>
  <si>
    <t>45900-000 a 45909-999</t>
  </si>
  <si>
    <t>Carinhanha</t>
  </si>
  <si>
    <t>46445-000 a 46445-999</t>
  </si>
  <si>
    <t>Catolândia</t>
  </si>
  <si>
    <t>47845-000 a 47849-999</t>
  </si>
  <si>
    <t>Caturama</t>
  </si>
  <si>
    <t>46575-000 a 46579-999</t>
  </si>
  <si>
    <t>Cocos</t>
  </si>
  <si>
    <t>47680-000 a 47689-999</t>
  </si>
  <si>
    <t>Condeúba</t>
  </si>
  <si>
    <t>46200-000 a 46204-999</t>
  </si>
  <si>
    <t>Cordeiros</t>
  </si>
  <si>
    <t>46280-000 a 46289-999</t>
  </si>
  <si>
    <t>Coribe</t>
  </si>
  <si>
    <t>47690-000 a 47699-999</t>
  </si>
  <si>
    <t>Correntina</t>
  </si>
  <si>
    <t>47650-000 a 47654-999</t>
  </si>
  <si>
    <t>Cotegipe</t>
  </si>
  <si>
    <t>47900-000 a 47939-999</t>
  </si>
  <si>
    <t>Cristópolis</t>
  </si>
  <si>
    <t>47950-000 a 47959-999</t>
  </si>
  <si>
    <t>Eunápolis</t>
  </si>
  <si>
    <t>45820-001 a 45833-999</t>
  </si>
  <si>
    <t>Feira da Mata</t>
  </si>
  <si>
    <t>46446-000 a 46449-999</t>
  </si>
  <si>
    <t>Formosa do Rio Preto</t>
  </si>
  <si>
    <t>47990-000 a 47999-999</t>
  </si>
  <si>
    <t>Guanambi</t>
  </si>
  <si>
    <t>46430-000 a 46437-999</t>
  </si>
  <si>
    <t>Guaratinga</t>
  </si>
  <si>
    <t>45840-000 a 45847-999</t>
  </si>
  <si>
    <t>Ibirapuã</t>
  </si>
  <si>
    <t>45940-000 a 45949-999</t>
  </si>
  <si>
    <t>Ibotirama</t>
  </si>
  <si>
    <t>47520-000 a 47529-999</t>
  </si>
  <si>
    <t>Igaporã</t>
  </si>
  <si>
    <t>46490-000 a 46499-999</t>
  </si>
  <si>
    <t>Ipupiara</t>
  </si>
  <si>
    <t>Itabela</t>
  </si>
  <si>
    <t>45848-000 a 45849-999</t>
  </si>
  <si>
    <t>Itamaraju</t>
  </si>
  <si>
    <t>45836-000 a 45839-999</t>
  </si>
  <si>
    <t>Itanhém</t>
  </si>
  <si>
    <t>45970-000 a 45979-999</t>
  </si>
  <si>
    <t>Iuiú</t>
  </si>
  <si>
    <t>46438-000 a 46439-999</t>
  </si>
  <si>
    <t>Jaborandi</t>
  </si>
  <si>
    <t>47655-000 a 47664-999</t>
  </si>
  <si>
    <t>Jacaraci</t>
  </si>
  <si>
    <t>46310-000 a 46329-999</t>
  </si>
  <si>
    <t>Jucuruçu</t>
  </si>
  <si>
    <t>45834-000 a 45835-999</t>
  </si>
  <si>
    <t>Lajedão</t>
  </si>
  <si>
    <t>45950-000 a 45954-999</t>
  </si>
  <si>
    <t>Licínio de Almeida</t>
  </si>
  <si>
    <t>46330-000 a 46349-999</t>
  </si>
  <si>
    <t>Luís Eduardo Magalhães</t>
  </si>
  <si>
    <t>47850-000 a 47859-999</t>
  </si>
  <si>
    <t>Malhada</t>
  </si>
  <si>
    <t>46440-000 a 46444-999</t>
  </si>
  <si>
    <t>Mansidão</t>
  </si>
  <si>
    <t>47160-000 a 47199-999</t>
  </si>
  <si>
    <t>Matina</t>
  </si>
  <si>
    <t>46480-000 a 46489-999</t>
  </si>
  <si>
    <t>Medeiros Neto</t>
  </si>
  <si>
    <t>45960-000 a 45969-999</t>
  </si>
  <si>
    <t>Morpará</t>
  </si>
  <si>
    <t>47580-000 a 47589-999</t>
  </si>
  <si>
    <t>Mortugaba</t>
  </si>
  <si>
    <t>46290-000 a 46299-999</t>
  </si>
  <si>
    <t>Mucuri</t>
  </si>
  <si>
    <t>45930-000 a 45939-999</t>
  </si>
  <si>
    <t>Muquém de São Francisco</t>
  </si>
  <si>
    <t>47115-000 a 47119-999</t>
  </si>
  <si>
    <t>Nova Viçosa</t>
  </si>
  <si>
    <t>45920-000 a 45929-999</t>
  </si>
  <si>
    <t>Palmas de Monte Alto</t>
  </si>
  <si>
    <t>46460-000 a 46469-999</t>
  </si>
  <si>
    <t>Paramirim</t>
  </si>
  <si>
    <t>46190-000 a 46199-999</t>
  </si>
  <si>
    <t>Paratinga</t>
  </si>
  <si>
    <t>47500-000 a 47519-999</t>
  </si>
  <si>
    <t>Pilão Arcado</t>
  </si>
  <si>
    <t>47240-000 a 47299-999</t>
  </si>
  <si>
    <t>Pindaí</t>
  </si>
  <si>
    <t>46360-000 a 46379-999</t>
  </si>
  <si>
    <t>Porto Seguro</t>
  </si>
  <si>
    <t>45810-000 a 45819-999</t>
  </si>
  <si>
    <t>Prado</t>
  </si>
  <si>
    <t>45980-000 a 45984-999</t>
  </si>
  <si>
    <t>Remanso</t>
  </si>
  <si>
    <t>47200-000 a 47219-999</t>
  </si>
  <si>
    <t>Riacho de Santana</t>
  </si>
  <si>
    <t>46470-000 a 46479-999</t>
  </si>
  <si>
    <t>Riachão das Neves</t>
  </si>
  <si>
    <t>47970-000 a 47989-999</t>
  </si>
  <si>
    <t>Santa Cruz Cabrália</t>
  </si>
  <si>
    <t>45807-000 a 45809-999</t>
  </si>
  <si>
    <t>Santa Maria da Vitória</t>
  </si>
  <si>
    <t>47640-000 a 47649-999</t>
  </si>
  <si>
    <t>Santa Rita de Cássia</t>
  </si>
  <si>
    <t>47150-000 a 47159-999</t>
  </si>
  <si>
    <t>47700-000 a 47729-999</t>
  </si>
  <si>
    <t>Sebastião Laranjeiras</t>
  </si>
  <si>
    <t>46450-000 a 46459-999</t>
  </si>
  <si>
    <t>Sento Sé</t>
  </si>
  <si>
    <t>47350-000 a 47399-999</t>
  </si>
  <si>
    <t>Serra do Ramalho</t>
  </si>
  <si>
    <t>47630-000 a 47639-999</t>
  </si>
  <si>
    <t>Serra Dourada</t>
  </si>
  <si>
    <t>47740-000 a 47749-999</t>
  </si>
  <si>
    <t>São Desidério</t>
  </si>
  <si>
    <t>47820-000 a 47829-999</t>
  </si>
  <si>
    <t>São Félix do Coribe</t>
  </si>
  <si>
    <t>47665-000 a 47679-999</t>
  </si>
  <si>
    <t>Sítio do Mato</t>
  </si>
  <si>
    <t>47610-000 a 47629-999</t>
  </si>
  <si>
    <t>Tabocas do Brejo Velho</t>
  </si>
  <si>
    <t>47760-000 a 47799-999</t>
  </si>
  <si>
    <t>Tanque Novo</t>
  </si>
  <si>
    <t>46580-000 a 46599-999</t>
  </si>
  <si>
    <t>Teixeira de Freitas</t>
  </si>
  <si>
    <t>45985-001 a 45999-999</t>
  </si>
  <si>
    <t>Urandi</t>
  </si>
  <si>
    <t>46350-000 a 46359-999</t>
  </si>
  <si>
    <t>Vereda</t>
  </si>
  <si>
    <t>45955-000 a 45959-999</t>
  </si>
  <si>
    <t>Wanderley</t>
  </si>
  <si>
    <t>47940-000 a 47949-999</t>
  </si>
  <si>
    <t>Érico Cardoso</t>
  </si>
  <si>
    <t>46180-000 a 46189-999</t>
  </si>
  <si>
    <t>60000-001 a 61599-999</t>
  </si>
  <si>
    <t>Aquiraz</t>
  </si>
  <si>
    <t>61700-000 a 61759-999</t>
  </si>
  <si>
    <t>Caucaia</t>
  </si>
  <si>
    <t>61600-001 a 61699-999</t>
  </si>
  <si>
    <t>Eusébio</t>
  </si>
  <si>
    <t>61760-000 a 61799-999</t>
  </si>
  <si>
    <t>Itaitinga</t>
  </si>
  <si>
    <t>61880-000 a 61889-999</t>
  </si>
  <si>
    <t>Maracanaú</t>
  </si>
  <si>
    <t>61900-001 a 61939-999</t>
  </si>
  <si>
    <t>Maranguape</t>
  </si>
  <si>
    <t>61940-001 a 61999-999</t>
  </si>
  <si>
    <t>Acarape</t>
  </si>
  <si>
    <t>62785-000 a 62789-999</t>
  </si>
  <si>
    <t>Amontada</t>
  </si>
  <si>
    <t>62540-000 a 62549-999</t>
  </si>
  <si>
    <t>Apuiarés</t>
  </si>
  <si>
    <t>62630-000 a 62639-999</t>
  </si>
  <si>
    <t>Aracati</t>
  </si>
  <si>
    <t>62800-000 a 62809-999</t>
  </si>
  <si>
    <t>Aracoiaba</t>
  </si>
  <si>
    <t>62750-000 a 62754-999</t>
  </si>
  <si>
    <t>Aratuba</t>
  </si>
  <si>
    <t>62762-000 a 62763-999</t>
  </si>
  <si>
    <t>Barreira</t>
  </si>
  <si>
    <t>62795-000 a 62799-999</t>
  </si>
  <si>
    <t>Baturité</t>
  </si>
  <si>
    <t>62760-000 a 62761-999</t>
  </si>
  <si>
    <t>Beberibe</t>
  </si>
  <si>
    <t>62840-000 a 62849-999</t>
  </si>
  <si>
    <t>Canindé</t>
  </si>
  <si>
    <t>62700-000 a 62719-999</t>
  </si>
  <si>
    <t>Capistrano</t>
  </si>
  <si>
    <t>62748-000 a 62749-999</t>
  </si>
  <si>
    <t>Caridade</t>
  </si>
  <si>
    <t>62730-000 a 62735-999</t>
  </si>
  <si>
    <t>Cascavel</t>
  </si>
  <si>
    <t>62850-000 a 62859-999</t>
  </si>
  <si>
    <t>Chorozinho</t>
  </si>
  <si>
    <t>62875-000 a 62879-999</t>
  </si>
  <si>
    <t>Fortim</t>
  </si>
  <si>
    <t>62815-000 a 62819-999</t>
  </si>
  <si>
    <t>General Sampaio</t>
  </si>
  <si>
    <t>62738-000 a 62739-999</t>
  </si>
  <si>
    <t>Guaiúba</t>
  </si>
  <si>
    <t>61890-000 a 61899-999</t>
  </si>
  <si>
    <t>Guaramiranga</t>
  </si>
  <si>
    <t>62766-000 a 62769-999</t>
  </si>
  <si>
    <t>Horizonte</t>
  </si>
  <si>
    <t>62880-001 a 62899-999</t>
  </si>
  <si>
    <t>Ibaretama</t>
  </si>
  <si>
    <t>63970-000 a 63999-999</t>
  </si>
  <si>
    <t>Ibicuitinga</t>
  </si>
  <si>
    <t>62955-000 a 62959-999</t>
  </si>
  <si>
    <t>Irauçuba</t>
  </si>
  <si>
    <t>62620-000 a 62629-999</t>
  </si>
  <si>
    <t>Itaiçaba</t>
  </si>
  <si>
    <t>62820-000 a 62822-999</t>
  </si>
  <si>
    <t>Itapajé</t>
  </si>
  <si>
    <t>62600-000 a 62609-999</t>
  </si>
  <si>
    <t>Itapipoca</t>
  </si>
  <si>
    <t>62500-000 a 62529-999</t>
  </si>
  <si>
    <t>Itapiúna</t>
  </si>
  <si>
    <t>62740-000 a 62747-999</t>
  </si>
  <si>
    <t>Itatira</t>
  </si>
  <si>
    <t>62720-000 a 62729-999</t>
  </si>
  <si>
    <t>Jardim</t>
  </si>
  <si>
    <t>63290-000 a 63299-999</t>
  </si>
  <si>
    <t>Madalena</t>
  </si>
  <si>
    <t>63860-000 a 63869-999</t>
  </si>
  <si>
    <t>Miraíma</t>
  </si>
  <si>
    <t>62530-000 a 62539-999</t>
  </si>
  <si>
    <t>Morada Nova</t>
  </si>
  <si>
    <t>62940-000 a 62954-999</t>
  </si>
  <si>
    <t>Mulungu</t>
  </si>
  <si>
    <t>62764-000 a 62765-999</t>
  </si>
  <si>
    <t>Ocara</t>
  </si>
  <si>
    <t>62755-000 a 62759-999</t>
  </si>
  <si>
    <t>Pacajus</t>
  </si>
  <si>
    <t>62870-000 a 62874-999</t>
  </si>
  <si>
    <t>Pacatuba</t>
  </si>
  <si>
    <t>61800-001 a 61879-999</t>
  </si>
  <si>
    <t>Pacoti</t>
  </si>
  <si>
    <t>62770-000 a 62779-999</t>
  </si>
  <si>
    <t>Palhano</t>
  </si>
  <si>
    <t>62910-000 a 62919-999</t>
  </si>
  <si>
    <t>Palmácia</t>
  </si>
  <si>
    <t>62780-000 a 62784-999</t>
  </si>
  <si>
    <t>Paracuru</t>
  </si>
  <si>
    <t>62680-000 a 62684-999</t>
  </si>
  <si>
    <t>Paraipaba</t>
  </si>
  <si>
    <t>62685-000 a 62689-999</t>
  </si>
  <si>
    <t>Paramoti</t>
  </si>
  <si>
    <t>62736-000 a 62737-999</t>
  </si>
  <si>
    <t>Pentecoste</t>
  </si>
  <si>
    <t>62640-000 a 62649-999</t>
  </si>
  <si>
    <t>Pindoretama</t>
  </si>
  <si>
    <t>62860-000 a 62869-999</t>
  </si>
  <si>
    <t>Quixadá</t>
  </si>
  <si>
    <t>63900-001 a 63949-999</t>
  </si>
  <si>
    <t>Redenção</t>
  </si>
  <si>
    <t>62790-000 a 62794-999</t>
  </si>
  <si>
    <t>Russas</t>
  </si>
  <si>
    <t>62900-000 a 62909-999</t>
  </si>
  <si>
    <t>São Gonçalo do Amarante</t>
  </si>
  <si>
    <t>62670-000 a 62679-999</t>
  </si>
  <si>
    <t>São Luís do Curu</t>
  </si>
  <si>
    <t>62665-000 a 62669-999</t>
  </si>
  <si>
    <t>Tejuçuoca</t>
  </si>
  <si>
    <t>62610-000 a 62619-999</t>
  </si>
  <si>
    <t>Trairi</t>
  </si>
  <si>
    <t>62690-000 a 62699-999</t>
  </si>
  <si>
    <t>Tururu</t>
  </si>
  <si>
    <t>62655-000 a 62659-999</t>
  </si>
  <si>
    <t>Umirim</t>
  </si>
  <si>
    <t>62660-000 a 62664-999</t>
  </si>
  <si>
    <t>Uruburetama</t>
  </si>
  <si>
    <t>62650-000 a 62654-999</t>
  </si>
  <si>
    <t>Acaraú</t>
  </si>
  <si>
    <t>62580-000 a 62589-999</t>
  </si>
  <si>
    <t>Acopiara</t>
  </si>
  <si>
    <t>63560-000 a 63569-999</t>
  </si>
  <si>
    <t>Alcântaras</t>
  </si>
  <si>
    <t>62120-000 a 62129-999</t>
  </si>
  <si>
    <t>Alto Santo</t>
  </si>
  <si>
    <t>62970-000 a 62979-999</t>
  </si>
  <si>
    <t>Ararendá</t>
  </si>
  <si>
    <t>62210-000 a 62214-999</t>
  </si>
  <si>
    <t>Banabuiú</t>
  </si>
  <si>
    <t>63960-000 a 63969-999</t>
  </si>
  <si>
    <t>Bela Cruz</t>
  </si>
  <si>
    <t>62570-000 a 62579-999</t>
  </si>
  <si>
    <t>Boa Viagem</t>
  </si>
  <si>
    <t>63870-000 a 63899-999</t>
  </si>
  <si>
    <t>Camocim</t>
  </si>
  <si>
    <t>62400-000 a 62409-999</t>
  </si>
  <si>
    <t>Cariré</t>
  </si>
  <si>
    <t>62184-000 a 62189-999</t>
  </si>
  <si>
    <t>Carnaubal</t>
  </si>
  <si>
    <t>62375-000 a 62379-999</t>
  </si>
  <si>
    <t>Catarina</t>
  </si>
  <si>
    <t>63595-000 a 63599-999</t>
  </si>
  <si>
    <t>Catunda</t>
  </si>
  <si>
    <t>62297-000 a 62299-999</t>
  </si>
  <si>
    <t>Choró</t>
  </si>
  <si>
    <t>63950-000 a 63959-999</t>
  </si>
  <si>
    <t>Coreaú</t>
  </si>
  <si>
    <t>62160-000 a 62169-999</t>
  </si>
  <si>
    <t>Crateús</t>
  </si>
  <si>
    <t>63700-000 a 63739-999</t>
  </si>
  <si>
    <t>Croatá</t>
  </si>
  <si>
    <t>62390-000 a 62399-999</t>
  </si>
  <si>
    <t>Cruz</t>
  </si>
  <si>
    <t>62595-000 a 62597-999</t>
  </si>
  <si>
    <t>Deputado Irapuan Pinheiro</t>
  </si>
  <si>
    <t>63645-000 a 63649-999</t>
  </si>
  <si>
    <t>Ereré</t>
  </si>
  <si>
    <t>63470-000 a 63474-999</t>
  </si>
  <si>
    <t>Forquilha</t>
  </si>
  <si>
    <t>62115-000 a 62119-999</t>
  </si>
  <si>
    <t>Frecheirinha</t>
  </si>
  <si>
    <t>62340-000 a 62349-999</t>
  </si>
  <si>
    <t>Granja</t>
  </si>
  <si>
    <t>62430-000 a 62449-999</t>
  </si>
  <si>
    <t>Graça</t>
  </si>
  <si>
    <t>62365-000 a 62369-999</t>
  </si>
  <si>
    <t>Groaíras</t>
  </si>
  <si>
    <t>62190-000 a 62199-999</t>
  </si>
  <si>
    <t>Guaraciaba do Norte</t>
  </si>
  <si>
    <t>62380-000 a 62389-999</t>
  </si>
  <si>
    <t>Hidrolândia</t>
  </si>
  <si>
    <t>62270-000 a 62279-999</t>
  </si>
  <si>
    <t>Ibiapina</t>
  </si>
  <si>
    <t>62360-000 a 62364-999</t>
  </si>
  <si>
    <t>Icapuí</t>
  </si>
  <si>
    <t>62810-000 a 62814-999</t>
  </si>
  <si>
    <t>Icó</t>
  </si>
  <si>
    <t>63430-000 a 63459-999</t>
  </si>
  <si>
    <t>Iguatu</t>
  </si>
  <si>
    <t>63500-001 a 63514-999</t>
  </si>
  <si>
    <t>Independência</t>
  </si>
  <si>
    <t>63640-000 a 63644-999</t>
  </si>
  <si>
    <t>Ipu</t>
  </si>
  <si>
    <t>62250-000 a 62254-999</t>
  </si>
  <si>
    <t>Ipueiras</t>
  </si>
  <si>
    <t>62230-000 a 62249-999</t>
  </si>
  <si>
    <t>Iracema</t>
  </si>
  <si>
    <t>62980-000 a 62989-999</t>
  </si>
  <si>
    <t>Itarema</t>
  </si>
  <si>
    <t>62590-000 a 62594-999</t>
  </si>
  <si>
    <t>Jaguaretama</t>
  </si>
  <si>
    <t>63480-000 a 63489-999</t>
  </si>
  <si>
    <t>Jaguaribara</t>
  </si>
  <si>
    <t>63490-000 a 63499-999</t>
  </si>
  <si>
    <t>Jaguaribe</t>
  </si>
  <si>
    <t>63475-000 a 63479-999</t>
  </si>
  <si>
    <t>Jaguaruana</t>
  </si>
  <si>
    <t>62823-000 a 62839-999</t>
  </si>
  <si>
    <t>Jijoca de Jericoacoara</t>
  </si>
  <si>
    <t>62598-000 a 62599-999</t>
  </si>
  <si>
    <t>Limoeiro do Norte</t>
  </si>
  <si>
    <t>62930-000 a 62939-999</t>
  </si>
  <si>
    <t>Marco</t>
  </si>
  <si>
    <t>62560-000 a 62569-999</t>
  </si>
  <si>
    <t>Martinópole</t>
  </si>
  <si>
    <t>62450-000 a 62459-999</t>
  </si>
  <si>
    <t>Massapê</t>
  </si>
  <si>
    <t>62140-000 a 62149-999</t>
  </si>
  <si>
    <t>Meruoca</t>
  </si>
  <si>
    <t>62130-000 a 62139-999</t>
  </si>
  <si>
    <t>Milhã</t>
  </si>
  <si>
    <t>63635-000 a 63639-999</t>
  </si>
  <si>
    <t>Mombaça</t>
  </si>
  <si>
    <t>63610-000 a 63619-999</t>
  </si>
  <si>
    <t>Monsenhor Tabosa</t>
  </si>
  <si>
    <t>63780-000 a 63799-999</t>
  </si>
  <si>
    <t>Moraújo</t>
  </si>
  <si>
    <t>62480-000 a 62499-999</t>
  </si>
  <si>
    <t>Morrinhos</t>
  </si>
  <si>
    <t>62550-000 a 62559-999</t>
  </si>
  <si>
    <t>Mucambo</t>
  </si>
  <si>
    <t>62170-000 a 62179-999</t>
  </si>
  <si>
    <t>Nova Russas</t>
  </si>
  <si>
    <t>62200-000 a 62209-999</t>
  </si>
  <si>
    <t>Orós</t>
  </si>
  <si>
    <t>63520-000 a 63529-999</t>
  </si>
  <si>
    <t>Pacujá</t>
  </si>
  <si>
    <t>62180-000 a 62183-999</t>
  </si>
  <si>
    <t>Pedra Branca</t>
  </si>
  <si>
    <t>63630-000 a 63634-999</t>
  </si>
  <si>
    <t>Pereiro</t>
  </si>
  <si>
    <t>63460-000 a 63469-999</t>
  </si>
  <si>
    <t>Piquet Carneiro</t>
  </si>
  <si>
    <t>63605-000 a 63609-999</t>
  </si>
  <si>
    <t>Pires Ferreira</t>
  </si>
  <si>
    <t>62255-000 a 62259-999</t>
  </si>
  <si>
    <t>Poranga</t>
  </si>
  <si>
    <t>62220-000 a 62229-999</t>
  </si>
  <si>
    <t>Potiretama</t>
  </si>
  <si>
    <t>62990-000 a 62999-999</t>
  </si>
  <si>
    <t>Quixelô</t>
  </si>
  <si>
    <t>63515-000 a 63519-999</t>
  </si>
  <si>
    <t>Quixeramobim</t>
  </si>
  <si>
    <t>63800-000 a 63859-999</t>
  </si>
  <si>
    <t>Quixeré</t>
  </si>
  <si>
    <t>62920-000 a 62929-999</t>
  </si>
  <si>
    <t>Reriutaba</t>
  </si>
  <si>
    <t>62260-000 a 62264-999</t>
  </si>
  <si>
    <t>Santa Quitéria</t>
  </si>
  <si>
    <t>62280-000 a 62296-999</t>
  </si>
  <si>
    <t>Santana do Acaraú</t>
  </si>
  <si>
    <t>62150-000 a 62159-999</t>
  </si>
  <si>
    <t>Senador Pompeu</t>
  </si>
  <si>
    <t>63600-000 a 63604-999</t>
  </si>
  <si>
    <t>Senador Sá</t>
  </si>
  <si>
    <t>62470-000 a 62479-999</t>
  </si>
  <si>
    <t>Sobral</t>
  </si>
  <si>
    <t>62000-001 a 62114-999</t>
  </si>
  <si>
    <t>Solonópole</t>
  </si>
  <si>
    <t>63620-000 a 63629-999</t>
  </si>
  <si>
    <t>São Benedito</t>
  </si>
  <si>
    <t>62370-000 a 62374-999</t>
  </si>
  <si>
    <t>São João do Jaguaribe</t>
  </si>
  <si>
    <t>62965-000 a 62969-999</t>
  </si>
  <si>
    <t>Tabuleiro do Norte</t>
  </si>
  <si>
    <t>62960-000 a 62964-999</t>
  </si>
  <si>
    <t>Tamboril</t>
  </si>
  <si>
    <t>63750-000 a 63779-999</t>
  </si>
  <si>
    <t>Tauá</t>
  </si>
  <si>
    <t>63660-000 a 63669-999</t>
  </si>
  <si>
    <t>Tianguá</t>
  </si>
  <si>
    <t>62320-000 a 62339-999</t>
  </si>
  <si>
    <t>Ubajara</t>
  </si>
  <si>
    <t>62350-000 a 62359-999</t>
  </si>
  <si>
    <t>Uruoca</t>
  </si>
  <si>
    <t>62460-000 a 62469-999</t>
  </si>
  <si>
    <t>Varjota</t>
  </si>
  <si>
    <t>62265-000 a 62269-999</t>
  </si>
  <si>
    <t>Viçosa do Ceará</t>
  </si>
  <si>
    <t>62300-000 a 62319-999</t>
  </si>
  <si>
    <t>Várzea Alegre</t>
  </si>
  <si>
    <t>63540-000 a 63559-999</t>
  </si>
  <si>
    <t>Abaiara</t>
  </si>
  <si>
    <t>63240-000 a 63249-999</t>
  </si>
  <si>
    <t>Aiuaba</t>
  </si>
  <si>
    <t>63575-000 a 63579-999</t>
  </si>
  <si>
    <t>Altaneira</t>
  </si>
  <si>
    <t>63195-000 a 63199-999</t>
  </si>
  <si>
    <t>Antonina do Norte</t>
  </si>
  <si>
    <t>63570-000 a 63574-999</t>
  </si>
  <si>
    <t>Araripe</t>
  </si>
  <si>
    <t>63170-000 a 63179-999</t>
  </si>
  <si>
    <t>Arneiroz</t>
  </si>
  <si>
    <t>63670-000 a 63679-999</t>
  </si>
  <si>
    <t>Assaré</t>
  </si>
  <si>
    <t>63140-000 a 63144-999</t>
  </si>
  <si>
    <t>Aurora</t>
  </si>
  <si>
    <t>63360-000 a 63379-999</t>
  </si>
  <si>
    <t>Baixio</t>
  </si>
  <si>
    <t>63320-000 a 63339-999</t>
  </si>
  <si>
    <t>Barbalha</t>
  </si>
  <si>
    <t>63180-000 a 63184-999</t>
  </si>
  <si>
    <t>Barro</t>
  </si>
  <si>
    <t>63380-000 a 63399-999</t>
  </si>
  <si>
    <t>Barroquinha</t>
  </si>
  <si>
    <t>62410-000 a 62419-999</t>
  </si>
  <si>
    <t>Brejo Santo</t>
  </si>
  <si>
    <t>63260-000 a 63269-999</t>
  </si>
  <si>
    <t>Campos Sales</t>
  </si>
  <si>
    <t>63150-000 a 63154-999</t>
  </si>
  <si>
    <t>Caririaçu</t>
  </si>
  <si>
    <t>63220-000 a 63229-999</t>
  </si>
  <si>
    <t>Cariús</t>
  </si>
  <si>
    <t>63530-000 a 63539-999</t>
  </si>
  <si>
    <t>Cedro</t>
  </si>
  <si>
    <t>63400-000 a 63429-999</t>
  </si>
  <si>
    <t>Chaval</t>
  </si>
  <si>
    <t>62420-000 a 62429-999</t>
  </si>
  <si>
    <t>Crato</t>
  </si>
  <si>
    <t>63100-001 a 63139-999</t>
  </si>
  <si>
    <t>Farias Brito</t>
  </si>
  <si>
    <t>63185-000 a 63189-999</t>
  </si>
  <si>
    <t>Granjeiro</t>
  </si>
  <si>
    <t>63230-000 a 63239-999</t>
  </si>
  <si>
    <t>Ipaporanga</t>
  </si>
  <si>
    <t>62215-000 a 62219-999</t>
  </si>
  <si>
    <t>Ipaumirim</t>
  </si>
  <si>
    <t>63340-000 a 63359-999</t>
  </si>
  <si>
    <t>Jati</t>
  </si>
  <si>
    <t>63275-000 a 63279-999</t>
  </si>
  <si>
    <t>Juazeiro do Norte</t>
  </si>
  <si>
    <t>63000-001 a 63099-999</t>
  </si>
  <si>
    <t>Jucás</t>
  </si>
  <si>
    <t>63580-000 a 63589-999</t>
  </si>
  <si>
    <t>Lavras da Mangabeira</t>
  </si>
  <si>
    <t>63300-000 a 63309-999</t>
  </si>
  <si>
    <t>Mauriti</t>
  </si>
  <si>
    <t>63210-000 a 63219-999</t>
  </si>
  <si>
    <t>63250-000 a 63259-999</t>
  </si>
  <si>
    <t>Missão Velha</t>
  </si>
  <si>
    <t>63200-000 a 63209-999</t>
  </si>
  <si>
    <t>Nova Olinda</t>
  </si>
  <si>
    <t>63165-000 a 63169-999</t>
  </si>
  <si>
    <t>Novo Oriente</t>
  </si>
  <si>
    <t>63740-000 a 63749-999</t>
  </si>
  <si>
    <t>Parambu</t>
  </si>
  <si>
    <t>63680-000 a 63699-999</t>
  </si>
  <si>
    <t>Penaforte</t>
  </si>
  <si>
    <t>63280-000 a 63289-999</t>
  </si>
  <si>
    <t>Porteiras</t>
  </si>
  <si>
    <t>63270-000 a 63274-999</t>
  </si>
  <si>
    <t>Potengi</t>
  </si>
  <si>
    <t>63160-000 a 63164-999</t>
  </si>
  <si>
    <t>Quiterianópolis</t>
  </si>
  <si>
    <t>63650-000 a 63659-999</t>
  </si>
  <si>
    <t>Saboeiro</t>
  </si>
  <si>
    <t>63590-000 a 63594-999</t>
  </si>
  <si>
    <t>Salitre</t>
  </si>
  <si>
    <t>63155-000 a 63159-999</t>
  </si>
  <si>
    <t>Santana do Cariri</t>
  </si>
  <si>
    <t>63190-000 a 63194-999</t>
  </si>
  <si>
    <t>Tarrafas</t>
  </si>
  <si>
    <t>63145-000 a 63149-999</t>
  </si>
  <si>
    <t>Umari</t>
  </si>
  <si>
    <t>63310-000 a 63319-999</t>
  </si>
  <si>
    <t>70000-001 a 72799-999</t>
  </si>
  <si>
    <t>Brazlandia</t>
  </si>
  <si>
    <t>72720-901 a 72705-516</t>
  </si>
  <si>
    <t>CIDADE SATELITE</t>
  </si>
  <si>
    <t>Candangolândia</t>
  </si>
  <si>
    <t>71725-020 a 71727-800</t>
  </si>
  <si>
    <t>Ceilandia</t>
  </si>
  <si>
    <t>72237-100 - 72243-166</t>
  </si>
  <si>
    <t>Cruzeiro</t>
  </si>
  <si>
    <t xml:space="preserve"> 70648-500 - 70648-148</t>
  </si>
  <si>
    <t>Gama</t>
  </si>
  <si>
    <t>72429-005 - 72426-190</t>
  </si>
  <si>
    <t>Guará</t>
  </si>
  <si>
    <t>71070-700 - 71225-512</t>
  </si>
  <si>
    <t>Lago Norte</t>
  </si>
  <si>
    <t>71569-899 -  71540-092</t>
  </si>
  <si>
    <t>Lago Sul</t>
  </si>
  <si>
    <t>72595-070 - 71680-090</t>
  </si>
  <si>
    <t>Núcleo Bandeirante</t>
  </si>
  <si>
    <t xml:space="preserve"> 71735-710 - 71730-000</t>
  </si>
  <si>
    <t>Paranoá</t>
  </si>
  <si>
    <t>71574-100 - 71573-310</t>
  </si>
  <si>
    <t>Planaltina</t>
  </si>
  <si>
    <t>73380-991 - 73375-603</t>
  </si>
  <si>
    <t>Recanto das Emas</t>
  </si>
  <si>
    <t>72667-500 - 72600-500</t>
  </si>
  <si>
    <t>Riacho Fundo</t>
  </si>
  <si>
    <t>71882-080 - 71828-050</t>
  </si>
  <si>
    <t>Samambaia</t>
  </si>
  <si>
    <t>72316-325 - 72333-502</t>
  </si>
  <si>
    <t>Santa Maria</t>
  </si>
  <si>
    <t>72595-350 - 72550-076</t>
  </si>
  <si>
    <t>73100-011 - 73100-720</t>
  </si>
  <si>
    <t>71693-331 - 71697-401</t>
  </si>
  <si>
    <t>Taguatinga</t>
  </si>
  <si>
    <t>72127-200 - 72023-445</t>
  </si>
  <si>
    <t>Vitória</t>
  </si>
  <si>
    <t>29000-001 a 29099-999</t>
  </si>
  <si>
    <t>Cariacica</t>
  </si>
  <si>
    <t>29140-001 a 29159-999</t>
  </si>
  <si>
    <t>Serra</t>
  </si>
  <si>
    <t>29160-001 a 29184-999</t>
  </si>
  <si>
    <t>Viana</t>
  </si>
  <si>
    <t>29130-001 a 29139-999</t>
  </si>
  <si>
    <t>Vila Velha</t>
  </si>
  <si>
    <t>29100-001 a 29129-999</t>
  </si>
  <si>
    <t>Alfredo Chaves</t>
  </si>
  <si>
    <t>29240-000 a 29254-999</t>
  </si>
  <si>
    <t>Anchieta</t>
  </si>
  <si>
    <t>29230-000 a 29239-999</t>
  </si>
  <si>
    <t>Aracruz</t>
  </si>
  <si>
    <t>29190-001 a 29199-999</t>
  </si>
  <si>
    <t>Domingos Martins</t>
  </si>
  <si>
    <t>29260-000 a 29279-999</t>
  </si>
  <si>
    <t>Fundão</t>
  </si>
  <si>
    <t>29185-000 a 29189-999</t>
  </si>
  <si>
    <t>Guarapari</t>
  </si>
  <si>
    <t>29200-001 a 29229-999</t>
  </si>
  <si>
    <t>Ibiraçu</t>
  </si>
  <si>
    <t>29670-000 a 29679-999</t>
  </si>
  <si>
    <t>Iconha</t>
  </si>
  <si>
    <t>29280-000 a 29284-999</t>
  </si>
  <si>
    <t>Itarana</t>
  </si>
  <si>
    <t>29620-000 a 29629-999</t>
  </si>
  <si>
    <t>João Neiva</t>
  </si>
  <si>
    <t>29680-000 a 29689-999</t>
  </si>
  <si>
    <t>Marechal Floriano</t>
  </si>
  <si>
    <t>29255-000 a 29259-999</t>
  </si>
  <si>
    <t>Piúma</t>
  </si>
  <si>
    <t>29285-000 a 29289-999</t>
  </si>
  <si>
    <t>Presidente Kennedy</t>
  </si>
  <si>
    <t>3204302</t>
  </si>
  <si>
    <t>29350-000 a 29359-999</t>
  </si>
  <si>
    <t>Rio Novo do Sul</t>
  </si>
  <si>
    <t>29290-000 a 29294-999</t>
  </si>
  <si>
    <t>Santa Leopoldina</t>
  </si>
  <si>
    <t>29640-000 a 29644-999</t>
  </si>
  <si>
    <t>Santa Maria de Jetibá</t>
  </si>
  <si>
    <t>29645-000 a 29649-999</t>
  </si>
  <si>
    <t>Santa Teresa</t>
  </si>
  <si>
    <t>29650-000 a 29664-999</t>
  </si>
  <si>
    <t>São Roque do Canaã</t>
  </si>
  <si>
    <t>29665-000 a 29669-999</t>
  </si>
  <si>
    <t>Venda Nova do Imigrante</t>
  </si>
  <si>
    <t>29375-000 a 29379-999</t>
  </si>
  <si>
    <t>Afonso Cláudio</t>
  </si>
  <si>
    <t>29600-000 a 29614-999</t>
  </si>
  <si>
    <t>Alegre</t>
  </si>
  <si>
    <t>29500-000 a 29539-999</t>
  </si>
  <si>
    <t>Alto Rio Novo</t>
  </si>
  <si>
    <t>29760-000 a 29769-999</t>
  </si>
  <si>
    <t>Apiacá</t>
  </si>
  <si>
    <t>29450-000 a 29459-999</t>
  </si>
  <si>
    <t>Atílio Vivácqua</t>
  </si>
  <si>
    <t>29490-000 a 29499-999</t>
  </si>
  <si>
    <t>Baixo Guandu</t>
  </si>
  <si>
    <t>29730-000 a 29744-999</t>
  </si>
  <si>
    <t>Bom Jesus do Norte</t>
  </si>
  <si>
    <t>29460-000 a 29469-999</t>
  </si>
  <si>
    <t>Brejetuba</t>
  </si>
  <si>
    <t>29630-000 a 29639-999</t>
  </si>
  <si>
    <t>Cachoeiro de Itapemirim</t>
  </si>
  <si>
    <t>29300-001 a 29329-999</t>
  </si>
  <si>
    <t>Castelo</t>
  </si>
  <si>
    <t>29360-000 a 29369-999</t>
  </si>
  <si>
    <t>Colatina</t>
  </si>
  <si>
    <t>29700-001 a 29719-999</t>
  </si>
  <si>
    <t>Conceição do Castelo</t>
  </si>
  <si>
    <t>29370-000 a 29374-999</t>
  </si>
  <si>
    <t>Governador Lindenberg</t>
  </si>
  <si>
    <t>29720-000 a 29724-999</t>
  </si>
  <si>
    <t>Guaçuí</t>
  </si>
  <si>
    <t>29560-000 a 29579-999</t>
  </si>
  <si>
    <t>Ibatiba</t>
  </si>
  <si>
    <t>29395-000 a 29397-999</t>
  </si>
  <si>
    <t>Irupi</t>
  </si>
  <si>
    <t>29398-000 a 29399-999</t>
  </si>
  <si>
    <t>Itaguaçu</t>
  </si>
  <si>
    <t>29690-000 a 29699-999</t>
  </si>
  <si>
    <t>Itapemirim</t>
  </si>
  <si>
    <t>29330-000 a 29344-999</t>
  </si>
  <si>
    <t>Iúna</t>
  </si>
  <si>
    <t>29390-000 a 29394-999</t>
  </si>
  <si>
    <t>Jaguaré</t>
  </si>
  <si>
    <t>29950-000 a 29959-999</t>
  </si>
  <si>
    <t>Jerônimo Monteiro</t>
  </si>
  <si>
    <t>29550-000 a 29559-999</t>
  </si>
  <si>
    <t>Laranja da Terra</t>
  </si>
  <si>
    <t>29615-000 a 29619-999</t>
  </si>
  <si>
    <t>Linhares</t>
  </si>
  <si>
    <t>29900-001 a 29919-999</t>
  </si>
  <si>
    <t>Marataízes</t>
  </si>
  <si>
    <t>29345-000 a 29349-999</t>
  </si>
  <si>
    <t>Marilândia</t>
  </si>
  <si>
    <t>29725-000 a 29729-999</t>
  </si>
  <si>
    <t>Mimoso do Sul</t>
  </si>
  <si>
    <t>29400-000 a 29449-999</t>
  </si>
  <si>
    <t>Muniz Freire</t>
  </si>
  <si>
    <t>29380-000 a 29389-999</t>
  </si>
  <si>
    <t>Muqui</t>
  </si>
  <si>
    <t>29480-000 a 29489-999</t>
  </si>
  <si>
    <t>Pancas</t>
  </si>
  <si>
    <t>29750-000 a 29759-999</t>
  </si>
  <si>
    <t>Rio Bananal</t>
  </si>
  <si>
    <t>29920-000 a 29926-999</t>
  </si>
  <si>
    <t>Sooretama</t>
  </si>
  <si>
    <t>29927-000 a 29929-999</t>
  </si>
  <si>
    <t>São Domingos do Norte</t>
  </si>
  <si>
    <t>29745-000 a 29749-999</t>
  </si>
  <si>
    <t>São Gabriel da Palha</t>
  </si>
  <si>
    <t>29780-000 a 29784-999</t>
  </si>
  <si>
    <t>São José do Calçado</t>
  </si>
  <si>
    <t>29470-000 a 29479-999</t>
  </si>
  <si>
    <t>São Mateus</t>
  </si>
  <si>
    <t>29930-001 a 29949-999</t>
  </si>
  <si>
    <t>Vargem Alta</t>
  </si>
  <si>
    <t>29295-000 a 29299-999</t>
  </si>
  <si>
    <t>Vila Valério</t>
  </si>
  <si>
    <t>29785-000 a 29794-999</t>
  </si>
  <si>
    <t>Águia Branca</t>
  </si>
  <si>
    <t>29795-000 a 29799-999</t>
  </si>
  <si>
    <t>Barra de São Francisco</t>
  </si>
  <si>
    <t>29800-000 a 29819-999</t>
  </si>
  <si>
    <t>Boa Esperança</t>
  </si>
  <si>
    <t>29845-000 a 29849-999</t>
  </si>
  <si>
    <t>Conceição da Barra</t>
  </si>
  <si>
    <t>29960-000 a 29969-999</t>
  </si>
  <si>
    <t>Divino de São Lourenço</t>
  </si>
  <si>
    <t>29590-000 a 29599-999</t>
  </si>
  <si>
    <t>Dores do Rio Preto</t>
  </si>
  <si>
    <t>29580-000 a 29589-999</t>
  </si>
  <si>
    <t>Ecoporanga</t>
  </si>
  <si>
    <t>29850-000 a 29879-999</t>
  </si>
  <si>
    <t>Ibitirama</t>
  </si>
  <si>
    <t>29540-000 a 29549-999</t>
  </si>
  <si>
    <t>Mantenópolis</t>
  </si>
  <si>
    <t>29770-000 a 29779-999</t>
  </si>
  <si>
    <t>Montanha</t>
  </si>
  <si>
    <t>29890-000 a 29899-999</t>
  </si>
  <si>
    <t>Mucurici</t>
  </si>
  <si>
    <t>29880-000 a 29884-999</t>
  </si>
  <si>
    <t>Nova Venécia</t>
  </si>
  <si>
    <t>29830-000 a 29842-999</t>
  </si>
  <si>
    <t>Pedro Canário</t>
  </si>
  <si>
    <t>29970-000 a 29979-999</t>
  </si>
  <si>
    <t>Pinheiros</t>
  </si>
  <si>
    <t>29980-000 a 29999-999</t>
  </si>
  <si>
    <t>Ponto Belo</t>
  </si>
  <si>
    <t>29885-000 a 29889-999</t>
  </si>
  <si>
    <t>Vila Pavão</t>
  </si>
  <si>
    <t>29843-000 a 29844-999</t>
  </si>
  <si>
    <t>Água Doce do Norte</t>
  </si>
  <si>
    <t>29820-000 a 29829-999</t>
  </si>
  <si>
    <t>74000-001 a 74899-999</t>
  </si>
  <si>
    <t>Abadia de Goiás</t>
  </si>
  <si>
    <t>75345-000 a 75349-999</t>
  </si>
  <si>
    <t>Anhanguera</t>
  </si>
  <si>
    <t>75770-000 a 75779-999</t>
  </si>
  <si>
    <t>Aparecida de Goiânia</t>
  </si>
  <si>
    <t>74900-001 a 74999-999</t>
  </si>
  <si>
    <t>Aragoiânia</t>
  </si>
  <si>
    <t>75360-000 a 75369-999</t>
  </si>
  <si>
    <t>Bonfinópolis</t>
  </si>
  <si>
    <t>75195-000 a 75199-999</t>
  </si>
  <si>
    <t>Goianira</t>
  </si>
  <si>
    <t>75370-000 a 75374-999</t>
  </si>
  <si>
    <t>Goianápolis</t>
  </si>
  <si>
    <t>75170-000 a 75174-999</t>
  </si>
  <si>
    <t>Guapó</t>
  </si>
  <si>
    <t>75350-000 a 75354-999</t>
  </si>
  <si>
    <t>75340-000 a 75344-999</t>
  </si>
  <si>
    <t>Nerópolis</t>
  </si>
  <si>
    <t>75460-000 a 75469-999</t>
  </si>
  <si>
    <t>Santo Antônio de Goiás</t>
  </si>
  <si>
    <t>75375-000 a 75379-999</t>
  </si>
  <si>
    <t>Senador Canedo</t>
  </si>
  <si>
    <t>75250-001 a 75264-999</t>
  </si>
  <si>
    <t>Terezópolis de Goiás</t>
  </si>
  <si>
    <t>75175-000 a 75179-999</t>
  </si>
  <si>
    <t>Trindade</t>
  </si>
  <si>
    <t>75380-001 a 75394-999</t>
  </si>
  <si>
    <t>Abadiânia</t>
  </si>
  <si>
    <t>72940-000 a 72959-999</t>
  </si>
  <si>
    <t>Acreúna</t>
  </si>
  <si>
    <t>75960-000 a 75969-999</t>
  </si>
  <si>
    <t>Adelândia</t>
  </si>
  <si>
    <t>76155-000 a 76159-999</t>
  </si>
  <si>
    <t>Alexânia</t>
  </si>
  <si>
    <t>72930-000 a 72939-999</t>
  </si>
  <si>
    <t>Aloândia</t>
  </si>
  <si>
    <t>75615-000 a 75619-999</t>
  </si>
  <si>
    <t>Americano do Brasil</t>
  </si>
  <si>
    <t>76165-000 a 76169-999</t>
  </si>
  <si>
    <t>Amorinópolis</t>
  </si>
  <si>
    <t>76140-000 a 76144-999</t>
  </si>
  <si>
    <t>Anicuns</t>
  </si>
  <si>
    <t>76170-000 a 76179-999</t>
  </si>
  <si>
    <t>Anápolis</t>
  </si>
  <si>
    <t>75000-001 a 75159-999</t>
  </si>
  <si>
    <t>Araguapaz</t>
  </si>
  <si>
    <t>76720-000 a 76729-999</t>
  </si>
  <si>
    <t>Araçu</t>
  </si>
  <si>
    <t>75410-000 a 75419-999</t>
  </si>
  <si>
    <t>Arenópolis</t>
  </si>
  <si>
    <t>76235-000 a 76239-999</t>
  </si>
  <si>
    <t>Aurilândia</t>
  </si>
  <si>
    <t>76120-000 a 76124-999</t>
  </si>
  <si>
    <t>Avelinópolis</t>
  </si>
  <si>
    <t>75395-000 a 75395-999</t>
  </si>
  <si>
    <t>76390-000 a 76392-999</t>
  </si>
  <si>
    <t>Bela Vista de Goiás</t>
  </si>
  <si>
    <t>75240-000 a 75244-999</t>
  </si>
  <si>
    <t>Bom Jesus de Goiás</t>
  </si>
  <si>
    <t>75570-000 a 75579-999</t>
  </si>
  <si>
    <t>Brazabrantes</t>
  </si>
  <si>
    <t>75440-000 a 75449-999</t>
  </si>
  <si>
    <t>Buriti Alegre</t>
  </si>
  <si>
    <t>75660-000 a 75664-999</t>
  </si>
  <si>
    <t>Buriti de Goiás</t>
  </si>
  <si>
    <t>76152-000 a 76154-999</t>
  </si>
  <si>
    <t>Cachoeira de Goiás</t>
  </si>
  <si>
    <t>76125-000 a 76129-999</t>
  </si>
  <si>
    <t>Cachoeira Dourada</t>
  </si>
  <si>
    <t>75560-000 a 75569-999</t>
  </si>
  <si>
    <t>Caldas Novas</t>
  </si>
  <si>
    <t>75690-000 a 75694-999</t>
  </si>
  <si>
    <t>Caldazinha</t>
  </si>
  <si>
    <t>75245-000 a 75249-999</t>
  </si>
  <si>
    <t>Campestre de Goiás</t>
  </si>
  <si>
    <t>75396-000 a 75397-999</t>
  </si>
  <si>
    <t>Campo Alegre de Goiás</t>
  </si>
  <si>
    <t>75795-000 a 75799-999</t>
  </si>
  <si>
    <t>Campo Limpo de Goiás</t>
  </si>
  <si>
    <t>75160-000 a 75164-999</t>
  </si>
  <si>
    <t>Carmo do Rio Verde</t>
  </si>
  <si>
    <t>76340-000 a 76342-999</t>
  </si>
  <si>
    <t>Castelândia</t>
  </si>
  <si>
    <t>75925-000 a 75929-999</t>
  </si>
  <si>
    <t>Catalão</t>
  </si>
  <si>
    <t>75700-001 a 75714-999</t>
  </si>
  <si>
    <t>Caturaí</t>
  </si>
  <si>
    <t>75430-000 a 75439-999</t>
  </si>
  <si>
    <t>Ceres</t>
  </si>
  <si>
    <t>76300-000 a 76303-999</t>
  </si>
  <si>
    <t>Cezarina</t>
  </si>
  <si>
    <t>76195-000 a 76199-999</t>
  </si>
  <si>
    <t>Cidade Ocidental</t>
  </si>
  <si>
    <t>72880-001 a 72899-999</t>
  </si>
  <si>
    <t>Cocalzinho de Goiás</t>
  </si>
  <si>
    <t>72975-000 a 72979-999</t>
  </si>
  <si>
    <t>Corumbaíba</t>
  </si>
  <si>
    <t>75680-000 a 75689-999</t>
  </si>
  <si>
    <t>Corumbá de Goiás</t>
  </si>
  <si>
    <t>72960-000 a 72974-999</t>
  </si>
  <si>
    <t>Cristalina</t>
  </si>
  <si>
    <t>73850-000 a 73859-999</t>
  </si>
  <si>
    <t>Cristianópolis</t>
  </si>
  <si>
    <t>75230-000 a 75239-999</t>
  </si>
  <si>
    <t>Cromínia</t>
  </si>
  <si>
    <t>75635-000 a 75639-999</t>
  </si>
  <si>
    <t>Cumari</t>
  </si>
  <si>
    <t>75760-000 a 75769-999</t>
  </si>
  <si>
    <t>Córrego do Ouro</t>
  </si>
  <si>
    <t>76145-000 a 76149-999</t>
  </si>
  <si>
    <t>Damolândia</t>
  </si>
  <si>
    <t>75420-000 a 75429-999</t>
  </si>
  <si>
    <t>Diorama</t>
  </si>
  <si>
    <t>76260-000 a 76264-999</t>
  </si>
  <si>
    <t>Edealina</t>
  </si>
  <si>
    <t>75945-000 a 75949-999</t>
  </si>
  <si>
    <t>Edéia</t>
  </si>
  <si>
    <t>75940-000 a 75944-999</t>
  </si>
  <si>
    <t>Faina</t>
  </si>
  <si>
    <t>76740-000 a 76759-999</t>
  </si>
  <si>
    <t>Fazenda Nova</t>
  </si>
  <si>
    <t>76220-000 a 76229-999</t>
  </si>
  <si>
    <t>Firminópolis</t>
  </si>
  <si>
    <t>76105-000 a 76109-999</t>
  </si>
  <si>
    <t>Formosa</t>
  </si>
  <si>
    <t>73800-001 a 73819-999</t>
  </si>
  <si>
    <t>Gameleira de Goiás</t>
  </si>
  <si>
    <t>75184-000 a 75184-999</t>
  </si>
  <si>
    <t>Goiandira</t>
  </si>
  <si>
    <t>75740-000 a 75749-999</t>
  </si>
  <si>
    <t>Goianésia</t>
  </si>
  <si>
    <t>76380-001 a 76389-999</t>
  </si>
  <si>
    <t>Goiatuba</t>
  </si>
  <si>
    <t>75600-000 a 75602-999</t>
  </si>
  <si>
    <t>Goiás</t>
  </si>
  <si>
    <t>76600-000 a 76629-999</t>
  </si>
  <si>
    <t>Guaraíta</t>
  </si>
  <si>
    <t>76690-000 a 76699-999</t>
  </si>
  <si>
    <t>Guarinos</t>
  </si>
  <si>
    <t>76374-000 a 76374-999</t>
  </si>
  <si>
    <t>Heitoraí</t>
  </si>
  <si>
    <t>76670-000 a 76679-999</t>
  </si>
  <si>
    <t>Hidrolina</t>
  </si>
  <si>
    <t>76375-000 a 76379-999</t>
  </si>
  <si>
    <t>Inaciolândia</t>
  </si>
  <si>
    <t>75550-000 a 75554-999</t>
  </si>
  <si>
    <t>Indiara</t>
  </si>
  <si>
    <t>75955-000 a 75959-999</t>
  </si>
  <si>
    <t>Inhumas</t>
  </si>
  <si>
    <t>75400-000 a 75409-999</t>
  </si>
  <si>
    <t>Ipameri</t>
  </si>
  <si>
    <t>75780-000 a 75789-999</t>
  </si>
  <si>
    <t>Ipiranga de Goiás</t>
  </si>
  <si>
    <t>76304-000 a 76304-999</t>
  </si>
  <si>
    <t>Iporá</t>
  </si>
  <si>
    <t>76200-000 a 76204-999</t>
  </si>
  <si>
    <t>Israelândia</t>
  </si>
  <si>
    <t>76205-000 a 76209-999</t>
  </si>
  <si>
    <t>Itaberaí</t>
  </si>
  <si>
    <t>76630-000 a 76639-999</t>
  </si>
  <si>
    <t>Itaguari</t>
  </si>
  <si>
    <t>76650-000 a 76659-999</t>
  </si>
  <si>
    <t>Itaguaru</t>
  </si>
  <si>
    <t>76660-000 a 76669-999</t>
  </si>
  <si>
    <t>Itapaci</t>
  </si>
  <si>
    <t>76360-000 a 76364-999</t>
  </si>
  <si>
    <t>Itapirapuã</t>
  </si>
  <si>
    <t>76290-000 a 76299-999</t>
  </si>
  <si>
    <t>Itapuranga</t>
  </si>
  <si>
    <t>76680-000 a 76689-999</t>
  </si>
  <si>
    <t>Itauçu</t>
  </si>
  <si>
    <t>75450-000 a 75454-999</t>
  </si>
  <si>
    <t>Itumbiara</t>
  </si>
  <si>
    <t>75500-001 a 75549-999</t>
  </si>
  <si>
    <t>Ivolândia</t>
  </si>
  <si>
    <t>76130-000 a 76134-999</t>
  </si>
  <si>
    <t>Jandaia</t>
  </si>
  <si>
    <t>75950-000 a 75954-999</t>
  </si>
  <si>
    <t>Jaraguá</t>
  </si>
  <si>
    <t>76330-000 a 76334-999</t>
  </si>
  <si>
    <t>Jaupaci</t>
  </si>
  <si>
    <t>76210-000 a 76219-999</t>
  </si>
  <si>
    <t>Jesúpolis</t>
  </si>
  <si>
    <t>75495-000 a 75499-999</t>
  </si>
  <si>
    <t>Joviânia</t>
  </si>
  <si>
    <t>75610-000 a 75614-999</t>
  </si>
  <si>
    <t>76270-000 a 76279-999</t>
  </si>
  <si>
    <t>Leopoldo de Bulhões</t>
  </si>
  <si>
    <t>75190-000 a 75194-999</t>
  </si>
  <si>
    <t>Luziânia</t>
  </si>
  <si>
    <t>72800-001 a 72859-999</t>
  </si>
  <si>
    <t>Mairipotaba</t>
  </si>
  <si>
    <t>75630-000 a 75634-999</t>
  </si>
  <si>
    <t>Marzagão</t>
  </si>
  <si>
    <t>75670-000 a 75679-999</t>
  </si>
  <si>
    <t>Matrinchã</t>
  </si>
  <si>
    <t>76730-000 a 76739-999</t>
  </si>
  <si>
    <t>Maurilândia</t>
  </si>
  <si>
    <t>75930-000 a 75934-999</t>
  </si>
  <si>
    <t>Mimoso de Goiás</t>
  </si>
  <si>
    <t>73730-000 a 73739-999</t>
  </si>
  <si>
    <t>Moiporá</t>
  </si>
  <si>
    <t>76135-000 a 76139-999</t>
  </si>
  <si>
    <t>Montes Claros de Goiás</t>
  </si>
  <si>
    <t>76255-000 a 76259-999</t>
  </si>
  <si>
    <t>Montividiu</t>
  </si>
  <si>
    <t>75915-000 a 75919-999</t>
  </si>
  <si>
    <t>76393-000 a 76393-999</t>
  </si>
  <si>
    <t>Morro Agudo de Goiás</t>
  </si>
  <si>
    <t>76355-000 a 76359-999</t>
  </si>
  <si>
    <t>Mossâmedes</t>
  </si>
  <si>
    <t>76150-000 a 76151-999</t>
  </si>
  <si>
    <t>Nazário</t>
  </si>
  <si>
    <t>76180-000 a 76189-999</t>
  </si>
  <si>
    <t>Nova América</t>
  </si>
  <si>
    <t>76345-000 a 76349-999</t>
  </si>
  <si>
    <t>Nova Aurora</t>
  </si>
  <si>
    <t>75750-000 a 75759-999</t>
  </si>
  <si>
    <t>Nova Glória</t>
  </si>
  <si>
    <t>76305-000 a 76309-999</t>
  </si>
  <si>
    <t>Nova Veneza</t>
  </si>
  <si>
    <t>75470-000 a 75479-999</t>
  </si>
  <si>
    <t>Novo Brasil</t>
  </si>
  <si>
    <t>76285-000 a 76289-999</t>
  </si>
  <si>
    <t>Novo Gama</t>
  </si>
  <si>
    <t>72860-001 a 72869-999</t>
  </si>
  <si>
    <t>Orizona</t>
  </si>
  <si>
    <t>75280-000 a 75339-999</t>
  </si>
  <si>
    <t>Ouro Verde de Goiás</t>
  </si>
  <si>
    <t>75165-000 a 75169-999</t>
  </si>
  <si>
    <t>Ouvidor</t>
  </si>
  <si>
    <t>75715-000 a 75719-999</t>
  </si>
  <si>
    <t>Padre Bernardo</t>
  </si>
  <si>
    <t>73700-000 a 73729-999</t>
  </si>
  <si>
    <t>Palestina de Goiás</t>
  </si>
  <si>
    <t>75845-000 a 75849-999</t>
  </si>
  <si>
    <t>Palmeiras de Goiás</t>
  </si>
  <si>
    <t>76190-000 a 76194-999</t>
  </si>
  <si>
    <t>Palmelo</t>
  </si>
  <si>
    <t>75210-000 a 75219-999</t>
  </si>
  <si>
    <t>Palminópolis</t>
  </si>
  <si>
    <t>75990-000 a 76099-999</t>
  </si>
  <si>
    <t>Panamá</t>
  </si>
  <si>
    <t>75580-000 a 75599-999</t>
  </si>
  <si>
    <t>Paraúna</t>
  </si>
  <si>
    <t>75980-000 a 75984-999</t>
  </si>
  <si>
    <t>Petrolina de Goiás</t>
  </si>
  <si>
    <t>75480-000 a 75489-999</t>
  </si>
  <si>
    <t>Pilar de Goiás</t>
  </si>
  <si>
    <t>76372-000 a 76372-999</t>
  </si>
  <si>
    <t>Piracanjuba</t>
  </si>
  <si>
    <t>75640-000 a 75644-999</t>
  </si>
  <si>
    <t>Pirenópolis</t>
  </si>
  <si>
    <t>72980-000 a 72989-999</t>
  </si>
  <si>
    <t>Pires do Rio</t>
  </si>
  <si>
    <t>75200-000 a 75209-999</t>
  </si>
  <si>
    <t>73750-001 a 73759-999</t>
  </si>
  <si>
    <t>Pontalina</t>
  </si>
  <si>
    <t>75620-000 a 75629-999</t>
  </si>
  <si>
    <t>Porteirão</t>
  </si>
  <si>
    <t>75603-000 a 75609-999</t>
  </si>
  <si>
    <t>Professor Jamil</t>
  </si>
  <si>
    <t>75645-000 a 75649-999</t>
  </si>
  <si>
    <t>Quirinópolis</t>
  </si>
  <si>
    <t>75860-000 a 75864-999</t>
  </si>
  <si>
    <t>Rialma</t>
  </si>
  <si>
    <t>76310-000 a 76314-999</t>
  </si>
  <si>
    <t>Rianápolis</t>
  </si>
  <si>
    <t>76315-000 a 76319-999</t>
  </si>
  <si>
    <t>Rio Quente</t>
  </si>
  <si>
    <t>75695-000 a 75699-999</t>
  </si>
  <si>
    <t>Rio Verde</t>
  </si>
  <si>
    <t>75900-001 a 75914-999</t>
  </si>
  <si>
    <t>Rubiataba</t>
  </si>
  <si>
    <t>76350-000 a 76354-999</t>
  </si>
  <si>
    <t>Sanclerlândia</t>
  </si>
  <si>
    <t>76160-000 a 76164-999</t>
  </si>
  <si>
    <t>Santa Bárbara de Goiás</t>
  </si>
  <si>
    <t>75398-000 a 75399-999</t>
  </si>
  <si>
    <t>Santa Cruz de Goiás</t>
  </si>
  <si>
    <t>75220-000 a 75229-999</t>
  </si>
  <si>
    <t>Santa Fé de Goiás</t>
  </si>
  <si>
    <t>76265-000 a 76269-999</t>
  </si>
  <si>
    <t>Santa Helena de Goiás</t>
  </si>
  <si>
    <t>75920-000 a 75924-999</t>
  </si>
  <si>
    <t>Santa Isabel</t>
  </si>
  <si>
    <t>76320-000 a 76329-999</t>
  </si>
  <si>
    <t>Santa Rita do Novo Destino</t>
  </si>
  <si>
    <t>76395-000 a 76399-999</t>
  </si>
  <si>
    <t>Santa Rosa de Goiás</t>
  </si>
  <si>
    <t>75455-000 a 75459-999</t>
  </si>
  <si>
    <t>Santa Terezinha de Goiás</t>
  </si>
  <si>
    <t>76500-000 a 76509-999</t>
  </si>
  <si>
    <t>Santo Antônio da Barra</t>
  </si>
  <si>
    <t>75935-000 a 75939-999</t>
  </si>
  <si>
    <t>Santo Antônio do Descoberto</t>
  </si>
  <si>
    <t>72900-001 a 72909-999</t>
  </si>
  <si>
    <t>Silvânia</t>
  </si>
  <si>
    <t>75180-000 a 75183-999</t>
  </si>
  <si>
    <t>São Francisco de Goiás</t>
  </si>
  <si>
    <t>75490-000 a 75494-999</t>
  </si>
  <si>
    <t>São João da Paraúna</t>
  </si>
  <si>
    <t>75985-000 a 75989-999</t>
  </si>
  <si>
    <t>São Luiz do Norte</t>
  </si>
  <si>
    <t>76365-000 a 76369-999</t>
  </si>
  <si>
    <t>São Luís de Montes Belos</t>
  </si>
  <si>
    <t>76100-000 a 76104-999</t>
  </si>
  <si>
    <t>São Miguel do Passa Quatro</t>
  </si>
  <si>
    <t>75185-000 a 75189-999</t>
  </si>
  <si>
    <t>São Patrício</t>
  </si>
  <si>
    <t>76343-000 a 76344-999</t>
  </si>
  <si>
    <t>Taquaral de Goiás</t>
  </si>
  <si>
    <t>76640-000 a 76649-999</t>
  </si>
  <si>
    <t>Três Ranchos</t>
  </si>
  <si>
    <t>75720-000 a 75729-999</t>
  </si>
  <si>
    <t>Turvelândia</t>
  </si>
  <si>
    <t>75970-000 a 75979-999</t>
  </si>
  <si>
    <t>Turvânia</t>
  </si>
  <si>
    <t>76110-000 a 76119-999</t>
  </si>
  <si>
    <t>Uruana</t>
  </si>
  <si>
    <t>76335-000 a 76339-999</t>
  </si>
  <si>
    <t>Uruaçu</t>
  </si>
  <si>
    <t>76400-000 a 76409-999</t>
  </si>
  <si>
    <t>Urutaí</t>
  </si>
  <si>
    <t>75790-000 a 75794-999</t>
  </si>
  <si>
    <t>Valparaíso de Goiás</t>
  </si>
  <si>
    <t>72870-001 a 72879-999</t>
  </si>
  <si>
    <t>Varjão</t>
  </si>
  <si>
    <t>75355-000 a 75359-999</t>
  </si>
  <si>
    <t>Vianópolis</t>
  </si>
  <si>
    <t>75265-000 a 75279-999</t>
  </si>
  <si>
    <t>Vicentinópolis</t>
  </si>
  <si>
    <t>75555-000 a 75559-999</t>
  </si>
  <si>
    <t>Vila Propício</t>
  </si>
  <si>
    <t>Água Limpa</t>
  </si>
  <si>
    <t>75665-000 a 75669-999</t>
  </si>
  <si>
    <t>Águas Lindas de Goiás</t>
  </si>
  <si>
    <t>72910-001 a 72929-999</t>
  </si>
  <si>
    <t>Alto Horizonte</t>
  </si>
  <si>
    <t>76560-000 a 76579-999</t>
  </si>
  <si>
    <t>Alto Paraíso de Goiás</t>
  </si>
  <si>
    <t>73770-000 a 73779-999</t>
  </si>
  <si>
    <t>Alvorada do Norte</t>
  </si>
  <si>
    <t>73950-000 a 73969-999</t>
  </si>
  <si>
    <t>Amaralina</t>
  </si>
  <si>
    <t>76493-000 a 76494-999</t>
  </si>
  <si>
    <t>Aparecida do Rio Doce</t>
  </si>
  <si>
    <t>75827-000 a 75827-999</t>
  </si>
  <si>
    <t>Aporé</t>
  </si>
  <si>
    <t>75825-000 a 75826-999</t>
  </si>
  <si>
    <t>Aragarças</t>
  </si>
  <si>
    <t>76240-000 a 76244-999</t>
  </si>
  <si>
    <t>Aruanã</t>
  </si>
  <si>
    <t>76710-000 a 76719-999</t>
  </si>
  <si>
    <t>Baliza</t>
  </si>
  <si>
    <t>76250-000 a 76254-999</t>
  </si>
  <si>
    <t>Bom Jardim de Goiás</t>
  </si>
  <si>
    <t>76245-000 a 76249-999</t>
  </si>
  <si>
    <t>Bonópolis</t>
  </si>
  <si>
    <t>76555-000 a 76559-999</t>
  </si>
  <si>
    <t>Britânia</t>
  </si>
  <si>
    <t>76280-000 a 76284-999</t>
  </si>
  <si>
    <t>Buritinópolis</t>
  </si>
  <si>
    <t>73975-000 a 73979-999</t>
  </si>
  <si>
    <t>Cabeceiras</t>
  </si>
  <si>
    <t>73870-000 a 73889-999</t>
  </si>
  <si>
    <t>Cachoeira Alta</t>
  </si>
  <si>
    <t>75870-000 a 75879-999</t>
  </si>
  <si>
    <t>Caiapônia</t>
  </si>
  <si>
    <t>75850-000 a 75854-999</t>
  </si>
  <si>
    <t>Campinaçu</t>
  </si>
  <si>
    <t>76440-000 a 76449-999</t>
  </si>
  <si>
    <t>Campinorte</t>
  </si>
  <si>
    <t>76410-000 a 76419-999</t>
  </si>
  <si>
    <t>Campos Verdes</t>
  </si>
  <si>
    <t>76515-000 a 76519-999</t>
  </si>
  <si>
    <t>Cavalcante</t>
  </si>
  <si>
    <t>73790-000 a 73794-999</t>
  </si>
  <si>
    <t>Caçu</t>
  </si>
  <si>
    <t>75813-000 a 75814-999</t>
  </si>
  <si>
    <t>Chapadão do Céu</t>
  </si>
  <si>
    <t>75828-000 a 75829-999</t>
  </si>
  <si>
    <t>Colinas do Sul</t>
  </si>
  <si>
    <t>73740-000 a 73749-999</t>
  </si>
  <si>
    <t>Crixás</t>
  </si>
  <si>
    <t>76510-000 a 76514-999</t>
  </si>
  <si>
    <t>Damianópolis</t>
  </si>
  <si>
    <t>73980-000 a 73989-999</t>
  </si>
  <si>
    <t>Davinópolis</t>
  </si>
  <si>
    <t>75730-000 a 75739-999</t>
  </si>
  <si>
    <t>Doverlândia</t>
  </si>
  <si>
    <t>75855-000 a 75859-999</t>
  </si>
  <si>
    <t>Estrela do Norte</t>
  </si>
  <si>
    <t>76485-000 a 76489-999</t>
  </si>
  <si>
    <t>Flores de Goiás</t>
  </si>
  <si>
    <t>73890-000 a 73899-999</t>
  </si>
  <si>
    <t>Formoso</t>
  </si>
  <si>
    <t>76470-000 a 76479-999</t>
  </si>
  <si>
    <t>Gouvelândia</t>
  </si>
  <si>
    <t>75865-000 a 75869-999</t>
  </si>
  <si>
    <t>Guarani de Goiás</t>
  </si>
  <si>
    <t>73910-000 a 73919-999</t>
  </si>
  <si>
    <t>Iaciara</t>
  </si>
  <si>
    <t>73920-000 a 73929-999</t>
  </si>
  <si>
    <t>Itajá</t>
  </si>
  <si>
    <t>75815-000 a 75818-999</t>
  </si>
  <si>
    <t>Itarumã</t>
  </si>
  <si>
    <t>75810-000 a 75812-999</t>
  </si>
  <si>
    <t>Jataí</t>
  </si>
  <si>
    <t>75800-001 a 75809-999</t>
  </si>
  <si>
    <t>Lagoa Santa</t>
  </si>
  <si>
    <t>75819-000 a 75819-999</t>
  </si>
  <si>
    <t>Mambaí</t>
  </si>
  <si>
    <t>73970-000 a 73974-999</t>
  </si>
  <si>
    <t>Mara Rosa</t>
  </si>
  <si>
    <t>76490-000 a 76492-999</t>
  </si>
  <si>
    <t>Minaçu</t>
  </si>
  <si>
    <t>76450-000 a 76459-999</t>
  </si>
  <si>
    <t>Mineiros</t>
  </si>
  <si>
    <t>75830-000 a 75834-999</t>
  </si>
  <si>
    <t>Monte Alegre de Goiás</t>
  </si>
  <si>
    <t>73830-000 a 73839-999</t>
  </si>
  <si>
    <t>Montividiu do Norte</t>
  </si>
  <si>
    <t>76465-000 a 76469-999</t>
  </si>
  <si>
    <t>Mozarlândia</t>
  </si>
  <si>
    <t>76700-000 a 76709-999</t>
  </si>
  <si>
    <t>76530-000 a 76539-999</t>
  </si>
  <si>
    <t>Mutunópolis</t>
  </si>
  <si>
    <t>76540-000 a 76549-999</t>
  </si>
  <si>
    <t>Niquelândia</t>
  </si>
  <si>
    <t>76420-000 a 76439-999</t>
  </si>
  <si>
    <t>Nova Crixás</t>
  </si>
  <si>
    <t>76520-000 a 76524-999</t>
  </si>
  <si>
    <t>Nova Iguaçu de Goiás</t>
  </si>
  <si>
    <t>76495-000 a 76499-999</t>
  </si>
  <si>
    <t>Nova Roma</t>
  </si>
  <si>
    <t>73820-000 a 73824-999</t>
  </si>
  <si>
    <t>Novo Planalto</t>
  </si>
  <si>
    <t>76580-000 a 76589-999</t>
  </si>
  <si>
    <t>Paranaiguara</t>
  </si>
  <si>
    <t>75880-000 a 75889-999</t>
  </si>
  <si>
    <t>Perolândia</t>
  </si>
  <si>
    <t>75823-000 a 75824-999</t>
  </si>
  <si>
    <t>76230-000 a 76234-999</t>
  </si>
  <si>
    <t>Porangatu</t>
  </si>
  <si>
    <t>76550-000 a 76554-999</t>
  </si>
  <si>
    <t>Portelândia</t>
  </si>
  <si>
    <t>75835-000 a 75839-999</t>
  </si>
  <si>
    <t>Posse</t>
  </si>
  <si>
    <t>73900-000 a 73909-999</t>
  </si>
  <si>
    <t>Santa Rita do Araguaia</t>
  </si>
  <si>
    <t>75840-000 a 75844-999</t>
  </si>
  <si>
    <t>Santa Tereza de Goiás</t>
  </si>
  <si>
    <t>76480-000 a 76484-999</t>
  </si>
  <si>
    <t>Serranópolis</t>
  </si>
  <si>
    <t>75820-000 a 75822-999</t>
  </si>
  <si>
    <t>Simolândia</t>
  </si>
  <si>
    <t>73930-000 a 73949-999</t>
  </si>
  <si>
    <t>São João D'Aliança</t>
  </si>
  <si>
    <t>73760-000 a 73769-999</t>
  </si>
  <si>
    <t>São Miguel do Araguaia</t>
  </si>
  <si>
    <t>76590-000 a 76599-999</t>
  </si>
  <si>
    <t>São Simão</t>
  </si>
  <si>
    <t>75890-000 a 75899-999</t>
  </si>
  <si>
    <t>Sítio D'Abadia</t>
  </si>
  <si>
    <t>73990-000 a 73999-999</t>
  </si>
  <si>
    <t>Teresina de Goiás</t>
  </si>
  <si>
    <t>73795-000 a 73799-999</t>
  </si>
  <si>
    <t>Trombas</t>
  </si>
  <si>
    <t>76460-000 a 76464-999</t>
  </si>
  <si>
    <t>Uirapuru</t>
  </si>
  <si>
    <t>76525-000 a 76529-999</t>
  </si>
  <si>
    <t>Vila Boa</t>
  </si>
  <si>
    <t>73825-000 a 73829-999</t>
  </si>
  <si>
    <t>Água Fria de Goiás</t>
  </si>
  <si>
    <t>73780-000 a 73789-999</t>
  </si>
  <si>
    <t>Campos Belos</t>
  </si>
  <si>
    <t>73840-000 a 73849-999</t>
  </si>
  <si>
    <t>Divinópolis de Goiás</t>
  </si>
  <si>
    <t>73865-000 a 73869-999</t>
  </si>
  <si>
    <t>73860-000 a 73864-999</t>
  </si>
  <si>
    <t>São Luís</t>
  </si>
  <si>
    <t>65000-001 a 65109-999</t>
  </si>
  <si>
    <t>Paço do Lumiar</t>
  </si>
  <si>
    <t>65130-000 a 65137-999</t>
  </si>
  <si>
    <t>Raposa</t>
  </si>
  <si>
    <t>65138-000 a 65139-999</t>
  </si>
  <si>
    <t>São José de Ribamar</t>
  </si>
  <si>
    <t>65110-000 a 65129-999</t>
  </si>
  <si>
    <t>Alto Alegre do Maranhão</t>
  </si>
  <si>
    <t>65413-000 a 65414-999</t>
  </si>
  <si>
    <t>Amapá do Maranhão</t>
  </si>
  <si>
    <t>65293-000 a 65293-999</t>
  </si>
  <si>
    <t>Anajatuba</t>
  </si>
  <si>
    <t>65490-000 a 65494-999</t>
  </si>
  <si>
    <t>Arari</t>
  </si>
  <si>
    <t>65480-000 a 65484-999</t>
  </si>
  <si>
    <t>Axixá</t>
  </si>
  <si>
    <t>65148-000 a 65149-999</t>
  </si>
  <si>
    <t>Bacabeira</t>
  </si>
  <si>
    <t>65143-000 a 65144-999</t>
  </si>
  <si>
    <t>Bela Vista do Maranhão</t>
  </si>
  <si>
    <t>65335-000 a 65339-999</t>
  </si>
  <si>
    <t>Cachoeira Grande</t>
  </si>
  <si>
    <t>65165-000 a 65169-999</t>
  </si>
  <si>
    <t>Cajari</t>
  </si>
  <si>
    <t>65210-000 a 65212-999</t>
  </si>
  <si>
    <t>Cantanhede</t>
  </si>
  <si>
    <t>65465-000 a 65467-999</t>
  </si>
  <si>
    <t>Humberto de Campos</t>
  </si>
  <si>
    <t>65180-000 a 65189-999</t>
  </si>
  <si>
    <t>Icatu</t>
  </si>
  <si>
    <t>65170-000 a 65179-999</t>
  </si>
  <si>
    <t>Igarapé do Meio</t>
  </si>
  <si>
    <t>65345-000 a 65349-999</t>
  </si>
  <si>
    <t>Itapecuru Mirim</t>
  </si>
  <si>
    <t>65485-000 a 65489-999</t>
  </si>
  <si>
    <t>Lago da Pedra</t>
  </si>
  <si>
    <t>65715-000 a 65715-999</t>
  </si>
  <si>
    <t>Matinha</t>
  </si>
  <si>
    <t>65218-000 a 65219-999</t>
  </si>
  <si>
    <t>Matões do Norte</t>
  </si>
  <si>
    <t>65468-000 a 65469-999</t>
  </si>
  <si>
    <t>Miranda do Norte</t>
  </si>
  <si>
    <t>65495-000 a 65499-999</t>
  </si>
  <si>
    <t>Morros</t>
  </si>
  <si>
    <t>65160-000 a 65164-999</t>
  </si>
  <si>
    <t>Nina Rodrigues</t>
  </si>
  <si>
    <t>65450-000 a 65454-999</t>
  </si>
  <si>
    <t>Peritoró</t>
  </si>
  <si>
    <t>65418-000 a 65419-999</t>
  </si>
  <si>
    <t>Pirapemas</t>
  </si>
  <si>
    <t>65460-000 a 65464-999</t>
  </si>
  <si>
    <t>Presidente Juscelino</t>
  </si>
  <si>
    <t>65140-000 a 65142-999</t>
  </si>
  <si>
    <t>Presidente Vargas</t>
  </si>
  <si>
    <t>65455-000 a 65459-999</t>
  </si>
  <si>
    <t>Primeira Cruz</t>
  </si>
  <si>
    <t>65190-000 a 65194-999</t>
  </si>
  <si>
    <t>Rosário</t>
  </si>
  <si>
    <t>65150-000 a 65152-999</t>
  </si>
  <si>
    <t>65350-000 a 65359-999</t>
  </si>
  <si>
    <t>Santa Rita</t>
  </si>
  <si>
    <t>65145-000 a 65147-999</t>
  </si>
  <si>
    <t>São Mateus do Maranhão</t>
  </si>
  <si>
    <t>65470-000 a 65479-999</t>
  </si>
  <si>
    <t>Vargem Grande</t>
  </si>
  <si>
    <t>65430-000 a 65439-999</t>
  </si>
  <si>
    <t>65215-000 a 65217-999</t>
  </si>
  <si>
    <t>Vitória do Mearim</t>
  </si>
  <si>
    <t>Afonso Cunha</t>
  </si>
  <si>
    <t>65505-000 a 65509-999</t>
  </si>
  <si>
    <t>Alcântara</t>
  </si>
  <si>
    <t>65250-000 a 65254-999</t>
  </si>
  <si>
    <t>Aldeias Altas</t>
  </si>
  <si>
    <t>65610-000 a 65614-999</t>
  </si>
  <si>
    <t>Altamira do Maranhão</t>
  </si>
  <si>
    <t>65310-000 a 65314-999</t>
  </si>
  <si>
    <t>Alto Alegre do Pindaré</t>
  </si>
  <si>
    <t>65398-000 a 65399-999</t>
  </si>
  <si>
    <t>Anapurus</t>
  </si>
  <si>
    <t>65525-000 a 65529-999</t>
  </si>
  <si>
    <t>Araguanã</t>
  </si>
  <si>
    <t>65368-000 a 65369-999</t>
  </si>
  <si>
    <t>Araioses</t>
  </si>
  <si>
    <t>65570-000 a 65577-999</t>
  </si>
  <si>
    <t>Bacabal</t>
  </si>
  <si>
    <t>65700-000 a 65703-999</t>
  </si>
  <si>
    <t>Bacurituba</t>
  </si>
  <si>
    <t>65233-000 a 65234-999</t>
  </si>
  <si>
    <t>Barreirinhas</t>
  </si>
  <si>
    <t>65590-000 a 65599-999</t>
  </si>
  <si>
    <t>Belágua</t>
  </si>
  <si>
    <t>65535-000 a 65539-999</t>
  </si>
  <si>
    <t>Bequimão</t>
  </si>
  <si>
    <t>65248-000 a 65249-999</t>
  </si>
  <si>
    <t>Bernardo do Mearim</t>
  </si>
  <si>
    <t>65723-000 a 65724-999</t>
  </si>
  <si>
    <t>Bom Lugar</t>
  </si>
  <si>
    <t>65704-000 a 65704-999</t>
  </si>
  <si>
    <t>Brejo</t>
  </si>
  <si>
    <t>65520-000 a 65524-999</t>
  </si>
  <si>
    <t>Brejo de Areia</t>
  </si>
  <si>
    <t>65315-000 a 65319-999</t>
  </si>
  <si>
    <t>Buriti</t>
  </si>
  <si>
    <t>65515-000 a 65519-999</t>
  </si>
  <si>
    <t>Cajapió</t>
  </si>
  <si>
    <t>65230-000 a 65232-999</t>
  </si>
  <si>
    <t>Capinzal do Norte</t>
  </si>
  <si>
    <t>65735-000 a 65739-999</t>
  </si>
  <si>
    <t>Carutapera</t>
  </si>
  <si>
    <t>65295-000 a 65298-999</t>
  </si>
  <si>
    <t>Caxias</t>
  </si>
  <si>
    <t>65600-001 a 65609-999</t>
  </si>
  <si>
    <t>Cedral</t>
  </si>
  <si>
    <t>65260-000 a 65262-999</t>
  </si>
  <si>
    <t>Central do Maranhão</t>
  </si>
  <si>
    <t>65267-000 a 65267-999</t>
  </si>
  <si>
    <t>Centro do Guilherme</t>
  </si>
  <si>
    <t>65288-000 a 65288-999</t>
  </si>
  <si>
    <t>Centro Novo do Maranhão</t>
  </si>
  <si>
    <t>65299-000 a 65299-999</t>
  </si>
  <si>
    <t>Chapadinha</t>
  </si>
  <si>
    <t>65500-000 a 65504-999</t>
  </si>
  <si>
    <t>Codó</t>
  </si>
  <si>
    <t>65400-000 a 65412-999</t>
  </si>
  <si>
    <t>Coelho Neto</t>
  </si>
  <si>
    <t>65620-000 a 65624-999</t>
  </si>
  <si>
    <t>Conceição do Lago-Açu</t>
  </si>
  <si>
    <t>65340-000 a 65344-999</t>
  </si>
  <si>
    <t>Coroatá</t>
  </si>
  <si>
    <t>65415-000 a 65417-999</t>
  </si>
  <si>
    <t>Cururupu</t>
  </si>
  <si>
    <t>65268-000 a 65268-999</t>
  </si>
  <si>
    <t>Cândido Mendes</t>
  </si>
  <si>
    <t>65280-000 a 65282-999</t>
  </si>
  <si>
    <t>Dom Pedro</t>
  </si>
  <si>
    <t>65765-000 a 65767-999</t>
  </si>
  <si>
    <t>Duque Bacelar</t>
  </si>
  <si>
    <t>65625-000 a 65629-999</t>
  </si>
  <si>
    <t>Esperantinópolis</t>
  </si>
  <si>
    <t>65750-000 a 65752-999</t>
  </si>
  <si>
    <t>Fortuna</t>
  </si>
  <si>
    <t>65695-000 a 65699-999</t>
  </si>
  <si>
    <t>Godofredo Viana</t>
  </si>
  <si>
    <t>65285-000 a 65287-999</t>
  </si>
  <si>
    <t>Gonçalves Dias</t>
  </si>
  <si>
    <t>65775-000 a 65779-999</t>
  </si>
  <si>
    <t>Governador Archer</t>
  </si>
  <si>
    <t>65770-000 a 65774-999</t>
  </si>
  <si>
    <t>Governador Eugênio Barros</t>
  </si>
  <si>
    <t>65780-000 a 65782-999</t>
  </si>
  <si>
    <t>Governador Luiz Rocha</t>
  </si>
  <si>
    <t>65795-000 a 65799-999</t>
  </si>
  <si>
    <t>Governador Newton Bello</t>
  </si>
  <si>
    <t>65363-000 a 65364-999</t>
  </si>
  <si>
    <t>Governador Nunes Freire</t>
  </si>
  <si>
    <t>65284-000 a 65284-999</t>
  </si>
  <si>
    <t>Graça Aranha</t>
  </si>
  <si>
    <t>65785-000 a 65789-999</t>
  </si>
  <si>
    <t>Guimarães</t>
  </si>
  <si>
    <t>65255-000 a 65259-999</t>
  </si>
  <si>
    <t>Igarapé Grande</t>
  </si>
  <si>
    <t>65720-000 a 65722-999</t>
  </si>
  <si>
    <t>Jatobá</t>
  </si>
  <si>
    <t>65693-000 a 65694-999</t>
  </si>
  <si>
    <t>Joselândia</t>
  </si>
  <si>
    <t>65755-000 a 65757-999</t>
  </si>
  <si>
    <t>Lago do Junco</t>
  </si>
  <si>
    <t>65710-000 a 65711-999</t>
  </si>
  <si>
    <t>Lago dos Rodrigues</t>
  </si>
  <si>
    <t>65712-000 a 65713-999</t>
  </si>
  <si>
    <t>Lago Verde</t>
  </si>
  <si>
    <t>65705-000 a 65705-999</t>
  </si>
  <si>
    <t>Lagoa Grande do Maranhão</t>
  </si>
  <si>
    <t>65718-000 a 65719-999</t>
  </si>
  <si>
    <t>Lima Campos</t>
  </si>
  <si>
    <t>65728-000 a 65729-999</t>
  </si>
  <si>
    <t>Magalhães de Almeida</t>
  </si>
  <si>
    <t>65560-000 a 65569-999</t>
  </si>
  <si>
    <t>Maracaçumé</t>
  </si>
  <si>
    <t>65289-000 a 65289-999</t>
  </si>
  <si>
    <t>Marajá do Sena</t>
  </si>
  <si>
    <t>65714-000 a 65714-999</t>
  </si>
  <si>
    <t>Maranhãozinho</t>
  </si>
  <si>
    <t>65283-000 a 65283-999</t>
  </si>
  <si>
    <t>Mata Roma</t>
  </si>
  <si>
    <t>65510-000 a 65514-999</t>
  </si>
  <si>
    <t>Matões</t>
  </si>
  <si>
    <t>65645-000 a 65649-999</t>
  </si>
  <si>
    <t>Milagres do Maranhão</t>
  </si>
  <si>
    <t>65545-000 a 65549-999</t>
  </si>
  <si>
    <t>Mirinzal</t>
  </si>
  <si>
    <t>65265-000 a 65266-999</t>
  </si>
  <si>
    <t>Monção</t>
  </si>
  <si>
    <t>65360-000 a 65362-999</t>
  </si>
  <si>
    <t>Nova Olinda do Maranhão</t>
  </si>
  <si>
    <t>65274-000 a 65274-999</t>
  </si>
  <si>
    <t>Olho D'Água das Cunhãs</t>
  </si>
  <si>
    <t>65706-000 a 65706-999</t>
  </si>
  <si>
    <t>Olinda Nova do Maranhão</t>
  </si>
  <si>
    <t>65223-000 a 65224-999</t>
  </si>
  <si>
    <t>Palmeirândia</t>
  </si>
  <si>
    <t>65238-000 a 65244-999</t>
  </si>
  <si>
    <t>Paulino Neves</t>
  </si>
  <si>
    <t>65585-000 a 65589-999</t>
  </si>
  <si>
    <t>Paulo Ramos</t>
  </si>
  <si>
    <t>65716-000 a 65717-999</t>
  </si>
  <si>
    <t>Pedreiras</t>
  </si>
  <si>
    <t>65725-000 a 65726-999</t>
  </si>
  <si>
    <t>Pedro do Rosário</t>
  </si>
  <si>
    <t>65206-000 a 65207-999</t>
  </si>
  <si>
    <t>Penalva</t>
  </si>
  <si>
    <t>65213-000 a 65214-999</t>
  </si>
  <si>
    <t>Peri Mirim</t>
  </si>
  <si>
    <t>65245-000 a 65247-999</t>
  </si>
  <si>
    <t>Pindaré-Mirim</t>
  </si>
  <si>
    <t>65370-000 a 65377-999</t>
  </si>
  <si>
    <t>Pinheiro</t>
  </si>
  <si>
    <t>65200-000 a 65203-999</t>
  </si>
  <si>
    <t>Pio XII</t>
  </si>
  <si>
    <t>65707-000 a 65707-999</t>
  </si>
  <si>
    <t>Porto Rico do Maranhão</t>
  </si>
  <si>
    <t>65263-000 a 65264-999</t>
  </si>
  <si>
    <t>Poção de Pedras</t>
  </si>
  <si>
    <t>65740-000 a 65749-999</t>
  </si>
  <si>
    <t>Presidente Médici</t>
  </si>
  <si>
    <t>65279-000 a 65279-999</t>
  </si>
  <si>
    <t>Presidente Sarney</t>
  </si>
  <si>
    <t>65204-000 a 65205-999</t>
  </si>
  <si>
    <t>Santa Filomena do Maranhão</t>
  </si>
  <si>
    <t>65768-000 a 65769-999</t>
  </si>
  <si>
    <t>Santa Helena</t>
  </si>
  <si>
    <t>65208-000 a 65209-999</t>
  </si>
  <si>
    <t>Santa Luzia do Paruá</t>
  </si>
  <si>
    <t>65272-000 a 65273-999</t>
  </si>
  <si>
    <t>Santa Quitéria do Maranhão</t>
  </si>
  <si>
    <t>65540-000 a 65544-999</t>
  </si>
  <si>
    <t>Santana do Maranhão</t>
  </si>
  <si>
    <t>65555-000 a 65559-999</t>
  </si>
  <si>
    <t>Santo Amaro do Maranhão</t>
  </si>
  <si>
    <t>65195-000 a 65199-999</t>
  </si>
  <si>
    <t>Santo Antônio dos Lopes</t>
  </si>
  <si>
    <t>65730-000 a 65734-999</t>
  </si>
  <si>
    <t>Satubinha</t>
  </si>
  <si>
    <t>65709-000 a 65709-999</t>
  </si>
  <si>
    <t>Senador Alexandre Costa</t>
  </si>
  <si>
    <t>65783-000 a 65784-999</t>
  </si>
  <si>
    <t>Serrano do Maranhão</t>
  </si>
  <si>
    <t>65269-000 a 65269-999</t>
  </si>
  <si>
    <t>São Benedito do Rio Preto</t>
  </si>
  <si>
    <t>65440-000 a 65449-999</t>
  </si>
  <si>
    <t>São Bento</t>
  </si>
  <si>
    <t>65235-000 a 65237-999</t>
  </si>
  <si>
    <t>São Bernardo</t>
  </si>
  <si>
    <t>65550-000 a 65554-999</t>
  </si>
  <si>
    <t>São Domingos do Maranhão</t>
  </si>
  <si>
    <t>65790-000 a 65794-999</t>
  </si>
  <si>
    <t>São Francisco do Maranhão</t>
  </si>
  <si>
    <t>65650-000 a 65659-999</t>
  </si>
  <si>
    <t>São José dos Basílios</t>
  </si>
  <si>
    <t>65762-000 a 65762-999</t>
  </si>
  <si>
    <t>São João Batista</t>
  </si>
  <si>
    <t>65225-000 a 65229-999</t>
  </si>
  <si>
    <t>São João do Carú</t>
  </si>
  <si>
    <t>65385-000 a 65389-999</t>
  </si>
  <si>
    <t>São João do Soter</t>
  </si>
  <si>
    <t>65615-000 a 65619-999</t>
  </si>
  <si>
    <t>São Luís Gonzaga do Maranhão</t>
  </si>
  <si>
    <t>65708-000 a 65708-999</t>
  </si>
  <si>
    <t>São Raimundo do Doca Bezerra</t>
  </si>
  <si>
    <t>65753-000 a 65754-999</t>
  </si>
  <si>
    <t>São Roberto</t>
  </si>
  <si>
    <t>65758-000 a 65759-999</t>
  </si>
  <si>
    <t>São Vicente Ferrer</t>
  </si>
  <si>
    <t>65220-000 a 65222-999</t>
  </si>
  <si>
    <t>Timbiras</t>
  </si>
  <si>
    <t>65420-000 a 65429-999</t>
  </si>
  <si>
    <t>Timon</t>
  </si>
  <si>
    <t>65630-001 a 65639-999</t>
  </si>
  <si>
    <t>Trizidela do Vale</t>
  </si>
  <si>
    <t>65727-000 a 65727-999</t>
  </si>
  <si>
    <t>Tufilândia</t>
  </si>
  <si>
    <t>65378-000 a 65379-999</t>
  </si>
  <si>
    <t>Tuntum</t>
  </si>
  <si>
    <t>65763-000 a 65764-999</t>
  </si>
  <si>
    <t>Turiaçu</t>
  </si>
  <si>
    <t>65278-000 a 65278-999</t>
  </si>
  <si>
    <t>Turilândia</t>
  </si>
  <si>
    <t>65276-000 a 65277-999</t>
  </si>
  <si>
    <t>Tutóia</t>
  </si>
  <si>
    <t>65580-000 a 65584-999</t>
  </si>
  <si>
    <t>Urbano Santos</t>
  </si>
  <si>
    <t>65530-000 a 65534-999</t>
  </si>
  <si>
    <t>Vitorino Freire</t>
  </si>
  <si>
    <t>65320-000 a 65334-999</t>
  </si>
  <si>
    <t>Zé Doca</t>
  </si>
  <si>
    <t>65365-000 a 65367-999</t>
  </si>
  <si>
    <t>Água Doce do Maranhão</t>
  </si>
  <si>
    <t>65578-000 a 65579-999</t>
  </si>
  <si>
    <t>Apicum-Açu</t>
  </si>
  <si>
    <t>65275-000 a 65275-999</t>
  </si>
  <si>
    <t>Bacuri</t>
  </si>
  <si>
    <t>65270-000 a 65271-999</t>
  </si>
  <si>
    <t>Barão de Grajaú</t>
  </si>
  <si>
    <t>65660-000 a 65664-999</t>
  </si>
  <si>
    <t>Boa Vista do Gurupi</t>
  </si>
  <si>
    <t>65292-000 a 65292-999</t>
  </si>
  <si>
    <t>Bom Jardim</t>
  </si>
  <si>
    <t>65380-000 a 65384-999</t>
  </si>
  <si>
    <t>Buriti Bravo</t>
  </si>
  <si>
    <t>65685-000 a 65689-999</t>
  </si>
  <si>
    <t>Fernando Falcão</t>
  </si>
  <si>
    <t>65964-000 a 65967-999</t>
  </si>
  <si>
    <t>Junco do Maranhão</t>
  </si>
  <si>
    <t>65294-000 a 65294-999</t>
  </si>
  <si>
    <t>Lagoa do Mato</t>
  </si>
  <si>
    <t>65683-000 a 65684-999</t>
  </si>
  <si>
    <t>Luís Domingues</t>
  </si>
  <si>
    <t>65290-000 a 65291-999</t>
  </si>
  <si>
    <t>Mirador</t>
  </si>
  <si>
    <t>65850-000 a 65859-999</t>
  </si>
  <si>
    <t>Nova Iorque</t>
  </si>
  <si>
    <t>65880-000 a 65884-999</t>
  </si>
  <si>
    <t>Paraibano</t>
  </si>
  <si>
    <t>65670-000 a 65679-999</t>
  </si>
  <si>
    <t>Parnarama</t>
  </si>
  <si>
    <t>65640-000 a 65644-999</t>
  </si>
  <si>
    <t>Passagem Franca</t>
  </si>
  <si>
    <t>65680-000 a 65682-999</t>
  </si>
  <si>
    <t>Pastos Bons</t>
  </si>
  <si>
    <t>65870-000 a 65879-999</t>
  </si>
  <si>
    <t>Sucupira do Norte</t>
  </si>
  <si>
    <t>65860-000 a 65869-999</t>
  </si>
  <si>
    <t>Sucupira do Riachão</t>
  </si>
  <si>
    <t>65668-000 a 65669-999</t>
  </si>
  <si>
    <t>São Domingos do Azeitão</t>
  </si>
  <si>
    <t>65888-000 a 65889-999</t>
  </si>
  <si>
    <t>São João dos Patos</t>
  </si>
  <si>
    <t>65665-000 a 65667-999</t>
  </si>
  <si>
    <t>Imperatriz</t>
  </si>
  <si>
    <t>65900-001 a 65919-999</t>
  </si>
  <si>
    <t>SUL 1</t>
  </si>
  <si>
    <t>Alto Parnaíba</t>
  </si>
  <si>
    <t>65810-000 a 65819-999</t>
  </si>
  <si>
    <t>SUL 2</t>
  </si>
  <si>
    <t>Amarante do Maranhão</t>
  </si>
  <si>
    <t>65923-000 a 65923-999</t>
  </si>
  <si>
    <t>Arame</t>
  </si>
  <si>
    <t>65945-000 a 65947-999</t>
  </si>
  <si>
    <t>Açailândia</t>
  </si>
  <si>
    <t>65930-000 a 65934-999</t>
  </si>
  <si>
    <t>Balsas</t>
  </si>
  <si>
    <t>65800-000 a 65804-999</t>
  </si>
  <si>
    <t>Barra do Corda</t>
  </si>
  <si>
    <t>65950-000 a 65961-999</t>
  </si>
  <si>
    <t>Benedito Leite</t>
  </si>
  <si>
    <t>65885-000 a 65887-999</t>
  </si>
  <si>
    <t>Bom Jesus das Selvas</t>
  </si>
  <si>
    <t>65395-000 a 65397-999</t>
  </si>
  <si>
    <t>Buriticupu</t>
  </si>
  <si>
    <t>65393-000 a 65394-999</t>
  </si>
  <si>
    <t>Buritirana</t>
  </si>
  <si>
    <t>65935-500 a 65935-999</t>
  </si>
  <si>
    <t>Campestre do Maranhão</t>
  </si>
  <si>
    <t>65968-000 a 65969-999</t>
  </si>
  <si>
    <t>Carolina</t>
  </si>
  <si>
    <t>65980-000 a 65989-999</t>
  </si>
  <si>
    <t>Cidelândia</t>
  </si>
  <si>
    <t>65921-000 a 65921-999</t>
  </si>
  <si>
    <t>Colinas</t>
  </si>
  <si>
    <t>65690-000 a 65692-999</t>
  </si>
  <si>
    <t>65927-000 a 65927-999</t>
  </si>
  <si>
    <t>Estreito</t>
  </si>
  <si>
    <t>65975-000 a 65977-999</t>
  </si>
  <si>
    <t>Feira Nova do Maranhão</t>
  </si>
  <si>
    <t>65995-000 a 65999-999</t>
  </si>
  <si>
    <t>Formosa da Serra Negra</t>
  </si>
  <si>
    <t>65943-000 a 65944-999</t>
  </si>
  <si>
    <t>Fortaleza dos Nogueiras</t>
  </si>
  <si>
    <t>65805-000 a 65807-999</t>
  </si>
  <si>
    <t>Governador Edison Lobão</t>
  </si>
  <si>
    <t>65928-000 a 65928-999</t>
  </si>
  <si>
    <t>Grajaú</t>
  </si>
  <si>
    <t>65940-000 a 65942-999</t>
  </si>
  <si>
    <t>Itaipava do Grajaú</t>
  </si>
  <si>
    <t>65948-000 a 65949-999</t>
  </si>
  <si>
    <t>Itinga do Maranhão</t>
  </si>
  <si>
    <t>65939-000 a 65939-999</t>
  </si>
  <si>
    <t>Jenipapo dos Vieiras</t>
  </si>
  <si>
    <t>65962-000 a 65963-999</t>
  </si>
  <si>
    <t>João Lisboa</t>
  </si>
  <si>
    <t>65922-000 a 65922-999</t>
  </si>
  <si>
    <t>Lajeado Novo</t>
  </si>
  <si>
    <t>65937-000 a 65937-999</t>
  </si>
  <si>
    <t>Loreto</t>
  </si>
  <si>
    <t>65895-000 a 65899-999</t>
  </si>
  <si>
    <t>Montes Altos</t>
  </si>
  <si>
    <t>65936-000 a 65936-999</t>
  </si>
  <si>
    <t>Nova Colinas</t>
  </si>
  <si>
    <t>65808-000 a 65809-999</t>
  </si>
  <si>
    <t>Porto Franco</t>
  </si>
  <si>
    <t>65970-000 a 65972-999</t>
  </si>
  <si>
    <t>Riachão</t>
  </si>
  <si>
    <t>65990-000 a 65994-999</t>
  </si>
  <si>
    <t>Ribamar Fiquene</t>
  </si>
  <si>
    <t>65938-000 a 65938-999</t>
  </si>
  <si>
    <t>Sambaíba</t>
  </si>
  <si>
    <t>65830-000 a 65839-999</t>
  </si>
  <si>
    <t>Senador La Rocque</t>
  </si>
  <si>
    <t>65935-000 a 65935-499</t>
  </si>
  <si>
    <t>São Francisco do Brejão</t>
  </si>
  <si>
    <t>65929-000 a 65929-999</t>
  </si>
  <si>
    <t>São Félix de Balsas</t>
  </si>
  <si>
    <t>65890-000 a 65894-999</t>
  </si>
  <si>
    <t>São João do Paraíso</t>
  </si>
  <si>
    <t>65973-000 a 65974-999</t>
  </si>
  <si>
    <t>São Pedro da Água Branca</t>
  </si>
  <si>
    <t>65920-000 a 65920-999</t>
  </si>
  <si>
    <t>São Pedro dos Crentes</t>
  </si>
  <si>
    <t>65978-000 a 65979-999</t>
  </si>
  <si>
    <t>São Raimundo das Mangabeiras</t>
  </si>
  <si>
    <t>65840-000 a 65849-999</t>
  </si>
  <si>
    <t>Sítio Novo</t>
  </si>
  <si>
    <t>65925-000 a 65926-999</t>
  </si>
  <si>
    <t>Tasso Fragoso</t>
  </si>
  <si>
    <t>65820-000 a 65829-999</t>
  </si>
  <si>
    <t>Vila Nova dos Martírios</t>
  </si>
  <si>
    <t>65924-000 a 65924-999</t>
  </si>
  <si>
    <t>Belo Horizonte</t>
  </si>
  <si>
    <t>30000-001 a 31999-999</t>
  </si>
  <si>
    <t>Betim</t>
  </si>
  <si>
    <t>32600-001 a 32699-999</t>
  </si>
  <si>
    <t>Confins</t>
  </si>
  <si>
    <t>33500-000 a 33599-999</t>
  </si>
  <si>
    <t>Contagem</t>
  </si>
  <si>
    <t>32000-001 a 32399-999</t>
  </si>
  <si>
    <t>Ibirité</t>
  </si>
  <si>
    <t>32400-001 a 32449-999</t>
  </si>
  <si>
    <t>Justinópolis (Ribeirão das Neves)</t>
  </si>
  <si>
    <t>37512-000 a 37513-999</t>
  </si>
  <si>
    <t>33400-000 a 33499-999</t>
  </si>
  <si>
    <t>Nova Lima</t>
  </si>
  <si>
    <t>34000-001 a 34019-999</t>
  </si>
  <si>
    <t>Raposos</t>
  </si>
  <si>
    <t>34400-000 a 34499-999</t>
  </si>
  <si>
    <t>Ribeirão das Neves</t>
  </si>
  <si>
    <t>33800-001 a 33979-999</t>
  </si>
  <si>
    <t>Rio Acima</t>
  </si>
  <si>
    <t>34300-000 a 34399-999</t>
  </si>
  <si>
    <t>Sabará</t>
  </si>
  <si>
    <t>34500-001 a 34799-999</t>
  </si>
  <si>
    <t>33000-001 a 33199-999</t>
  </si>
  <si>
    <t>Sarzedo</t>
  </si>
  <si>
    <t>32450-000 a 32469-999</t>
  </si>
  <si>
    <t>São José da Lapa</t>
  </si>
  <si>
    <t>33350-000 a 33399-999</t>
  </si>
  <si>
    <t>Vespasiano</t>
  </si>
  <si>
    <t>33200-000 a 33349-999</t>
  </si>
  <si>
    <t>Abaeté</t>
  </si>
  <si>
    <t>35620-000 a 35620-999</t>
  </si>
  <si>
    <t>Abre Campo</t>
  </si>
  <si>
    <t>35365-000 a 35366-999</t>
  </si>
  <si>
    <t>Acaiaca</t>
  </si>
  <si>
    <t>35438-000 a 35438-999</t>
  </si>
  <si>
    <t>Aguanil</t>
  </si>
  <si>
    <t>37273-000 a 37274-999</t>
  </si>
  <si>
    <t>Alfredo Vasconcelos</t>
  </si>
  <si>
    <t>36272-000 a 36274-999</t>
  </si>
  <si>
    <t>Alto Rio Doce</t>
  </si>
  <si>
    <t>36260-000 a 36264-999</t>
  </si>
  <si>
    <t>Alvinópolis</t>
  </si>
  <si>
    <t>35950-000 a 35959-999</t>
  </si>
  <si>
    <t>Alvorada de Minas</t>
  </si>
  <si>
    <t>39140-000 a 39149-999</t>
  </si>
  <si>
    <t>Amparo do Serra</t>
  </si>
  <si>
    <t>35444-000 a 35446-999</t>
  </si>
  <si>
    <t>Antônio Carlos</t>
  </si>
  <si>
    <t>36220-000 a 36224-999</t>
  </si>
  <si>
    <t>Antônio Dias</t>
  </si>
  <si>
    <t>35177-000 a 35178-999</t>
  </si>
  <si>
    <t>Aracitaba</t>
  </si>
  <si>
    <t>36255-000 a 36259-999</t>
  </si>
  <si>
    <t>Araponga</t>
  </si>
  <si>
    <t>36594-000 a 36599-999</t>
  </si>
  <si>
    <t>Araçaí</t>
  </si>
  <si>
    <t>35777-000 a 35779-999</t>
  </si>
  <si>
    <t>Araújos</t>
  </si>
  <si>
    <t>35603-000 a 35603-999</t>
  </si>
  <si>
    <t>Arcos</t>
  </si>
  <si>
    <t>35588-000 a 35589-999</t>
  </si>
  <si>
    <t>Astolfo Dutra</t>
  </si>
  <si>
    <t>36780-000 a 36783-999</t>
  </si>
  <si>
    <t>Augusto de Lima</t>
  </si>
  <si>
    <t>39219-000 a 39219-999</t>
  </si>
  <si>
    <t>Açucena</t>
  </si>
  <si>
    <t>35147-000 a 35147-999</t>
  </si>
  <si>
    <t>Baldim</t>
  </si>
  <si>
    <t>35732-000 a 35735-999</t>
  </si>
  <si>
    <t>Bambuí</t>
  </si>
  <si>
    <t>38900-000 a 38909-999</t>
  </si>
  <si>
    <t>Barbacena</t>
  </si>
  <si>
    <t>36200-001 a 36209-999</t>
  </si>
  <si>
    <t>Barra Longa</t>
  </si>
  <si>
    <t>35447-000 a 35449-999</t>
  </si>
  <si>
    <t>Barroso</t>
  </si>
  <si>
    <t>36212-000 a 36212-999</t>
  </si>
  <si>
    <t>Barão de Cocais</t>
  </si>
  <si>
    <t>35970-000 a 35983-999</t>
  </si>
  <si>
    <t>Bela Vista de Minas</t>
  </si>
  <si>
    <t>35938-000 a 35939-999</t>
  </si>
  <si>
    <t>Belmiro Braga</t>
  </si>
  <si>
    <t>36126-000 a 36129-999</t>
  </si>
  <si>
    <t>Belo Oriente</t>
  </si>
  <si>
    <t>35195-000 a 35197-999</t>
  </si>
  <si>
    <t>Belo Vale</t>
  </si>
  <si>
    <t>35473-000 a 35475-999</t>
  </si>
  <si>
    <t>Bias Fortes</t>
  </si>
  <si>
    <t>36230-000 a 36234-999</t>
  </si>
  <si>
    <t>Biquinhas</t>
  </si>
  <si>
    <t>35621-000 a 35621-999</t>
  </si>
  <si>
    <t>37170-000 a 37174-999</t>
  </si>
  <si>
    <t>Bom Despacho</t>
  </si>
  <si>
    <t>35600-000 a 35602-999</t>
  </si>
  <si>
    <t>Bom Jesus do Amparo</t>
  </si>
  <si>
    <t>35908-000 a 35909-999</t>
  </si>
  <si>
    <t>Bom Jesus do Galho</t>
  </si>
  <si>
    <t>35340-000 a 35344-999</t>
  </si>
  <si>
    <t>Bom Sucesso</t>
  </si>
  <si>
    <t>37220-000 a 37222-999</t>
  </si>
  <si>
    <t>Bonfim</t>
  </si>
  <si>
    <t>35480-000 a 35484-999</t>
  </si>
  <si>
    <t>Brumadinho</t>
  </si>
  <si>
    <t>35460-000 a 35469-999</t>
  </si>
  <si>
    <t>Brás Pires</t>
  </si>
  <si>
    <t>36542-000 a 36543-999</t>
  </si>
  <si>
    <t>Buenópolis</t>
  </si>
  <si>
    <t>39230-000 a 39236-999</t>
  </si>
  <si>
    <t>Bugre</t>
  </si>
  <si>
    <t>35193-000 a 35193-999</t>
  </si>
  <si>
    <t>Cachoeira da Prata</t>
  </si>
  <si>
    <t>35765-000 a 35766-999</t>
  </si>
  <si>
    <t>Caetanópolis</t>
  </si>
  <si>
    <t>35770-000 a 35773-999</t>
  </si>
  <si>
    <t>Caeté</t>
  </si>
  <si>
    <t>34800-000 a 34989-999</t>
  </si>
  <si>
    <t>Cajuri</t>
  </si>
  <si>
    <t>36560-000 a 36567-999</t>
  </si>
  <si>
    <t>Camacho</t>
  </si>
  <si>
    <t>35555-000 a 35556-999</t>
  </si>
  <si>
    <t>Campo Belo</t>
  </si>
  <si>
    <t>37270-000 a 37272-999</t>
  </si>
  <si>
    <t>Campos Altos</t>
  </si>
  <si>
    <t>38970-000 a 38979-999</t>
  </si>
  <si>
    <t>Cana Verde</t>
  </si>
  <si>
    <t>37267-000 a 37269-999</t>
  </si>
  <si>
    <t>Canaã</t>
  </si>
  <si>
    <t>36592-000 a 36593-999</t>
  </si>
  <si>
    <t>37280-000 a 37299-999</t>
  </si>
  <si>
    <t>Capela Nova</t>
  </si>
  <si>
    <t>36290-000 a 36299-999</t>
  </si>
  <si>
    <t>Capim Branco</t>
  </si>
  <si>
    <t>35730-000 a 35731-999</t>
  </si>
  <si>
    <t>Capitólio</t>
  </si>
  <si>
    <t>37930-000 a 37939-999</t>
  </si>
  <si>
    <t>Caputira</t>
  </si>
  <si>
    <t>36925-000 a 36929-999</t>
  </si>
  <si>
    <t>Caranaíba</t>
  </si>
  <si>
    <t>36428-000 a 36429-999</t>
  </si>
  <si>
    <t>Carandaí</t>
  </si>
  <si>
    <t>36280-000 a 36289-999</t>
  </si>
  <si>
    <t>Carmo da Cachoeira</t>
  </si>
  <si>
    <t>37225-000 a 37234-999</t>
  </si>
  <si>
    <t>Carmo da Mata</t>
  </si>
  <si>
    <t>35547-000 a 35549-999</t>
  </si>
  <si>
    <t>Carmo do Cajuru</t>
  </si>
  <si>
    <t>35557-000 a 35559-999</t>
  </si>
  <si>
    <t>Carmésia</t>
  </si>
  <si>
    <t>35878-000 a 35879-999</t>
  </si>
  <si>
    <t>Carmópolis de Minas</t>
  </si>
  <si>
    <t>35534-000 a 35535-999</t>
  </si>
  <si>
    <t>Carrancas</t>
  </si>
  <si>
    <t>37245-000 a 37249-999</t>
  </si>
  <si>
    <t>Casa Grande</t>
  </si>
  <si>
    <t>36422-000 a 36423-999</t>
  </si>
  <si>
    <t>Catas Altas</t>
  </si>
  <si>
    <t>35969-000 a 35969-999</t>
  </si>
  <si>
    <t>Catas Altas da Noruega</t>
  </si>
  <si>
    <t>36450-000 a 36454-999</t>
  </si>
  <si>
    <t>Cedro do Abaeté</t>
  </si>
  <si>
    <t>35624-000 a 35624-999</t>
  </si>
  <si>
    <t>Chácara</t>
  </si>
  <si>
    <t>36110-000 a 36119-999</t>
  </si>
  <si>
    <t>Cipotânea</t>
  </si>
  <si>
    <t>36265-000 a 36269-999</t>
  </si>
  <si>
    <t>Cláudio</t>
  </si>
  <si>
    <t>35530-000 a 35533-999</t>
  </si>
  <si>
    <t>Coimbra</t>
  </si>
  <si>
    <t>36550-000 a 36554-999</t>
  </si>
  <si>
    <t>Conceição da Barra de Minas</t>
  </si>
  <si>
    <t>36360-000 a 36369-999</t>
  </si>
  <si>
    <t>Conceição do Mato Dentro</t>
  </si>
  <si>
    <t>35858-000 a 35864-999</t>
  </si>
  <si>
    <t>Conceição do Pará</t>
  </si>
  <si>
    <t>35668-000 a 35668-999</t>
  </si>
  <si>
    <t>Congonhas</t>
  </si>
  <si>
    <t>36415-000 a 36419-999</t>
  </si>
  <si>
    <t>Congonhas do Norte</t>
  </si>
  <si>
    <t>35850-000 a 35857-999</t>
  </si>
  <si>
    <t>Conselheiro Lafaiete</t>
  </si>
  <si>
    <t>36400-001 a 36409-999</t>
  </si>
  <si>
    <t>Coqueiral</t>
  </si>
  <si>
    <t>37235-000 a 37239-999</t>
  </si>
  <si>
    <t>Cordisburgo</t>
  </si>
  <si>
    <t>35780-000 a 35784-999</t>
  </si>
  <si>
    <t>Corinto</t>
  </si>
  <si>
    <t>39200-000 a 39204-999</t>
  </si>
  <si>
    <t>Coronel Fabriciano</t>
  </si>
  <si>
    <t>35170-001 a 35176-999</t>
  </si>
  <si>
    <t>Coronel Pacheco</t>
  </si>
  <si>
    <t>36155-000 a 36156-999</t>
  </si>
  <si>
    <t>Coronel Xavier Chaves</t>
  </si>
  <si>
    <t>36330-000 a 36334-999</t>
  </si>
  <si>
    <t>Cristais</t>
  </si>
  <si>
    <t>37275-000 a 37277-999</t>
  </si>
  <si>
    <t>Cristiano Otoni</t>
  </si>
  <si>
    <t>36426-000 a 36427-999</t>
  </si>
  <si>
    <t>Crucilândia</t>
  </si>
  <si>
    <t>35478-000 a 35479-999</t>
  </si>
  <si>
    <t>Curvelo</t>
  </si>
  <si>
    <t>35789-000 a 35799-999</t>
  </si>
  <si>
    <t>Córrego Danta</t>
  </si>
  <si>
    <t>38990-000 a 39099-999</t>
  </si>
  <si>
    <t>Córrego Fundo</t>
  </si>
  <si>
    <t>35568-000 a 35568-999</t>
  </si>
  <si>
    <t>Córrego Novo</t>
  </si>
  <si>
    <t>35345-000 a 35347-999</t>
  </si>
  <si>
    <t>Datas</t>
  </si>
  <si>
    <t>39130-000 a 39134-999</t>
  </si>
  <si>
    <t>Desterro de Entre Rios</t>
  </si>
  <si>
    <t>35492-000 a 35494-999</t>
  </si>
  <si>
    <t>Desterro do Melo</t>
  </si>
  <si>
    <t>36210-000 a 36211-999</t>
  </si>
  <si>
    <t>Diogo de Vasconcelos</t>
  </si>
  <si>
    <t>35437-000 a 35437-999</t>
  </si>
  <si>
    <t>Dionísio</t>
  </si>
  <si>
    <t>35984-000 a 35985-999</t>
  </si>
  <si>
    <t>Divinolândia de Minas</t>
  </si>
  <si>
    <t>39735-000 a 39739-999</t>
  </si>
  <si>
    <t>Divinésia</t>
  </si>
  <si>
    <t>36546-000 a 36549-999</t>
  </si>
  <si>
    <t>Divinópolis</t>
  </si>
  <si>
    <t>35500-001 a 35516-999</t>
  </si>
  <si>
    <t>Dom Cavati</t>
  </si>
  <si>
    <t>35148-000 a 35149-999</t>
  </si>
  <si>
    <t>Dom Joaquim</t>
  </si>
  <si>
    <t>35865-000 a 35874-999</t>
  </si>
  <si>
    <t>Dom Silvério</t>
  </si>
  <si>
    <t>35440-000 a 35440-999</t>
  </si>
  <si>
    <t>Dona Euzébia</t>
  </si>
  <si>
    <t>36784-000 a 36787-999</t>
  </si>
  <si>
    <t>Dores de Campos</t>
  </si>
  <si>
    <t>36213-000 a 36214-999</t>
  </si>
  <si>
    <t>Dores de Guanhães</t>
  </si>
  <si>
    <t>35894-000 a 35899-999</t>
  </si>
  <si>
    <t>Dores do Indaiá</t>
  </si>
  <si>
    <t>35610-000 a 35612-999</t>
  </si>
  <si>
    <t>Dores do Turvo</t>
  </si>
  <si>
    <t>36513-000 a 36514-999</t>
  </si>
  <si>
    <t>Doresópolis</t>
  </si>
  <si>
    <t>37926-000 a 37926-999</t>
  </si>
  <si>
    <t>Engenheiro Caldas</t>
  </si>
  <si>
    <t>35130-000 a 35134-999</t>
  </si>
  <si>
    <t>Entre Rios de Minas</t>
  </si>
  <si>
    <t>35490-000 a 35491-999</t>
  </si>
  <si>
    <t>Ervália</t>
  </si>
  <si>
    <t>36555-000 a 36559-999</t>
  </si>
  <si>
    <t>Esmeraldas</t>
  </si>
  <si>
    <t>35740-000 a 35759-999</t>
  </si>
  <si>
    <t>Estrela do Indaiá</t>
  </si>
  <si>
    <t>35613-000 a 35616-999</t>
  </si>
  <si>
    <t>Ewbank da Câmara</t>
  </si>
  <si>
    <t>36108-000 a 36109-999</t>
  </si>
  <si>
    <t>Felixlândia</t>
  </si>
  <si>
    <t>39237-000 a 39239-999</t>
  </si>
  <si>
    <t>Ferros</t>
  </si>
  <si>
    <t>35800-000 a 35809-999</t>
  </si>
  <si>
    <t>Florestal</t>
  </si>
  <si>
    <t>35690-000 a 35693-999</t>
  </si>
  <si>
    <t>Formiga</t>
  </si>
  <si>
    <t>35570-000 a 35577-999</t>
  </si>
  <si>
    <t>Fortuna de Minas</t>
  </si>
  <si>
    <t>35760-000 a 35762-999</t>
  </si>
  <si>
    <t>Funilândia</t>
  </si>
  <si>
    <t>35736-000 a 35737-999</t>
  </si>
  <si>
    <t>Goianá</t>
  </si>
  <si>
    <t>36152-000 a 36154-999</t>
  </si>
  <si>
    <t>Gouveia</t>
  </si>
  <si>
    <t>39120-000 a 39129-999</t>
  </si>
  <si>
    <t>Guanhães</t>
  </si>
  <si>
    <t>39740-000 a 39744-999</t>
  </si>
  <si>
    <t>Guapé</t>
  </si>
  <si>
    <t>37177-000 a 37189-999</t>
  </si>
  <si>
    <t>Guaraciaba</t>
  </si>
  <si>
    <t>35436-000 a 35436-999</t>
  </si>
  <si>
    <t>Guarani</t>
  </si>
  <si>
    <t>36160-000 a 36164-999</t>
  </si>
  <si>
    <t>Guiricema</t>
  </si>
  <si>
    <t>36525-000 a 36529-999</t>
  </si>
  <si>
    <t>Iapu</t>
  </si>
  <si>
    <t>35190-000 a 35192-999</t>
  </si>
  <si>
    <t>Ibertioga</t>
  </si>
  <si>
    <t>36225-000 a 36226-999</t>
  </si>
  <si>
    <t>Ibituruna</t>
  </si>
  <si>
    <t>37223-000 a 37224-999</t>
  </si>
  <si>
    <t>Igarapé</t>
  </si>
  <si>
    <t>32900-000 a 32919-999</t>
  </si>
  <si>
    <t>Igaratinga</t>
  </si>
  <si>
    <t>35695-000 a 35699-999</t>
  </si>
  <si>
    <t>Iguatama</t>
  </si>
  <si>
    <t>38910-000 a 38929-999</t>
  </si>
  <si>
    <t>Ijaci</t>
  </si>
  <si>
    <t>37218-000 a 37219-999</t>
  </si>
  <si>
    <t>Ingaí</t>
  </si>
  <si>
    <t>37215-000 a 37217-999</t>
  </si>
  <si>
    <t>Inhapim</t>
  </si>
  <si>
    <t>35330-000 a 35333-999</t>
  </si>
  <si>
    <t>Inhaúma</t>
  </si>
  <si>
    <t>35763-000 a 35764-999</t>
  </si>
  <si>
    <t>Inimutaba</t>
  </si>
  <si>
    <t>39243-000 a 39244-999</t>
  </si>
  <si>
    <t>Ipaba</t>
  </si>
  <si>
    <t>35198-000 a 35198-999</t>
  </si>
  <si>
    <t>Ipatinga</t>
  </si>
  <si>
    <t>35150-001 a 35169-999</t>
  </si>
  <si>
    <t>Itabira</t>
  </si>
  <si>
    <t>35900-001 a 35907-999</t>
  </si>
  <si>
    <t>Itabirito</t>
  </si>
  <si>
    <t>35450-000 a 35459-999</t>
  </si>
  <si>
    <t>Itaguara</t>
  </si>
  <si>
    <t>35488-000 a 35489-999</t>
  </si>
  <si>
    <t>Itambé do Mato Dentro</t>
  </si>
  <si>
    <t>35820-000 a 35829-999</t>
  </si>
  <si>
    <t>Itapecerica</t>
  </si>
  <si>
    <t>35550-000 a 35554-999</t>
  </si>
  <si>
    <t>Itatiaiuçu</t>
  </si>
  <si>
    <t>35685-000 a 35689-999</t>
  </si>
  <si>
    <t>Itaverava</t>
  </si>
  <si>
    <t>36440-000 a 36449-999</t>
  </si>
  <si>
    <t>Itaúna</t>
  </si>
  <si>
    <t>35680-001 a 35684-999</t>
  </si>
  <si>
    <t>Itumirim</t>
  </si>
  <si>
    <t>37210-000 a 37214-999</t>
  </si>
  <si>
    <t>Itutinga</t>
  </si>
  <si>
    <t>36390-000 a 36399-999</t>
  </si>
  <si>
    <t>Jaboticatubas</t>
  </si>
  <si>
    <t>35830-000 a 35844-999</t>
  </si>
  <si>
    <t>Jaguaraçu</t>
  </si>
  <si>
    <t>35188-000 a 35188-999</t>
  </si>
  <si>
    <t>Japaraíba</t>
  </si>
  <si>
    <t>35580-000 a 35581-999</t>
  </si>
  <si>
    <t>Jeceaba</t>
  </si>
  <si>
    <t>35497-000 a 35499-999</t>
  </si>
  <si>
    <t>Jequeri</t>
  </si>
  <si>
    <t>35390-000 a 35399-999</t>
  </si>
  <si>
    <t>Jequitibá</t>
  </si>
  <si>
    <t>35767-000 a 35769-999</t>
  </si>
  <si>
    <t>Joanésia</t>
  </si>
  <si>
    <t>35194-000 a 35194-999</t>
  </si>
  <si>
    <t>João Monlevade</t>
  </si>
  <si>
    <t>35930-001 a 35934-999</t>
  </si>
  <si>
    <t>Juatuba</t>
  </si>
  <si>
    <t>35675-000 a 35679-999</t>
  </si>
  <si>
    <t>Juiz de Fora</t>
  </si>
  <si>
    <t>36000-001 a 36107-999</t>
  </si>
  <si>
    <t>Lagoa da Prata</t>
  </si>
  <si>
    <t>35590-000 a 35594-999</t>
  </si>
  <si>
    <t>Lagoa Dourada</t>
  </si>
  <si>
    <t>36345-000 a 36349-999</t>
  </si>
  <si>
    <t>Lamim</t>
  </si>
  <si>
    <t>36455-000 a 36459-999</t>
  </si>
  <si>
    <t>Lassance</t>
  </si>
  <si>
    <t>39250-000 a 39259-999</t>
  </si>
  <si>
    <t>Lavras</t>
  </si>
  <si>
    <t>37200-000 a 37209-999</t>
  </si>
  <si>
    <t>Leandro Ferreira</t>
  </si>
  <si>
    <t>35657-000 a 35659-999</t>
  </si>
  <si>
    <t>Lima Duarte</t>
  </si>
  <si>
    <t>36140-000 a 36144-999</t>
  </si>
  <si>
    <t>Luminárias</t>
  </si>
  <si>
    <t>37240-000 a 37244-999</t>
  </si>
  <si>
    <t>Luz</t>
  </si>
  <si>
    <t>35595-000 a 35599-999</t>
  </si>
  <si>
    <t>Madre de Deus de Minas</t>
  </si>
  <si>
    <t>37305-000 a 37309-999</t>
  </si>
  <si>
    <t>Manhuaçu</t>
  </si>
  <si>
    <t>36900-000 a 36912-999</t>
  </si>
  <si>
    <t>Maravilhas</t>
  </si>
  <si>
    <t>35666-000 a 35666-999</t>
  </si>
  <si>
    <t>Mariana</t>
  </si>
  <si>
    <t>35420-000 a 35429-999</t>
  </si>
  <si>
    <t>Marliéria</t>
  </si>
  <si>
    <t>35185-000 a 35187-999</t>
  </si>
  <si>
    <t>Martinho Campos</t>
  </si>
  <si>
    <t>35606-000 a 35609-999</t>
  </si>
  <si>
    <t>Mateus Leme</t>
  </si>
  <si>
    <t>35670-000 a 35674-999</t>
  </si>
  <si>
    <t>Matias Barbosa</t>
  </si>
  <si>
    <t>36120-000 a 36122-999</t>
  </si>
  <si>
    <t>Matipó</t>
  </si>
  <si>
    <t>35367-000 a 35367-999</t>
  </si>
  <si>
    <t>Matozinhos</t>
  </si>
  <si>
    <t>35720-000 a 35729-999</t>
  </si>
  <si>
    <t>Mercês</t>
  </si>
  <si>
    <t>36190-000 a 36194-999</t>
  </si>
  <si>
    <t>Mesquita</t>
  </si>
  <si>
    <t>35116-000 a 35116-999</t>
  </si>
  <si>
    <t>Moeda</t>
  </si>
  <si>
    <t>35470-000 a 35472-999</t>
  </si>
  <si>
    <t>Moema</t>
  </si>
  <si>
    <t>35604-000 a 35605-999</t>
  </si>
  <si>
    <t>Monjolos</t>
  </si>
  <si>
    <t>39215-000 a 39217-999</t>
  </si>
  <si>
    <t>Morada Nova de Minas</t>
  </si>
  <si>
    <t>35628-000 a 35639-999</t>
  </si>
  <si>
    <t>Morro da Garça</t>
  </si>
  <si>
    <t>39248-000 a 39249-999</t>
  </si>
  <si>
    <t>Morro do Pilar</t>
  </si>
  <si>
    <t>35875-000 a 35877-999</t>
  </si>
  <si>
    <t>Mário Campos</t>
  </si>
  <si>
    <t>32470-000 a 32499-999</t>
  </si>
  <si>
    <t>Naque</t>
  </si>
  <si>
    <t>35117-000 a 35117-999</t>
  </si>
  <si>
    <t>Nazareno</t>
  </si>
  <si>
    <t>36370-000 a 36389-999</t>
  </si>
  <si>
    <t>Nepomuceno</t>
  </si>
  <si>
    <t>37250-000 a 37259-999</t>
  </si>
  <si>
    <t>Nova Era</t>
  </si>
  <si>
    <t>35920-000 a 35929-999</t>
  </si>
  <si>
    <t>Nova Serrana</t>
  </si>
  <si>
    <t>35517-000 a 35529-999</t>
  </si>
  <si>
    <t>Nova União</t>
  </si>
  <si>
    <t>34990-000 a 34999-999</t>
  </si>
  <si>
    <t>Oliveira</t>
  </si>
  <si>
    <t>35540-000 a 35542-999</t>
  </si>
  <si>
    <t>Oliveira Fortes</t>
  </si>
  <si>
    <t>36250-000 a 36254-999</t>
  </si>
  <si>
    <t>Onça de Pitangui</t>
  </si>
  <si>
    <t>35655-000 a 35656-999</t>
  </si>
  <si>
    <t>Oratórios</t>
  </si>
  <si>
    <t>35439-000 a 35439-999</t>
  </si>
  <si>
    <t>36420-000 a 36421-999</t>
  </si>
  <si>
    <t>Ouro Preto</t>
  </si>
  <si>
    <t>35400-000 a 35419-999</t>
  </si>
  <si>
    <t>Paineiras</t>
  </si>
  <si>
    <t>35622-000 a 35623-999</t>
  </si>
  <si>
    <t>Pains</t>
  </si>
  <si>
    <t>35582-000 a 35584-999</t>
  </si>
  <si>
    <t>Paiva</t>
  </si>
  <si>
    <t>36195-000 a 36199-999</t>
  </si>
  <si>
    <t>Papagaios</t>
  </si>
  <si>
    <t>35669-000 a 35669-999</t>
  </si>
  <si>
    <t>Paraopeba</t>
  </si>
  <si>
    <t>35774-000 a 35776-999</t>
  </si>
  <si>
    <t>Pará de Minas</t>
  </si>
  <si>
    <t>35660-001 a 35665-999</t>
  </si>
  <si>
    <t>Passa Tempo</t>
  </si>
  <si>
    <t>35537-000 a 35539-999</t>
  </si>
  <si>
    <t>Passabém</t>
  </si>
  <si>
    <t>35810-000 a 35814-999</t>
  </si>
  <si>
    <t>Paula Cândido</t>
  </si>
  <si>
    <t>36544-000 a 36545-999</t>
  </si>
  <si>
    <t>Pedra Bonita</t>
  </si>
  <si>
    <t>35364-000 a 35364-999</t>
  </si>
  <si>
    <t>Pedra do Anta</t>
  </si>
  <si>
    <t>36585-000 a 36589-999</t>
  </si>
  <si>
    <t>Pedra do Indaiá</t>
  </si>
  <si>
    <t>35565-000 a 35566-999</t>
  </si>
  <si>
    <t>Pedro Leopoldo</t>
  </si>
  <si>
    <t>33600-000 a 33799-999</t>
  </si>
  <si>
    <t>Pedro Teixeira</t>
  </si>
  <si>
    <t>36148-000 a 36149-999</t>
  </si>
  <si>
    <t>Pequi</t>
  </si>
  <si>
    <t>35667-000 a 35667-999</t>
  </si>
  <si>
    <t>Perdigão</t>
  </si>
  <si>
    <t>35545-000 a 35546-999</t>
  </si>
  <si>
    <t>Perdões</t>
  </si>
  <si>
    <t>37260-000 a 37261-999</t>
  </si>
  <si>
    <t>Periquito</t>
  </si>
  <si>
    <t>35118-000 a 35119-999</t>
  </si>
  <si>
    <t>Piau</t>
  </si>
  <si>
    <t>36157-000 a 36159-999</t>
  </si>
  <si>
    <t>Piedade de Ponte Nova</t>
  </si>
  <si>
    <t>35382-000 a 35382-999</t>
  </si>
  <si>
    <t>Piedade do Rio Grande</t>
  </si>
  <si>
    <t>36227-000 a 36229-999</t>
  </si>
  <si>
    <t>Piedade dos Gerais</t>
  </si>
  <si>
    <t>35476-000 a 35477-999</t>
  </si>
  <si>
    <t>Pimenta</t>
  </si>
  <si>
    <t>35585-000 a 35587-999</t>
  </si>
  <si>
    <t>Pingo-D'Água</t>
  </si>
  <si>
    <t>35348-000 a 35349-999</t>
  </si>
  <si>
    <t>Piracema</t>
  </si>
  <si>
    <t>35536-000 a 35536-999</t>
  </si>
  <si>
    <t>Piranga</t>
  </si>
  <si>
    <t>36480-000 a 36499-999</t>
  </si>
  <si>
    <t>Piraúba</t>
  </si>
  <si>
    <t>36170-000 a 36179-999</t>
  </si>
  <si>
    <t>Pitangui</t>
  </si>
  <si>
    <t>35650-000 a 35654-999</t>
  </si>
  <si>
    <t>Piumhi</t>
  </si>
  <si>
    <t>37925-000 a 37925-999</t>
  </si>
  <si>
    <t>Pompéu</t>
  </si>
  <si>
    <t>35640-000 a 35649-999</t>
  </si>
  <si>
    <t>Ponte Nova</t>
  </si>
  <si>
    <t>35430-001 a 35435-999</t>
  </si>
  <si>
    <t>Porto Firme</t>
  </si>
  <si>
    <t>36568-000 a 36569-999</t>
  </si>
  <si>
    <t>Prados</t>
  </si>
  <si>
    <t>36320-000 a 36324-999</t>
  </si>
  <si>
    <t>Presidente Bernardes</t>
  </si>
  <si>
    <t>36475-000 a 36479-999</t>
  </si>
  <si>
    <t>39245-000 a 39247-999</t>
  </si>
  <si>
    <t>Prudente de Morais</t>
  </si>
  <si>
    <t>35738-000 a 35739-999</t>
  </si>
  <si>
    <t>Quartel Geral</t>
  </si>
  <si>
    <t>35625-000 a 35627-999</t>
  </si>
  <si>
    <t>Queluzito</t>
  </si>
  <si>
    <t>36424-000 a 36425-999</t>
  </si>
  <si>
    <t>Raul Soares</t>
  </si>
  <si>
    <t>35350-000 a 35358-999</t>
  </si>
  <si>
    <t>Reduto</t>
  </si>
  <si>
    <t>36920-000 a 36922-999</t>
  </si>
  <si>
    <t>Resende Costa</t>
  </si>
  <si>
    <t>36340-000 a 36344-999</t>
  </si>
  <si>
    <t>Ressaquinha</t>
  </si>
  <si>
    <t>36270-000 a 36271-999</t>
  </si>
  <si>
    <t>Ribeirão Vermelho</t>
  </si>
  <si>
    <t>37264-000 a 37266-999</t>
  </si>
  <si>
    <t>Rio Casca</t>
  </si>
  <si>
    <t>35370-000 a 35379-999</t>
  </si>
  <si>
    <t>Rio Doce</t>
  </si>
  <si>
    <t>35442-000 a 35443-999</t>
  </si>
  <si>
    <t>Rio Espera</t>
  </si>
  <si>
    <t>36460-000 a 36469-999</t>
  </si>
  <si>
    <t>Rio Manso</t>
  </si>
  <si>
    <t>35485-000 a 35487-999</t>
  </si>
  <si>
    <t>Rio Novo</t>
  </si>
  <si>
    <t>36150-000 a 36151-999</t>
  </si>
  <si>
    <t>Rio Piracicaba</t>
  </si>
  <si>
    <t>35940-000 a 35949-999</t>
  </si>
  <si>
    <t>Rio Pomba</t>
  </si>
  <si>
    <t>36180-000 a 36184-999</t>
  </si>
  <si>
    <t>Ritápolis</t>
  </si>
  <si>
    <t>36335-000 a 36339-999</t>
  </si>
  <si>
    <t>Rodeiro</t>
  </si>
  <si>
    <t>36510-000 a 36511-999</t>
  </si>
  <si>
    <t>Rosário da Limeira</t>
  </si>
  <si>
    <t>36878-000 a 36879-999</t>
  </si>
  <si>
    <t>Sabinópolis</t>
  </si>
  <si>
    <t>39750-000 a 39754-999</t>
  </si>
  <si>
    <t>35960-000 a 35968-999</t>
  </si>
  <si>
    <t>Santa Bárbara do Tugúrio</t>
  </si>
  <si>
    <t>36215-000 a 36219-999</t>
  </si>
  <si>
    <t>Santa Cruz de Minas</t>
  </si>
  <si>
    <t>36328-000 a 36329-999</t>
  </si>
  <si>
    <t>Santa Cruz do Escalvado</t>
  </si>
  <si>
    <t>35383-000 a 35387-999</t>
  </si>
  <si>
    <t>Santa Margarida</t>
  </si>
  <si>
    <t>36913-000 a 36917-999</t>
  </si>
  <si>
    <t>Santa Maria de Itabira</t>
  </si>
  <si>
    <t>35910-000 a 35919-999</t>
  </si>
  <si>
    <t>Santa Rita do Ibitipoca</t>
  </si>
  <si>
    <t>36235-000 a 36239-999</t>
  </si>
  <si>
    <t>Santa Rosa da Serra</t>
  </si>
  <si>
    <t>38805-000 a 38809-999</t>
  </si>
  <si>
    <t>Santana da Vargem</t>
  </si>
  <si>
    <t>37195-000 a 37199-999</t>
  </si>
  <si>
    <t>Santana de Pirapama</t>
  </si>
  <si>
    <t>35785-000 a 35788-999</t>
  </si>
  <si>
    <t>Santana do Garambéu</t>
  </si>
  <si>
    <t>36146-000 a 36147-999</t>
  </si>
  <si>
    <t>Santana do Jacaré</t>
  </si>
  <si>
    <t>37278-000 a 37279-999</t>
  </si>
  <si>
    <t>Santana do Paraíso</t>
  </si>
  <si>
    <t>35179-000 a 35179-999</t>
  </si>
  <si>
    <t>Santana do Riacho</t>
  </si>
  <si>
    <t>35845-000 a 35849-999</t>
  </si>
  <si>
    <t>Santana dos Montes</t>
  </si>
  <si>
    <t>36430-000 a 36439-999</t>
  </si>
  <si>
    <t>Santo Antônio do Amparo</t>
  </si>
  <si>
    <t>37262-000 a 37263-999</t>
  </si>
  <si>
    <t>Santo Antônio do Grama</t>
  </si>
  <si>
    <t>35388-000 a 35389-999</t>
  </si>
  <si>
    <t>Santo Antônio do Itambé</t>
  </si>
  <si>
    <t>39160-000 a 39164-999</t>
  </si>
  <si>
    <t>Santo Antônio do Monte</t>
  </si>
  <si>
    <t>35560-000 a 35564-999</t>
  </si>
  <si>
    <t>Santo Antônio do Rio Abaixo</t>
  </si>
  <si>
    <t>35880-000 a 35893-999</t>
  </si>
  <si>
    <t>Santo Hipólito</t>
  </si>
  <si>
    <t>39210-000 a 39214-999</t>
  </si>
  <si>
    <t>Santos Dumont</t>
  </si>
  <si>
    <t>36240-000 a 36249-999</t>
  </si>
  <si>
    <t>Sem Peixe</t>
  </si>
  <si>
    <t>35441-000 a 35441-999</t>
  </si>
  <si>
    <t>Senador Firmino</t>
  </si>
  <si>
    <t>36540-000 a 36541-999</t>
  </si>
  <si>
    <t>Senhora de Oliveira</t>
  </si>
  <si>
    <t>36470-000 a 36474-999</t>
  </si>
  <si>
    <t>Senhora do Porto</t>
  </si>
  <si>
    <t>39745-000 a 39749-999</t>
  </si>
  <si>
    <t>Senhora dos Remédios</t>
  </si>
  <si>
    <t>36275-000 a 36279-999</t>
  </si>
  <si>
    <t>Sericita</t>
  </si>
  <si>
    <t>35368-000 a 35369-999</t>
  </si>
  <si>
    <t>Serra Azul de Minas</t>
  </si>
  <si>
    <t>39165-000 a 39169-999</t>
  </si>
  <si>
    <t>Serra da Saudade</t>
  </si>
  <si>
    <t>35617-000 a 35619-999</t>
  </si>
  <si>
    <t>Serro</t>
  </si>
  <si>
    <t>39150-000 a 39159-999</t>
  </si>
  <si>
    <t>Sete Lagoas</t>
  </si>
  <si>
    <t>35700-001 a 35719-999</t>
  </si>
  <si>
    <t>Silveirânia</t>
  </si>
  <si>
    <t>36185-000 a 36189-999</t>
  </si>
  <si>
    <t>Simão Pereira</t>
  </si>
  <si>
    <t>36123-000 a 36125-999</t>
  </si>
  <si>
    <t>São Bento Abade</t>
  </si>
  <si>
    <t>37407-000 a 37407-999</t>
  </si>
  <si>
    <t>São Brás do Suaçuí</t>
  </si>
  <si>
    <t>35495-000 a 35496-999</t>
  </si>
  <si>
    <t>São Domingos das Dores</t>
  </si>
  <si>
    <t>35335-000 a 35337-999</t>
  </si>
  <si>
    <t>São Domingos do Prata</t>
  </si>
  <si>
    <t>35993-000 a 35999-999</t>
  </si>
  <si>
    <t>São Francisco de Paula</t>
  </si>
  <si>
    <t>35543-000 a 35543-999</t>
  </si>
  <si>
    <t>São Geraldo</t>
  </si>
  <si>
    <t>36530-000 a 36539-999</t>
  </si>
  <si>
    <t>São Gonçalo do Pará</t>
  </si>
  <si>
    <t>35544-000 a 35544-999</t>
  </si>
  <si>
    <t>São Gonçalo do Rio Abaixo</t>
  </si>
  <si>
    <t>35935-000 a 35937-999</t>
  </si>
  <si>
    <t>São Joaquim de Bicas</t>
  </si>
  <si>
    <t>32920-000 a 32999-999</t>
  </si>
  <si>
    <t>São José da Varginha</t>
  </si>
  <si>
    <t>35694-000 a 35694-999</t>
  </si>
  <si>
    <t>São José do Goiabal</t>
  </si>
  <si>
    <t>35986-000 a 35992-999</t>
  </si>
  <si>
    <t>São João Del Rei</t>
  </si>
  <si>
    <t>36300-001 a 36319-999</t>
  </si>
  <si>
    <t>São João do Manhuaçu</t>
  </si>
  <si>
    <t>36918-000 a 36919-999</t>
  </si>
  <si>
    <t>São João do Oriente</t>
  </si>
  <si>
    <t>35146-000 a 35146-999</t>
  </si>
  <si>
    <t>São João Evangelista</t>
  </si>
  <si>
    <t>39704-000 a 39706-999</t>
  </si>
  <si>
    <t>São Miguel do Anta</t>
  </si>
  <si>
    <t>36590-000 a 36591-999</t>
  </si>
  <si>
    <t>São Pedro dos Ferros</t>
  </si>
  <si>
    <t>35360-000 a 35363-999</t>
  </si>
  <si>
    <t>São Sebastião do Oeste</t>
  </si>
  <si>
    <t>35567-000 a 35567-999</t>
  </si>
  <si>
    <t>São Sebastião do Rio Preto</t>
  </si>
  <si>
    <t>35815-000 a 35819-999</t>
  </si>
  <si>
    <t>São Tiago</t>
  </si>
  <si>
    <t>36350-000 a 36359-999</t>
  </si>
  <si>
    <t>São Vicente de Minas</t>
  </si>
  <si>
    <t>37370-000 a 37399-999</t>
  </si>
  <si>
    <t>Tabuleiro</t>
  </si>
  <si>
    <t>36165-000 a 36169-999</t>
  </si>
  <si>
    <t>Tapiraí</t>
  </si>
  <si>
    <t>38980-000 a 38989-999</t>
  </si>
  <si>
    <t>Taquaraçu de Minas</t>
  </si>
  <si>
    <t>33980-000 a 33999-999</t>
  </si>
  <si>
    <t>Tarumirim</t>
  </si>
  <si>
    <t>35140-000 a 35143-999</t>
  </si>
  <si>
    <t>Teixeiras</t>
  </si>
  <si>
    <t>36580-000 a 36584-999</t>
  </si>
  <si>
    <t>Timóteo</t>
  </si>
  <si>
    <t>35180-001 a 35184-999</t>
  </si>
  <si>
    <t>Tiradentes</t>
  </si>
  <si>
    <t>36325-000 a 36327-999</t>
  </si>
  <si>
    <t>Tocantins</t>
  </si>
  <si>
    <t>36512-000 a 36512-999</t>
  </si>
  <si>
    <t>Três Marias</t>
  </si>
  <si>
    <t>39205-000 a 39209-999</t>
  </si>
  <si>
    <t>Três Pontas</t>
  </si>
  <si>
    <t>37190-000 a 37194-999</t>
  </si>
  <si>
    <t>Ubaporanga</t>
  </si>
  <si>
    <t>35338-000 a 35339-999</t>
  </si>
  <si>
    <t>Ubá</t>
  </si>
  <si>
    <t>36500-000 a 36509-999</t>
  </si>
  <si>
    <t>Urucânia</t>
  </si>
  <si>
    <t>35380-000 a 35381-999</t>
  </si>
  <si>
    <t>Vargem Alegre</t>
  </si>
  <si>
    <t>35199-000 a 35199-999</t>
  </si>
  <si>
    <t>Vermelho Novo</t>
  </si>
  <si>
    <t>35359-000 a 35359-999</t>
  </si>
  <si>
    <t>Virginópolis</t>
  </si>
  <si>
    <t>39730-000 a 39734-999</t>
  </si>
  <si>
    <t>Visconde do Rio Branco</t>
  </si>
  <si>
    <t>36520-000 a 36524-999</t>
  </si>
  <si>
    <t>36570-001 a 36579-999</t>
  </si>
  <si>
    <t>Abadia dos Dourados</t>
  </si>
  <si>
    <t>38540-000 a 38549-999</t>
  </si>
  <si>
    <t>Aimorés</t>
  </si>
  <si>
    <t>35200-000 a 35219-999</t>
  </si>
  <si>
    <t>Aiuruoca</t>
  </si>
  <si>
    <t>37450-000 a 37451-999</t>
  </si>
  <si>
    <t>Alagoa</t>
  </si>
  <si>
    <t>37458-000 a 37459-999</t>
  </si>
  <si>
    <t>Albertina</t>
  </si>
  <si>
    <t>37596-000 a 37599-999</t>
  </si>
  <si>
    <t>Alfenas</t>
  </si>
  <si>
    <t>37130-001 a 37139-999</t>
  </si>
  <si>
    <t>Alpercata</t>
  </si>
  <si>
    <t>35138-000 a 35139-999</t>
  </si>
  <si>
    <t>Alpinópolis</t>
  </si>
  <si>
    <t>37940-000 a 37944-999</t>
  </si>
  <si>
    <t>Alterosa</t>
  </si>
  <si>
    <t>37145-000 a 37147-999</t>
  </si>
  <si>
    <t>Alto Caparaó</t>
  </si>
  <si>
    <t>36979-000 a 36979-999</t>
  </si>
  <si>
    <t>Alto Jequitibá</t>
  </si>
  <si>
    <t>36976-000 a 36978-999</t>
  </si>
  <si>
    <t>Alvarenga</t>
  </si>
  <si>
    <t>35249-000 a 35249-999</t>
  </si>
  <si>
    <t>Além Paraíba</t>
  </si>
  <si>
    <t>36660-000 a 36669-999</t>
  </si>
  <si>
    <t>Andradas</t>
  </si>
  <si>
    <t>37795-000 a 37799-999</t>
  </si>
  <si>
    <t>Andrelândia</t>
  </si>
  <si>
    <t>37300-000 a 37304-999</t>
  </si>
  <si>
    <t>Angelândia</t>
  </si>
  <si>
    <t>39685-000 a 39687-999</t>
  </si>
  <si>
    <t>Antônio Prado de Minas</t>
  </si>
  <si>
    <t>36850-000 a 36854-999</t>
  </si>
  <si>
    <t>Araguari</t>
  </si>
  <si>
    <t>38440-001 a 38459-999</t>
  </si>
  <si>
    <t>Arantina</t>
  </si>
  <si>
    <t>37360-000 a 37369-999</t>
  </si>
  <si>
    <t>Arapuá</t>
  </si>
  <si>
    <t>38860-000 a 38869-999</t>
  </si>
  <si>
    <t>Araxá</t>
  </si>
  <si>
    <t>38180-001 a 38184-999</t>
  </si>
  <si>
    <t>Arceburgo</t>
  </si>
  <si>
    <t>37820-000 a 37854-999</t>
  </si>
  <si>
    <t>Areado</t>
  </si>
  <si>
    <t>37140-000 a 37141-999</t>
  </si>
  <si>
    <t>Argirita</t>
  </si>
  <si>
    <t>36710-000 a 36719-999</t>
  </si>
  <si>
    <t>Aricanduva</t>
  </si>
  <si>
    <t>39678-000 a 39679-999</t>
  </si>
  <si>
    <t>Ataléia</t>
  </si>
  <si>
    <t>39850-000 a 39854-999</t>
  </si>
  <si>
    <t>Baependi</t>
  </si>
  <si>
    <t>37443-000 a 37444-999</t>
  </si>
  <si>
    <t>Bandeira do Sul</t>
  </si>
  <si>
    <t>37740-000 a 37749-999</t>
  </si>
  <si>
    <t>Barão de Monte Alto</t>
  </si>
  <si>
    <t>36870-000 a 36877-999</t>
  </si>
  <si>
    <t>Berilo</t>
  </si>
  <si>
    <t>39640-000 a 39641-999</t>
  </si>
  <si>
    <t>Bicas</t>
  </si>
  <si>
    <t>36600-000 a 36603-999</t>
  </si>
  <si>
    <t>Bocaina de Minas</t>
  </si>
  <si>
    <t>37340-000 a 37349-999</t>
  </si>
  <si>
    <t>Bocaiúva</t>
  </si>
  <si>
    <t>39390-000 a 39396-999</t>
  </si>
  <si>
    <t>Bom Jardim de Minas</t>
  </si>
  <si>
    <t>37310-000 a 37329-999</t>
  </si>
  <si>
    <t>Bom Jesus da Penha</t>
  </si>
  <si>
    <t>37948-000 a 37949-999</t>
  </si>
  <si>
    <t>Bom Repouso</t>
  </si>
  <si>
    <t>37610-000 a 37614-999</t>
  </si>
  <si>
    <t>Bonfinópolis de Minas</t>
  </si>
  <si>
    <t>38650-000 a 38653-999</t>
  </si>
  <si>
    <t>Borda da Mata</t>
  </si>
  <si>
    <t>37564-000 a 37565-999</t>
  </si>
  <si>
    <t>Botelhos</t>
  </si>
  <si>
    <t>37720-000 a 37729-999</t>
  </si>
  <si>
    <t>Botumirim</t>
  </si>
  <si>
    <t>39595-000 a 39597-999</t>
  </si>
  <si>
    <t>Brasilândia de Minas</t>
  </si>
  <si>
    <t>38779-000 a 38779-999</t>
  </si>
  <si>
    <t>Brasília de Minas</t>
  </si>
  <si>
    <t>39330-000 a 39334-999</t>
  </si>
  <si>
    <t>Brazópolis</t>
  </si>
  <si>
    <t>37530-000 a 37539-999</t>
  </si>
  <si>
    <t>Braúnas</t>
  </si>
  <si>
    <t>35189-000 a 35189-999</t>
  </si>
  <si>
    <t>Bueno Brandão</t>
  </si>
  <si>
    <t>37578-000 a 37579-999</t>
  </si>
  <si>
    <t>Buritizeiro</t>
  </si>
  <si>
    <t>39280-000 a 39289-999</t>
  </si>
  <si>
    <t>Cabo Verde</t>
  </si>
  <si>
    <t>37880-000 a 37889-999</t>
  </si>
  <si>
    <t>Cachoeira de Minas</t>
  </si>
  <si>
    <t>37545-000 a 37547-999</t>
  </si>
  <si>
    <t>Caiana</t>
  </si>
  <si>
    <t>36832-000 a 36833-999</t>
  </si>
  <si>
    <t>Caldas</t>
  </si>
  <si>
    <t>37780-000 a 37789-999</t>
  </si>
  <si>
    <t>Camanducaia</t>
  </si>
  <si>
    <t>37650-000 a 37654-999</t>
  </si>
  <si>
    <t>Cambuquira</t>
  </si>
  <si>
    <t>37420-000 a 37429-999</t>
  </si>
  <si>
    <t>Cambuí</t>
  </si>
  <si>
    <t>37600-000 a 37604-999</t>
  </si>
  <si>
    <t>Campanha</t>
  </si>
  <si>
    <t>37400-000 a 37404-999</t>
  </si>
  <si>
    <t>Campanário</t>
  </si>
  <si>
    <t>39835-000 a 39836-999</t>
  </si>
  <si>
    <t>37730-000 a 37739-999</t>
  </si>
  <si>
    <t>Campo Azul</t>
  </si>
  <si>
    <t>39338-000 a 39339-999</t>
  </si>
  <si>
    <t>Campo do Meio</t>
  </si>
  <si>
    <t>37165-000 a 37169-999</t>
  </si>
  <si>
    <t>Campo Florido</t>
  </si>
  <si>
    <t>38130-000 a 38139-999</t>
  </si>
  <si>
    <t>Campos Gerais</t>
  </si>
  <si>
    <t>37160-000 a 37164-999</t>
  </si>
  <si>
    <t>Cantagalo</t>
  </si>
  <si>
    <t>39703-000 a 39703-999</t>
  </si>
  <si>
    <t>Caparaó</t>
  </si>
  <si>
    <t>36834-000 a 36835-999</t>
  </si>
  <si>
    <t>Capelinha</t>
  </si>
  <si>
    <t>39680-000 a 39684-999</t>
  </si>
  <si>
    <t>Capetinga</t>
  </si>
  <si>
    <t>37993-000 a 37996-999</t>
  </si>
  <si>
    <t>Capitão Andrade</t>
  </si>
  <si>
    <t>35123-000 a 35124-999</t>
  </si>
  <si>
    <t>Capitão Enéas</t>
  </si>
  <si>
    <t>39472-000 a 39474-999</t>
  </si>
  <si>
    <t>Carangola</t>
  </si>
  <si>
    <t>36800-000 a 36809-999</t>
  </si>
  <si>
    <t>Caratinga</t>
  </si>
  <si>
    <t>35300-001 a 35322-999</t>
  </si>
  <si>
    <t>Caraí</t>
  </si>
  <si>
    <t>39810-000 a 39813-999</t>
  </si>
  <si>
    <t>Carbonita</t>
  </si>
  <si>
    <t>39665-000 a 39669-999</t>
  </si>
  <si>
    <t>Careaçu</t>
  </si>
  <si>
    <t>37582-000 a 37583-999</t>
  </si>
  <si>
    <t>Carlos Chagas</t>
  </si>
  <si>
    <t>39864-000 a 39867-999</t>
  </si>
  <si>
    <t>Carmo de Minas</t>
  </si>
  <si>
    <t>37472-000 a 37473-999</t>
  </si>
  <si>
    <t>Carmo do Paranaíba</t>
  </si>
  <si>
    <t>38840-000 a 38859-999</t>
  </si>
  <si>
    <t>Carmo do Rio Claro</t>
  </si>
  <si>
    <t>37150-000 a 37159-999</t>
  </si>
  <si>
    <t>Carvalhos</t>
  </si>
  <si>
    <t>37456-000 a 37457-999</t>
  </si>
  <si>
    <t>Carvalhópolis</t>
  </si>
  <si>
    <t>37760-000 a 37774-999</t>
  </si>
  <si>
    <t>Cascalho Rico</t>
  </si>
  <si>
    <t>38460-000 a 38464-999</t>
  </si>
  <si>
    <t>Cataguases</t>
  </si>
  <si>
    <t>36770-001 a 36779-999</t>
  </si>
  <si>
    <t>Catuji</t>
  </si>
  <si>
    <t>39816-000 a 39816-999</t>
  </si>
  <si>
    <t>Caxambu</t>
  </si>
  <si>
    <t>37440-000 a 37442-999</t>
  </si>
  <si>
    <t>Central de Minas</t>
  </si>
  <si>
    <t>35260-000 a 35264-999</t>
  </si>
  <si>
    <t>Chalé</t>
  </si>
  <si>
    <t>36985-000 a 36989-999</t>
  </si>
  <si>
    <t>Chapada do Norte</t>
  </si>
  <si>
    <t>39648-000 a 39649-999</t>
  </si>
  <si>
    <t>Chiador</t>
  </si>
  <si>
    <t>36630-000 a 36639-999</t>
  </si>
  <si>
    <t>Claraval</t>
  </si>
  <si>
    <t>37997-000 a 37999-999</t>
  </si>
  <si>
    <t>Claro dos Poções</t>
  </si>
  <si>
    <t>39380-000 a 39386-999</t>
  </si>
  <si>
    <t>Coluna</t>
  </si>
  <si>
    <t>39770-000 a 39774-999</t>
  </si>
  <si>
    <t>Conceição da Aparecida</t>
  </si>
  <si>
    <t>37148-000 a 37149-999</t>
  </si>
  <si>
    <t>Conceição das Alagoas</t>
  </si>
  <si>
    <t>38120-000 a 38129-999</t>
  </si>
  <si>
    <t>Conceição das Pedras</t>
  </si>
  <si>
    <t>37527-000 a 37529-999</t>
  </si>
  <si>
    <t>Conceição de Ipanema</t>
  </si>
  <si>
    <t>36947-000 a 36949-999</t>
  </si>
  <si>
    <t>Conceição do Rio Verde</t>
  </si>
  <si>
    <t>37430-000 a 37439-999</t>
  </si>
  <si>
    <t>Conceição dos Ouros</t>
  </si>
  <si>
    <t>37548-000 a 37548-999</t>
  </si>
  <si>
    <t>Congonhal</t>
  </si>
  <si>
    <t>37584-000 a 37585-999</t>
  </si>
  <si>
    <t>Conquista</t>
  </si>
  <si>
    <t>38195-000 a 38199-999</t>
  </si>
  <si>
    <t>Conselheiro Pena</t>
  </si>
  <si>
    <t>35240-000 a 35245-999</t>
  </si>
  <si>
    <t>Consolação</t>
  </si>
  <si>
    <t>37670-000 a 37679-999</t>
  </si>
  <si>
    <t>Coração de Jesus</t>
  </si>
  <si>
    <t>39340-000 a 39349-999</t>
  </si>
  <si>
    <t>Cordislândia</t>
  </si>
  <si>
    <t>37498-000 a 37499-999</t>
  </si>
  <si>
    <t>Coroaci</t>
  </si>
  <si>
    <t>39710-000 a 39714-999</t>
  </si>
  <si>
    <t>Coromandel</t>
  </si>
  <si>
    <t>38550-000 a 38569-999</t>
  </si>
  <si>
    <t>Couto de Magalhães de Minas</t>
  </si>
  <si>
    <t>39188-000 a 39189-999</t>
  </si>
  <si>
    <t>Cristina</t>
  </si>
  <si>
    <t>37476-000 a 37477-999</t>
  </si>
  <si>
    <t>Cristália</t>
  </si>
  <si>
    <t>39598-000 a 39599-999</t>
  </si>
  <si>
    <t>Crisólita</t>
  </si>
  <si>
    <t>39885-000 a 39889-999</t>
  </si>
  <si>
    <t>Cruzeiro da Fortaleza</t>
  </si>
  <si>
    <t>38735-000 a 38739-999</t>
  </si>
  <si>
    <t>Cruzília</t>
  </si>
  <si>
    <t>37445-000 a 37446-999</t>
  </si>
  <si>
    <t>Cuparaque</t>
  </si>
  <si>
    <t>35246-000 a 35247-999</t>
  </si>
  <si>
    <t>Cássia</t>
  </si>
  <si>
    <t>37980-000 a 37989-999</t>
  </si>
  <si>
    <t>Córrego do Bom Jesus</t>
  </si>
  <si>
    <t>37605-000 a 37609-999</t>
  </si>
  <si>
    <t>Delfim Moreira</t>
  </si>
  <si>
    <t>37514-000 a 37515-999</t>
  </si>
  <si>
    <t>Delfinópolis</t>
  </si>
  <si>
    <t>37910-000 a 37919-999</t>
  </si>
  <si>
    <t>Delta</t>
  </si>
  <si>
    <t>38108-000 a 38109-999</t>
  </si>
  <si>
    <t>Descoberto</t>
  </si>
  <si>
    <t>36690-000 a 36699-999</t>
  </si>
  <si>
    <t>Diamantina</t>
  </si>
  <si>
    <t>39100-000 a 39119-999</t>
  </si>
  <si>
    <t>Divino</t>
  </si>
  <si>
    <t>36820-000 a 36827-999</t>
  </si>
  <si>
    <t>Divino das Laranjeiras</t>
  </si>
  <si>
    <t>35265-000 a 35269-999</t>
  </si>
  <si>
    <t>Divisa Nova</t>
  </si>
  <si>
    <t>37142-000 a 37142-999</t>
  </si>
  <si>
    <t>Dom Bosco</t>
  </si>
  <si>
    <t>38654-000 a 38657-999</t>
  </si>
  <si>
    <t>Dom Viçoso</t>
  </si>
  <si>
    <t>37474-000 a 37475-999</t>
  </si>
  <si>
    <t>Douradoquara</t>
  </si>
  <si>
    <t>38530-000 a 38539-999</t>
  </si>
  <si>
    <t>Durandé</t>
  </si>
  <si>
    <t>36974-000 a 36975-799</t>
  </si>
  <si>
    <t>Elói Mendes</t>
  </si>
  <si>
    <t>37110-000 a 37114-999</t>
  </si>
  <si>
    <t>Engenheiro Navarro</t>
  </si>
  <si>
    <t>39363-000 a 39364-999</t>
  </si>
  <si>
    <t>Entre Folhas</t>
  </si>
  <si>
    <t>35324-000 a 35324-999</t>
  </si>
  <si>
    <t>Espera Feliz</t>
  </si>
  <si>
    <t>36830-000 a 36831-999</t>
  </si>
  <si>
    <t>Espírito Santo do Dourado</t>
  </si>
  <si>
    <t>37566-000 a 37566-999</t>
  </si>
  <si>
    <t>Estiva</t>
  </si>
  <si>
    <t>37542-000 a 37544-999</t>
  </si>
  <si>
    <t>Estrela Dalva</t>
  </si>
  <si>
    <t>36725-000 a 36729-999</t>
  </si>
  <si>
    <t>Estrela do Sul</t>
  </si>
  <si>
    <t>38525-000 a 38529-999</t>
  </si>
  <si>
    <t>Eugenópolis</t>
  </si>
  <si>
    <t>36855-000 a 36859-999</t>
  </si>
  <si>
    <t>Extrema</t>
  </si>
  <si>
    <t>37640-000 a 37649-999</t>
  </si>
  <si>
    <t>Fama</t>
  </si>
  <si>
    <t>37144-000 a 37144-999</t>
  </si>
  <si>
    <t>Faria Lemos</t>
  </si>
  <si>
    <t>36840-000 a 36843-999</t>
  </si>
  <si>
    <t>Felício dos Santos</t>
  </si>
  <si>
    <t>39180-000 a 39184-999</t>
  </si>
  <si>
    <t>Fernandes Tourinho</t>
  </si>
  <si>
    <t>35135-000 a 35137-999</t>
  </si>
  <si>
    <t>Fervedouro</t>
  </si>
  <si>
    <t>36815-000 a 36819-999</t>
  </si>
  <si>
    <t>Fortaleza de Minas</t>
  </si>
  <si>
    <t>37905-000 a 37909-999</t>
  </si>
  <si>
    <t>Francisco Dumont</t>
  </si>
  <si>
    <t>39387-000 a 39389-999</t>
  </si>
  <si>
    <t>Francisco Sá</t>
  </si>
  <si>
    <t>39580-000 a 39589-999</t>
  </si>
  <si>
    <t>Franciscópolis</t>
  </si>
  <si>
    <t>39695-000 a 39699-999</t>
  </si>
  <si>
    <t>Frei Gaspar</t>
  </si>
  <si>
    <t>39840-000 a 39847-999</t>
  </si>
  <si>
    <t>Frei Inocêncio</t>
  </si>
  <si>
    <t>35112-000 a 35112-999</t>
  </si>
  <si>
    <t>Frei Lagonegro</t>
  </si>
  <si>
    <t>39708-000 a 39709-999</t>
  </si>
  <si>
    <t>Galiléia</t>
  </si>
  <si>
    <t>35250-000 a 35257-999</t>
  </si>
  <si>
    <t>Glaucilândia</t>
  </si>
  <si>
    <t>39592-000 a 39593-999</t>
  </si>
  <si>
    <t>Goiabeira</t>
  </si>
  <si>
    <t>35248-000 a 35248-999</t>
  </si>
  <si>
    <t>Gonzaga</t>
  </si>
  <si>
    <t>39720-000 a 39722-999</t>
  </si>
  <si>
    <t>Gonçalves</t>
  </si>
  <si>
    <t>37680-000 a 37689-999</t>
  </si>
  <si>
    <t>Governador Valadares</t>
  </si>
  <si>
    <t>35000-001 a 35109-999</t>
  </si>
  <si>
    <t>Grupiara</t>
  </si>
  <si>
    <t>38470-000 a 38474-999</t>
  </si>
  <si>
    <t>Grão Mogol</t>
  </si>
  <si>
    <t>39570-000 a 39572-999</t>
  </si>
  <si>
    <t>Guaraciama</t>
  </si>
  <si>
    <t>39397-000 a 39397-999</t>
  </si>
  <si>
    <t>Guaranésia</t>
  </si>
  <si>
    <t>37810-000 a 37819-999</t>
  </si>
  <si>
    <t>Guarará</t>
  </si>
  <si>
    <t>36606-000 a 36607-999</t>
  </si>
  <si>
    <t>Guarda-Mor</t>
  </si>
  <si>
    <t>38570-000 a 38599-999</t>
  </si>
  <si>
    <t>Guaxupé</t>
  </si>
  <si>
    <t>37800-000 a 37804-999</t>
  </si>
  <si>
    <t>Guidoval</t>
  </si>
  <si>
    <t>36515-000 a 36519-999</t>
  </si>
  <si>
    <t>Guimarânia</t>
  </si>
  <si>
    <t>38730-000 a 38734-999</t>
  </si>
  <si>
    <t>Heliodora</t>
  </si>
  <si>
    <t>37484-000 a 37484-999</t>
  </si>
  <si>
    <t>Ibiaí</t>
  </si>
  <si>
    <t>39350-000 a 39354-999</t>
  </si>
  <si>
    <t>Ibiracatu</t>
  </si>
  <si>
    <t>39455-000 a 39457-999</t>
  </si>
  <si>
    <t>Ibiraci</t>
  </si>
  <si>
    <t>37990-000 a 37992-999</t>
  </si>
  <si>
    <t>Ibitiúra de Minas</t>
  </si>
  <si>
    <t>37790-000 a 37794-999</t>
  </si>
  <si>
    <t>Ibiá</t>
  </si>
  <si>
    <t>38950-000 a 38959-999</t>
  </si>
  <si>
    <t>Ilicínea</t>
  </si>
  <si>
    <t>37175-000 a 37176-999</t>
  </si>
  <si>
    <t>Imbé de Minas</t>
  </si>
  <si>
    <t>35323-000 a 35323-999</t>
  </si>
  <si>
    <t>Inconfidentes</t>
  </si>
  <si>
    <t>37576-000 a 37577-999</t>
  </si>
  <si>
    <t>Indianópolis</t>
  </si>
  <si>
    <t>38490-000 a 38499-999</t>
  </si>
  <si>
    <t>Ipanema</t>
  </si>
  <si>
    <t>36950-000 a 36952-999</t>
  </si>
  <si>
    <t>Ipuiúna</t>
  </si>
  <si>
    <t>37588-000 a 37588-999</t>
  </si>
  <si>
    <t>Iraí de Minas</t>
  </si>
  <si>
    <t>38510-000 a 38519-999</t>
  </si>
  <si>
    <t>Itabirinha</t>
  </si>
  <si>
    <t>35280-000 a 35289-999</t>
  </si>
  <si>
    <t>Itacambira</t>
  </si>
  <si>
    <t>39594-000 a 39594-999</t>
  </si>
  <si>
    <t>Itaipé</t>
  </si>
  <si>
    <t>39815-000 a 39815-999</t>
  </si>
  <si>
    <t>Itajubá</t>
  </si>
  <si>
    <t>37500-001 a 37507-999</t>
  </si>
  <si>
    <t>Itamarandiba</t>
  </si>
  <si>
    <t>39670-000 a 39677-999</t>
  </si>
  <si>
    <t>Itamarati de Minas</t>
  </si>
  <si>
    <t>36788-000 a 36789-999</t>
  </si>
  <si>
    <t>Itambacuri</t>
  </si>
  <si>
    <t>39830-000 a 39834-999</t>
  </si>
  <si>
    <t>Itamogi</t>
  </si>
  <si>
    <t>37973-000 a 37974-999</t>
  </si>
  <si>
    <t>Itamonte</t>
  </si>
  <si>
    <t>37466-000 a 37466-999</t>
  </si>
  <si>
    <t>Itanhandu</t>
  </si>
  <si>
    <t>37464-000 a 37464-999</t>
  </si>
  <si>
    <t>Itanhomi</t>
  </si>
  <si>
    <t>35120-000 a 35122-999</t>
  </si>
  <si>
    <t>Itapeva</t>
  </si>
  <si>
    <t>37655-000 a 37659-999</t>
  </si>
  <si>
    <t>Itaú de Minas</t>
  </si>
  <si>
    <t>37975-000 a 37979-999</t>
  </si>
  <si>
    <t>Itueta</t>
  </si>
  <si>
    <t>35220-000 a 35224-999</t>
  </si>
  <si>
    <t>Jacutinga</t>
  </si>
  <si>
    <t>37590-000 a 37595-999</t>
  </si>
  <si>
    <t>Jacuí</t>
  </si>
  <si>
    <t>37965-000 a 37967-999</t>
  </si>
  <si>
    <t>Jampruca</t>
  </si>
  <si>
    <t>39837-000 a 39839-999</t>
  </si>
  <si>
    <t>Janaúba</t>
  </si>
  <si>
    <t>39440-001 a 39449-999</t>
  </si>
  <si>
    <t>Japonvar</t>
  </si>
  <si>
    <t>39335-000 a 39335-999</t>
  </si>
  <si>
    <t>Jequitaí</t>
  </si>
  <si>
    <t>39370-000 a 39372-999</t>
  </si>
  <si>
    <t>Jesuânia</t>
  </si>
  <si>
    <t>37485-000 a 37487-999</t>
  </si>
  <si>
    <t>Joaquim Felício</t>
  </si>
  <si>
    <t>39240-000 a 39242-999</t>
  </si>
  <si>
    <t>José Gonçalves de Minas</t>
  </si>
  <si>
    <t>39642-000 a 39643-999</t>
  </si>
  <si>
    <t>José Raydan</t>
  </si>
  <si>
    <t>39775-000 a 39779-999</t>
  </si>
  <si>
    <t>João Pinheiro</t>
  </si>
  <si>
    <t>38770-000 a 38778-999</t>
  </si>
  <si>
    <t>Juramento</t>
  </si>
  <si>
    <t>39590-000 a 39591-999</t>
  </si>
  <si>
    <t>Juruaia</t>
  </si>
  <si>
    <t>37805-000 a 37809-999</t>
  </si>
  <si>
    <t>Ladainha</t>
  </si>
  <si>
    <t>39825-000 a 39826-999</t>
  </si>
  <si>
    <t>Lagamar</t>
  </si>
  <si>
    <t>38785-000 a 38789-999</t>
  </si>
  <si>
    <t>Lagoa dos Patos</t>
  </si>
  <si>
    <t>39360-000 a 39362-999</t>
  </si>
  <si>
    <t>Lagoa Formosa</t>
  </si>
  <si>
    <t>38720-000 a 38729-999</t>
  </si>
  <si>
    <t>Lagoa Grande</t>
  </si>
  <si>
    <t>38755-000 a 38759-999</t>
  </si>
  <si>
    <t>Lajinha</t>
  </si>
  <si>
    <t>36980-000 a 36984-999</t>
  </si>
  <si>
    <t>Lambari</t>
  </si>
  <si>
    <t>37480-000 a 37483-999</t>
  </si>
  <si>
    <t>Laranjal</t>
  </si>
  <si>
    <t>36760-000 a 36769-999</t>
  </si>
  <si>
    <t>Leme do Prado</t>
  </si>
  <si>
    <t>39655-000 a 39659-999</t>
  </si>
  <si>
    <t>Leopoldina</t>
  </si>
  <si>
    <t>36700-000 a 36709-999</t>
  </si>
  <si>
    <t>Liberdade</t>
  </si>
  <si>
    <t>37350-000 a 37359-999</t>
  </si>
  <si>
    <t>Lontra</t>
  </si>
  <si>
    <t>39437-000 a 39439-999</t>
  </si>
  <si>
    <t>Luisburgo</t>
  </si>
  <si>
    <t>36923-000 a 36924-999</t>
  </si>
  <si>
    <t>Luislândia</t>
  </si>
  <si>
    <t>39336-000 a 39337-999</t>
  </si>
  <si>
    <t>Machado</t>
  </si>
  <si>
    <t>37750-000 a 37756-999</t>
  </si>
  <si>
    <t>Malacacheta</t>
  </si>
  <si>
    <t>39690-000 a 39694-999</t>
  </si>
  <si>
    <t>Manhumirim</t>
  </si>
  <si>
    <t>36970-000 a 36971-999</t>
  </si>
  <si>
    <t>Mantena</t>
  </si>
  <si>
    <t>35290-000 a 35297-999</t>
  </si>
  <si>
    <t>Mar de Espanha</t>
  </si>
  <si>
    <t>36640-000 a 36649-999</t>
  </si>
  <si>
    <t>Maria da Fé</t>
  </si>
  <si>
    <t>37517-000 a 37519-999</t>
  </si>
  <si>
    <t>Marilac</t>
  </si>
  <si>
    <t>35115-000 a 35115-999</t>
  </si>
  <si>
    <t>Maripá de Minas</t>
  </si>
  <si>
    <t>36608-000 a 36609-999</t>
  </si>
  <si>
    <t>Marmelópolis</t>
  </si>
  <si>
    <t>37516-000 a 37516-999</t>
  </si>
  <si>
    <t>Martins Soares</t>
  </si>
  <si>
    <t>36972-000 a 36973-999</t>
  </si>
  <si>
    <t>Materlândia</t>
  </si>
  <si>
    <t>39755-000 a 39764-999</t>
  </si>
  <si>
    <t>Mathias Lobato</t>
  </si>
  <si>
    <t>35110-000 a 35111-999</t>
  </si>
  <si>
    <t>Matutina</t>
  </si>
  <si>
    <t>38870-000 a 38879-999</t>
  </si>
  <si>
    <t>Medeiros</t>
  </si>
  <si>
    <t>38930-000 a 38949-999</t>
  </si>
  <si>
    <t>Mendes Pimentel</t>
  </si>
  <si>
    <t>35270-000 a 35274-999</t>
  </si>
  <si>
    <t>Minas Novas</t>
  </si>
  <si>
    <t>39650-000 a 39654-999</t>
  </si>
  <si>
    <t>Minduri</t>
  </si>
  <si>
    <t>37447-000 a 37449-999</t>
  </si>
  <si>
    <t>Mirabela</t>
  </si>
  <si>
    <t>39373-000 a 39377-999</t>
  </si>
  <si>
    <t>Miradouro</t>
  </si>
  <si>
    <t>36893-000 a 36894-999</t>
  </si>
  <si>
    <t>Miraí</t>
  </si>
  <si>
    <t>36790-000 a 36792-999</t>
  </si>
  <si>
    <t>Monsenhor Paulo</t>
  </si>
  <si>
    <t>37405-000 a 37406-999</t>
  </si>
  <si>
    <t>Monte Belo</t>
  </si>
  <si>
    <t>37115-000 a 37119-999</t>
  </si>
  <si>
    <t>Monte Carmelo</t>
  </si>
  <si>
    <t>38500-000 a 38509-999</t>
  </si>
  <si>
    <t>Monte Santo de Minas</t>
  </si>
  <si>
    <t>37968-000 a 37969-999</t>
  </si>
  <si>
    <t>Monte Sião</t>
  </si>
  <si>
    <t>37580-000 a 37581-999</t>
  </si>
  <si>
    <t>Montes Claros</t>
  </si>
  <si>
    <t>39400-001 a 39429-999</t>
  </si>
  <si>
    <t>Munhoz</t>
  </si>
  <si>
    <t>37620-000 a 37629-999</t>
  </si>
  <si>
    <t>Muriaé</t>
  </si>
  <si>
    <t>36880-001 a 36892-999</t>
  </si>
  <si>
    <t>Mutum</t>
  </si>
  <si>
    <t>36955-000 a 36959-999</t>
  </si>
  <si>
    <t>Muzambinho</t>
  </si>
  <si>
    <t>37890-000 a 37899-999</t>
  </si>
  <si>
    <t>Nacip Raydan</t>
  </si>
  <si>
    <t>39718-000 a 39719-999</t>
  </si>
  <si>
    <t>Natalândia</t>
  </si>
  <si>
    <t>38658-000 a 38659-999</t>
  </si>
  <si>
    <t>Natércia</t>
  </si>
  <si>
    <t>37524-000 a 37526-999</t>
  </si>
  <si>
    <t>Nova Belém</t>
  </si>
  <si>
    <t>35298-000 a 35299-999</t>
  </si>
  <si>
    <t>Nova Módica</t>
  </si>
  <si>
    <t>35113-000 a 35113-999</t>
  </si>
  <si>
    <t>Nova Ponte</t>
  </si>
  <si>
    <t>38160-000 a 38169-999</t>
  </si>
  <si>
    <t>Nova Porteirinha</t>
  </si>
  <si>
    <t>39525-000 a 39525-999</t>
  </si>
  <si>
    <t>Nova Resende</t>
  </si>
  <si>
    <t>37860-000 a 37879-999</t>
  </si>
  <si>
    <t>Novo Cruzeiro</t>
  </si>
  <si>
    <t>39820-000 a 39824-999</t>
  </si>
  <si>
    <t>Novo Oriente de Minas</t>
  </si>
  <si>
    <t>39817-000 a 39817-999</t>
  </si>
  <si>
    <t>Olaria</t>
  </si>
  <si>
    <t>36145-000 a 36145-999</t>
  </si>
  <si>
    <t>Olhos D'Água</t>
  </si>
  <si>
    <t>39398-000 a 39399-999</t>
  </si>
  <si>
    <t>Olímpio Noronha</t>
  </si>
  <si>
    <t>37488-000 a 37489-999</t>
  </si>
  <si>
    <t>Orizânia</t>
  </si>
  <si>
    <t>36828-000 a 36829-999</t>
  </si>
  <si>
    <t>Ouro Fino</t>
  </si>
  <si>
    <t>37570-000 a 37575-999</t>
  </si>
  <si>
    <t>Ouro Verde de Minas</t>
  </si>
  <si>
    <t>39855-000 a 39859-999</t>
  </si>
  <si>
    <t>Padre Paraíso</t>
  </si>
  <si>
    <t>39818-000 a 39819-999</t>
  </si>
  <si>
    <t>Palma</t>
  </si>
  <si>
    <t>36750-000 a 36759-999</t>
  </si>
  <si>
    <t>Paracatu</t>
  </si>
  <si>
    <t>38600-001 a 38609-999</t>
  </si>
  <si>
    <t>Paraguaçu</t>
  </si>
  <si>
    <t>37120-000 a 37129-999</t>
  </si>
  <si>
    <t>Paraisópolis</t>
  </si>
  <si>
    <t>37660-000 a 37669-999</t>
  </si>
  <si>
    <t>Passa Quatro</t>
  </si>
  <si>
    <t>37460-000 a 37463-999</t>
  </si>
  <si>
    <t>Passa Vinte</t>
  </si>
  <si>
    <t>37330-000 a 37339-999</t>
  </si>
  <si>
    <t>Passos</t>
  </si>
  <si>
    <t>37900-001 a 37904-999</t>
  </si>
  <si>
    <t>Patis</t>
  </si>
  <si>
    <t>39378-000 a 39379-999</t>
  </si>
  <si>
    <t>Patos de Minas</t>
  </si>
  <si>
    <t>38700-001 a 38719-999</t>
  </si>
  <si>
    <t>Patrocínio</t>
  </si>
  <si>
    <t>38740-001 a 38749-999</t>
  </si>
  <si>
    <t>Patrocínio do Muriaé</t>
  </si>
  <si>
    <t>36860-000 a 36869-999</t>
  </si>
  <si>
    <t>Paulistas</t>
  </si>
  <si>
    <t>39765-000 a 39769-999</t>
  </si>
  <si>
    <t>Pavão</t>
  </si>
  <si>
    <t>39814-000 a 39814-999</t>
  </si>
  <si>
    <t>Pedra Dourada</t>
  </si>
  <si>
    <t>36847-000 a 36849-999</t>
  </si>
  <si>
    <t>Pedralva</t>
  </si>
  <si>
    <t>37520-000 a 37523-999</t>
  </si>
  <si>
    <t>Pedras de Maria da Cruz</t>
  </si>
  <si>
    <t>39492-000 a 39494-999</t>
  </si>
  <si>
    <t>Pedrinópolis</t>
  </si>
  <si>
    <t>38178-000 a 38179-999</t>
  </si>
  <si>
    <t>Pequeri</t>
  </si>
  <si>
    <t>36610-000 a 36619-999</t>
  </si>
  <si>
    <t>Perdizes</t>
  </si>
  <si>
    <t>38170-000 a 38174-999</t>
  </si>
  <si>
    <t>Pescador</t>
  </si>
  <si>
    <t>35114-000 a 35114-999</t>
  </si>
  <si>
    <t>Peçanha</t>
  </si>
  <si>
    <t>39700-000 a 39702-999</t>
  </si>
  <si>
    <t>Piedade de Caratinga</t>
  </si>
  <si>
    <t>35325-000 a 35325-999</t>
  </si>
  <si>
    <t>Pirajuba</t>
  </si>
  <si>
    <t>38210-000 a 38219-999</t>
  </si>
  <si>
    <t>Piranguinho</t>
  </si>
  <si>
    <t>37508-000 a 37509-999</t>
  </si>
  <si>
    <t>Piranguçu</t>
  </si>
  <si>
    <t>37511-000 a 37511-999</t>
  </si>
  <si>
    <t>Pirapetinga</t>
  </si>
  <si>
    <t>36730-000 a 36739-999</t>
  </si>
  <si>
    <t>Pirapora</t>
  </si>
  <si>
    <t>39270-000 a 39279-999</t>
  </si>
  <si>
    <t>Planura</t>
  </si>
  <si>
    <t>38220-000 a 38229-999</t>
  </si>
  <si>
    <t>Pocrane</t>
  </si>
  <si>
    <t>36960-000 a 36969-999</t>
  </si>
  <si>
    <t>Ponto Chique</t>
  </si>
  <si>
    <t>39328-000 a 39329-999</t>
  </si>
  <si>
    <t>Ponto dos Volantes</t>
  </si>
  <si>
    <t>39615-000 a 39619-999</t>
  </si>
  <si>
    <t>Poté</t>
  </si>
  <si>
    <t>39827-000 a 39829-999</t>
  </si>
  <si>
    <t>Pouso Alegre</t>
  </si>
  <si>
    <t>37550-001 a 37562-999</t>
  </si>
  <si>
    <t>Pouso Alto</t>
  </si>
  <si>
    <t>37468-000 a 37469-999</t>
  </si>
  <si>
    <t>Poço Fundo</t>
  </si>
  <si>
    <t>37757-000 a 37759-999</t>
  </si>
  <si>
    <t>Poços de Caldas</t>
  </si>
  <si>
    <t>37700-001 a 37719-999</t>
  </si>
  <si>
    <t>Pratinha</t>
  </si>
  <si>
    <t>38960-000 a 38969-999</t>
  </si>
  <si>
    <t>Pratápolis</t>
  </si>
  <si>
    <t>37970-000 a 37972-999</t>
  </si>
  <si>
    <t>Presidente Kubitschek</t>
  </si>
  <si>
    <t>39135-000 a 39139-999</t>
  </si>
  <si>
    <t>Presidente Olegário</t>
  </si>
  <si>
    <t>38750-000 a 38754-999</t>
  </si>
  <si>
    <t>Recreio</t>
  </si>
  <si>
    <t>36740-000 a 36749-999</t>
  </si>
  <si>
    <t>Resplendor</t>
  </si>
  <si>
    <t>35230-000 a 35239-999</t>
  </si>
  <si>
    <t>Riacho dos Machados</t>
  </si>
  <si>
    <t>39529-000 a 39529-999</t>
  </si>
  <si>
    <t>Rio Paranaíba</t>
  </si>
  <si>
    <t>38810-000 a 38819-999</t>
  </si>
  <si>
    <t>Rio Preto</t>
  </si>
  <si>
    <t>36130-000 a 36131-999</t>
  </si>
  <si>
    <t>Rio Vermelho</t>
  </si>
  <si>
    <t>39170-000 a 39179-999</t>
  </si>
  <si>
    <t>Rochedo de Minas</t>
  </si>
  <si>
    <t>36604-000 a 36605-999</t>
  </si>
  <si>
    <t>Romaria</t>
  </si>
  <si>
    <t>38520-000 a 38524-999</t>
  </si>
  <si>
    <t>Sacramento</t>
  </si>
  <si>
    <t>38190-000 a 38194-999</t>
  </si>
  <si>
    <t>Santa Bárbara do Leste</t>
  </si>
  <si>
    <t>35328-000 a 35329-999</t>
  </si>
  <si>
    <t>Santa Bárbara do Monte Verde</t>
  </si>
  <si>
    <t>36132-000 a 36134-999</t>
  </si>
  <si>
    <t>Santa Efigênia de Minas</t>
  </si>
  <si>
    <t>39725-000 a 39727-999</t>
  </si>
  <si>
    <t>Santa Fé de Minas</t>
  </si>
  <si>
    <t>39295-000 a 39299-999</t>
  </si>
  <si>
    <t>Santa Juliana</t>
  </si>
  <si>
    <t>38175-000 a 38177-999</t>
  </si>
  <si>
    <t>Santa Maria do Suaçuí</t>
  </si>
  <si>
    <t>39780-000 a 39783-999</t>
  </si>
  <si>
    <t>Santa Rita de Caldas</t>
  </si>
  <si>
    <t>37775-000 a 37779-999</t>
  </si>
  <si>
    <t>Santa Rita de Jacutinga</t>
  </si>
  <si>
    <t>36135-000 a 36139-999</t>
  </si>
  <si>
    <t>Santa Rita de Minas</t>
  </si>
  <si>
    <t>35326-000 a 35327-999</t>
  </si>
  <si>
    <t>Santa Rita do Itueto</t>
  </si>
  <si>
    <t>35225-000 a 35229-999</t>
  </si>
  <si>
    <t>Santa Rita do Sapucaí</t>
  </si>
  <si>
    <t>37540-000 a 37541-999</t>
  </si>
  <si>
    <t>Santana de Cataguases</t>
  </si>
  <si>
    <t>36795-000 a 36799-999</t>
  </si>
  <si>
    <t>Santana do Deserto</t>
  </si>
  <si>
    <t>36620-000 a 36629-999</t>
  </si>
  <si>
    <t>Santana do Manhuaçu</t>
  </si>
  <si>
    <t>36940-000 a 36946-999</t>
  </si>
  <si>
    <t>Santo Antônio do Aventureiro</t>
  </si>
  <si>
    <t>36670-000 a 36679-999</t>
  </si>
  <si>
    <t>Sapucaí-Mirim</t>
  </si>
  <si>
    <t>37690-000 a 37699-999</t>
  </si>
  <si>
    <t>Sardoá</t>
  </si>
  <si>
    <t>39728-000 a 39729-999</t>
  </si>
  <si>
    <t>Senador Amaral</t>
  </si>
  <si>
    <t>37615-000 a 37619-999</t>
  </si>
  <si>
    <t>Senador Cortes</t>
  </si>
  <si>
    <t>36650-000 a 36659-999</t>
  </si>
  <si>
    <t>Senador José Bento</t>
  </si>
  <si>
    <t>37586-000 a 37587-999</t>
  </si>
  <si>
    <t>Senador Modestino Gonçalves</t>
  </si>
  <si>
    <t>39190-000 a 39199-999</t>
  </si>
  <si>
    <t>Seritinga</t>
  </si>
  <si>
    <t>37454-000 a 37455-999</t>
  </si>
  <si>
    <t>Serra do Salitre</t>
  </si>
  <si>
    <t>38760-000 a 38769-999</t>
  </si>
  <si>
    <t>Serrania</t>
  </si>
  <si>
    <t>37143-000 a 37143-999</t>
  </si>
  <si>
    <t>Serranos</t>
  </si>
  <si>
    <t>37452-000 a 37453-999</t>
  </si>
  <si>
    <t>Setubinha</t>
  </si>
  <si>
    <t>39688-000 a 39689-999</t>
  </si>
  <si>
    <t>Silvianópolis</t>
  </si>
  <si>
    <t>37589-000 a 37589-999</t>
  </si>
  <si>
    <t>Simonésia</t>
  </si>
  <si>
    <t>36930-000 a 36939-999</t>
  </si>
  <si>
    <t>Sobrália</t>
  </si>
  <si>
    <t>35144-000 a 35145-999</t>
  </si>
  <si>
    <t>Soledade de Minas</t>
  </si>
  <si>
    <t>37478-000 a 37479-999</t>
  </si>
  <si>
    <t>São Francisco</t>
  </si>
  <si>
    <t>39300-000 a 39316-999</t>
  </si>
  <si>
    <t>São Francisco do Glória</t>
  </si>
  <si>
    <t>36810-000 a 36814-999</t>
  </si>
  <si>
    <t>São Félix de Minas</t>
  </si>
  <si>
    <t>35275-000 a 35276-999</t>
  </si>
  <si>
    <t>São Geraldo da Piedade</t>
  </si>
  <si>
    <t>39723-000 a 39724-999</t>
  </si>
  <si>
    <t>São Geraldo do Baixio</t>
  </si>
  <si>
    <t>35258-000 a 35259-999</t>
  </si>
  <si>
    <t>São Gonçalo do Abaeté</t>
  </si>
  <si>
    <t>38790-000 a 38793-999</t>
  </si>
  <si>
    <t>São Gonçalo do Rio Preto</t>
  </si>
  <si>
    <t>39185-000 a 39187-999</t>
  </si>
  <si>
    <t>São Gonçalo do Sapucaí</t>
  </si>
  <si>
    <t>37490-000 a 37495-999</t>
  </si>
  <si>
    <t>São Gotardo</t>
  </si>
  <si>
    <t>38800-000 a 38804-999</t>
  </si>
  <si>
    <t>São José da Barra</t>
  </si>
  <si>
    <t>37945-000 a 37947-999</t>
  </si>
  <si>
    <t>São José da Safira</t>
  </si>
  <si>
    <t>39785-000 a 39789-999</t>
  </si>
  <si>
    <t>São José do Alegre</t>
  </si>
  <si>
    <t>37510-000 a 37510-999</t>
  </si>
  <si>
    <t>São José do Divino</t>
  </si>
  <si>
    <t>39848-000 a 39849-999</t>
  </si>
  <si>
    <t>São José do Jacuri</t>
  </si>
  <si>
    <t>39707-000 a 39707-999</t>
  </si>
  <si>
    <t>São José do Mantimento</t>
  </si>
  <si>
    <t>36990-000 a 36999-999</t>
  </si>
  <si>
    <t>São João Batista do Glória</t>
  </si>
  <si>
    <t>37920-000 a 37921-999</t>
  </si>
  <si>
    <t>São João da Lagoa</t>
  </si>
  <si>
    <t>39355-000 a 39359-999</t>
  </si>
  <si>
    <t>São João da Mata</t>
  </si>
  <si>
    <t>37568-000 a 37569-999</t>
  </si>
  <si>
    <t>São João da Ponte</t>
  </si>
  <si>
    <t>39430-000 a 39436-999</t>
  </si>
  <si>
    <t>São João do Manteninha</t>
  </si>
  <si>
    <t>35277-000 a 35279-999</t>
  </si>
  <si>
    <t>São João do Pacuí</t>
  </si>
  <si>
    <t>39365-000 a 39369-999</t>
  </si>
  <si>
    <t>São João Nepomuceno</t>
  </si>
  <si>
    <t>36680-000 a 36689-999</t>
  </si>
  <si>
    <t>São Lourenço</t>
  </si>
  <si>
    <t>37470-000 a 37471-999</t>
  </si>
  <si>
    <t>São Pedro da União</t>
  </si>
  <si>
    <t>37855-000 a 37859-999</t>
  </si>
  <si>
    <t>São Pedro do Suaçuí</t>
  </si>
  <si>
    <t>39784-000 a 39784-999</t>
  </si>
  <si>
    <t>São Romão</t>
  </si>
  <si>
    <t>39290-000 a 39294-999</t>
  </si>
  <si>
    <t>São Roque de Minas</t>
  </si>
  <si>
    <t>37927-000 a 37929-999</t>
  </si>
  <si>
    <t>São Sebastião da Bela Vista</t>
  </si>
  <si>
    <t>37567-000 a 37567-999</t>
  </si>
  <si>
    <t>São Sebastião da Vargem Alegre</t>
  </si>
  <si>
    <t>36793-000 a 36794-999</t>
  </si>
  <si>
    <t>São Sebastião do Anta</t>
  </si>
  <si>
    <t>35334-000 a 35334-999</t>
  </si>
  <si>
    <t>São Sebastião do Maranhão</t>
  </si>
  <si>
    <t>39795-000 a 39799-999</t>
  </si>
  <si>
    <t>São Sebastião do Paraíso</t>
  </si>
  <si>
    <t>37950-000 a 37959-999</t>
  </si>
  <si>
    <t>São Sebastião do Rio Verde</t>
  </si>
  <si>
    <t>37467-000 a 37467-999</t>
  </si>
  <si>
    <t>São Thomé das Letras</t>
  </si>
  <si>
    <t>37408-000 a 37409-999</t>
  </si>
  <si>
    <t>São Tomás de Aquino</t>
  </si>
  <si>
    <t>37960-000 a 37964-999</t>
  </si>
  <si>
    <t>Taparuba</t>
  </si>
  <si>
    <t>36953-000 a 36954-999</t>
  </si>
  <si>
    <t>Tapira</t>
  </si>
  <si>
    <t>38185-000 a 38189-999</t>
  </si>
  <si>
    <t>Teófilo Otoni</t>
  </si>
  <si>
    <t>39800-001 a 39809-999</t>
  </si>
  <si>
    <t>Tiros</t>
  </si>
  <si>
    <t>38880-000 a 38899-999</t>
  </si>
  <si>
    <t>Tocos do Moji</t>
  </si>
  <si>
    <t>37563-000 a 37563-999</t>
  </si>
  <si>
    <t>Toledo</t>
  </si>
  <si>
    <t>37630-000 a 37639-999</t>
  </si>
  <si>
    <t>Tombos</t>
  </si>
  <si>
    <t>36844-000 a 36846-999</t>
  </si>
  <si>
    <t>Três Corações</t>
  </si>
  <si>
    <t>37410-001 a 37419-999</t>
  </si>
  <si>
    <t>Tumiritinga</t>
  </si>
  <si>
    <t>35125-000 a 35129-999</t>
  </si>
  <si>
    <t>Turmalina</t>
  </si>
  <si>
    <t>39660-000 a 39662-999</t>
  </si>
  <si>
    <t>Turvolândia</t>
  </si>
  <si>
    <t>37496-000 a 37497-999</t>
  </si>
  <si>
    <t>Ubaí</t>
  </si>
  <si>
    <t>39320-000 a 39327-999</t>
  </si>
  <si>
    <t>Uberaba</t>
  </si>
  <si>
    <t>38000-001 a 38107-999</t>
  </si>
  <si>
    <t>Uberlândia</t>
  </si>
  <si>
    <t>38400-001 a 38439-999</t>
  </si>
  <si>
    <t>Vargem Bonita</t>
  </si>
  <si>
    <t>37922-000 a 37924-999</t>
  </si>
  <si>
    <t>Varginha</t>
  </si>
  <si>
    <t>37000-001 a 37109-999</t>
  </si>
  <si>
    <t>Varjão de Minas</t>
  </si>
  <si>
    <t>38794-000 a 38799-999</t>
  </si>
  <si>
    <t>Varzelândia</t>
  </si>
  <si>
    <t>39450-000 a 39454-999</t>
  </si>
  <si>
    <t>Vazante</t>
  </si>
  <si>
    <t>38780-000 a 38784-999</t>
  </si>
  <si>
    <t>Veredinha</t>
  </si>
  <si>
    <t>39663-000 a 39664-999</t>
  </si>
  <si>
    <t>Veríssimo</t>
  </si>
  <si>
    <t>38150-000 a 38159-999</t>
  </si>
  <si>
    <t>Vieiras</t>
  </si>
  <si>
    <t>36895-000 a 36899-999</t>
  </si>
  <si>
    <t>Virgem da Lapa</t>
  </si>
  <si>
    <t>39630-000 a 39634-999</t>
  </si>
  <si>
    <t>Virgolândia</t>
  </si>
  <si>
    <t>39715-000 a 39717-999</t>
  </si>
  <si>
    <t>Virgínia</t>
  </si>
  <si>
    <t>37465-000 a 37465-999</t>
  </si>
  <si>
    <t>Volta Grande</t>
  </si>
  <si>
    <t>36720-000 a 36724-999</t>
  </si>
  <si>
    <t>Várzea da Palma</t>
  </si>
  <si>
    <t>39260-000 a 39269-999</t>
  </si>
  <si>
    <t>Wenceslau Braz</t>
  </si>
  <si>
    <t>Água Boa</t>
  </si>
  <si>
    <t>39790-000 a 39794-999</t>
  </si>
  <si>
    <t>Água Comprida</t>
  </si>
  <si>
    <t>38110-000 a 38119-999</t>
  </si>
  <si>
    <t>Almenara</t>
  </si>
  <si>
    <t>39900-000 a 39911-999</t>
  </si>
  <si>
    <t>Araporã</t>
  </si>
  <si>
    <t>38465-000 a 38469-999</t>
  </si>
  <si>
    <t>Araçuaí</t>
  </si>
  <si>
    <t>39600-000 a 39609-999</t>
  </si>
  <si>
    <t>Arinos</t>
  </si>
  <si>
    <t>38680-000 a 38688-999</t>
  </si>
  <si>
    <t>Bandeira</t>
  </si>
  <si>
    <t>39917-000 a 39919-999</t>
  </si>
  <si>
    <t>Berizal</t>
  </si>
  <si>
    <t>39555-000 a 39557-999</t>
  </si>
  <si>
    <t>Bertópolis</t>
  </si>
  <si>
    <t>39875-000 a 39877-999</t>
  </si>
  <si>
    <t>Bonito de Minas</t>
  </si>
  <si>
    <t>39490-000 a 39491-999</t>
  </si>
  <si>
    <t>Buritis</t>
  </si>
  <si>
    <t>38660-000 a 38679-999</t>
  </si>
  <si>
    <t>Cabeceira Grande</t>
  </si>
  <si>
    <t>38625-000 a 38629-999</t>
  </si>
  <si>
    <t>Cachoeira de Pajeú</t>
  </si>
  <si>
    <t>39980-000 a 39989-999</t>
  </si>
  <si>
    <t>38370-000 a 38379-999</t>
  </si>
  <si>
    <t>Campina Verde</t>
  </si>
  <si>
    <t>38270-000 a 38279-999</t>
  </si>
  <si>
    <t>38380-000 a 38389-999</t>
  </si>
  <si>
    <t>Capinópolis</t>
  </si>
  <si>
    <t>38360-000 a 38369-999</t>
  </si>
  <si>
    <t>Carneirinho</t>
  </si>
  <si>
    <t>38290-000 a 38294-999</t>
  </si>
  <si>
    <t>Catuti</t>
  </si>
  <si>
    <t>39526-000 a 39526-999</t>
  </si>
  <si>
    <t>Centralina</t>
  </si>
  <si>
    <t>38390-000 a 38399-999</t>
  </si>
  <si>
    <t>Chapada Gaúcha</t>
  </si>
  <si>
    <t>38689-000 a 38689-999</t>
  </si>
  <si>
    <t>Comendador Gomes</t>
  </si>
  <si>
    <t>38250-000 a 38259-999</t>
  </si>
  <si>
    <t>Comercinho</t>
  </si>
  <si>
    <t>39628-000 a 39629-999</t>
  </si>
  <si>
    <t>Coronel Murta</t>
  </si>
  <si>
    <t>39635-000 a 39639-999</t>
  </si>
  <si>
    <t>Curral de Dentro</t>
  </si>
  <si>
    <t>39569-000 a 39569-999</t>
  </si>
  <si>
    <t>Cônego Marinho</t>
  </si>
  <si>
    <t>39489-000 a 39489-999</t>
  </si>
  <si>
    <t>Divisa Alegre</t>
  </si>
  <si>
    <t>39995-000 a 39997-999</t>
  </si>
  <si>
    <t>Divisópolis</t>
  </si>
  <si>
    <t>39912-000 a 39914-999</t>
  </si>
  <si>
    <t>Espinosa</t>
  </si>
  <si>
    <t>39510-000 a 39515-999</t>
  </si>
  <si>
    <t>Felisburgo</t>
  </si>
  <si>
    <t>39895-000 a 39899-999</t>
  </si>
  <si>
    <t>38690-000 a 38699-999</t>
  </si>
  <si>
    <t>Francisco Badaró</t>
  </si>
  <si>
    <t>39644-000 a 39644-999</t>
  </si>
  <si>
    <t>Fronteira</t>
  </si>
  <si>
    <t>38230-000 a 38239-999</t>
  </si>
  <si>
    <t>Fronteira dos Vales</t>
  </si>
  <si>
    <t>39870-000 a 39872-999</t>
  </si>
  <si>
    <t>Fruta de Leite</t>
  </si>
  <si>
    <t>39558-000 a 39559-999</t>
  </si>
  <si>
    <t>Frutal</t>
  </si>
  <si>
    <t>38200-000 a 38209-999</t>
  </si>
  <si>
    <t>Gameleiras</t>
  </si>
  <si>
    <t>39505-000 a 39507-999</t>
  </si>
  <si>
    <t>Gurinhatã</t>
  </si>
  <si>
    <t>38310-000 a 38319-999</t>
  </si>
  <si>
    <t>Icaraí de Minas</t>
  </si>
  <si>
    <t>39318-000 a 39319-999</t>
  </si>
  <si>
    <t>Indaiabira</t>
  </si>
  <si>
    <t>39536-000 a 39537-999</t>
  </si>
  <si>
    <t>Ipiaçu</t>
  </si>
  <si>
    <t>38350-000 a 38359-999</t>
  </si>
  <si>
    <t>Itacarambi</t>
  </si>
  <si>
    <t>39470-000 a 39471-999</t>
  </si>
  <si>
    <t>Itaobim</t>
  </si>
  <si>
    <t>39625-000 a 39627-999</t>
  </si>
  <si>
    <t>Itapagipe</t>
  </si>
  <si>
    <t>38240-000 a 38249-999</t>
  </si>
  <si>
    <t>Itinga</t>
  </si>
  <si>
    <t>39610-000 a 39614-999</t>
  </si>
  <si>
    <t>Ituiutaba</t>
  </si>
  <si>
    <t>38300-001 a 38309-999</t>
  </si>
  <si>
    <t>Iturama</t>
  </si>
  <si>
    <t>38280-000 a 38287-999</t>
  </si>
  <si>
    <t>Jacinto</t>
  </si>
  <si>
    <t>39930-000 a 39934-999</t>
  </si>
  <si>
    <t>Januária</t>
  </si>
  <si>
    <t>39480-000 a 39488-999</t>
  </si>
  <si>
    <t>Jaíba</t>
  </si>
  <si>
    <t>39508-000 a 39509-999</t>
  </si>
  <si>
    <t>Jenipapo de Minas</t>
  </si>
  <si>
    <t>39645-000 a 39647-999</t>
  </si>
  <si>
    <t>Jequitinhonha</t>
  </si>
  <si>
    <t>39960-000 a 39969-999</t>
  </si>
  <si>
    <t>Joaíma</t>
  </si>
  <si>
    <t>39890-000 a 39892-999</t>
  </si>
  <si>
    <t>Jordânia</t>
  </si>
  <si>
    <t>39920-000 a 39924-999</t>
  </si>
  <si>
    <t>Josenópolis</t>
  </si>
  <si>
    <t>39575-000 a 39579-999</t>
  </si>
  <si>
    <t>Juvenília</t>
  </si>
  <si>
    <t>39467-000 a 39469-999</t>
  </si>
  <si>
    <t>Limeira do Oeste</t>
  </si>
  <si>
    <t>38295-000 a 38299-999</t>
  </si>
  <si>
    <t>Machacalis</t>
  </si>
  <si>
    <t>39873-000 a 39873-999</t>
  </si>
  <si>
    <t>Mamonas</t>
  </si>
  <si>
    <t>39516-000 a 39516-999</t>
  </si>
  <si>
    <t>Manga</t>
  </si>
  <si>
    <t>39460-000 a 39464-999</t>
  </si>
  <si>
    <t>Mata Verde</t>
  </si>
  <si>
    <t>39915-000 a 39916-999</t>
  </si>
  <si>
    <t>Matias Cardoso</t>
  </si>
  <si>
    <t>39478-000 a 39479-999</t>
  </si>
  <si>
    <t>Mato Verde</t>
  </si>
  <si>
    <t>39527-000 a 39528-999</t>
  </si>
  <si>
    <t>Medina</t>
  </si>
  <si>
    <t>39620-000 a 39624-999</t>
  </si>
  <si>
    <t>Miravânia</t>
  </si>
  <si>
    <t>39465-000 a 39466-999</t>
  </si>
  <si>
    <t>Montalvânia</t>
  </si>
  <si>
    <t>39495-000 a 39499-999</t>
  </si>
  <si>
    <t>Monte Alegre de Minas</t>
  </si>
  <si>
    <t>38475-000 a 38479-999</t>
  </si>
  <si>
    <t>Monte Azul</t>
  </si>
  <si>
    <t>39500-000 a 39504-999</t>
  </si>
  <si>
    <t>Monte Formoso</t>
  </si>
  <si>
    <t>39893-000 a 39894-999</t>
  </si>
  <si>
    <t>Montezuma</t>
  </si>
  <si>
    <t>39547-000 a 39549-999</t>
  </si>
  <si>
    <t>Nanuque</t>
  </si>
  <si>
    <t>39860-000 a 39863-999</t>
  </si>
  <si>
    <t>Ninheira</t>
  </si>
  <si>
    <t>39553-000 a 39554-999</t>
  </si>
  <si>
    <t>Novorizonte</t>
  </si>
  <si>
    <t>39568-000 a 39568-999</t>
  </si>
  <si>
    <t>Padre Carvalho</t>
  </si>
  <si>
    <t>39573-000 a 39574-999</t>
  </si>
  <si>
    <t>Pai Pedro</t>
  </si>
  <si>
    <t>39517-000 a 39517-999</t>
  </si>
  <si>
    <t>Palmópolis</t>
  </si>
  <si>
    <t>39945-000 a 39949-999</t>
  </si>
  <si>
    <t>Pedra Azul</t>
  </si>
  <si>
    <t>39970-000 a 39979-999</t>
  </si>
  <si>
    <t>Pintópolis</t>
  </si>
  <si>
    <t>39317-000 a 39317-999</t>
  </si>
  <si>
    <t>Porteirinha</t>
  </si>
  <si>
    <t>39520-000 a 39524-999</t>
  </si>
  <si>
    <t>Prata</t>
  </si>
  <si>
    <t>38140-000 a 38149-999</t>
  </si>
  <si>
    <t>Riachinho</t>
  </si>
  <si>
    <t>38640-000 a 38648-999</t>
  </si>
  <si>
    <t>Rio do Prado</t>
  </si>
  <si>
    <t>39940-000 a 39944-999</t>
  </si>
  <si>
    <t>Rio Pardo de Minas</t>
  </si>
  <si>
    <t>39530-000 a 39534-999</t>
  </si>
  <si>
    <t>Rubelita</t>
  </si>
  <si>
    <t>39565-000 a 39567-999</t>
  </si>
  <si>
    <t>Rubim</t>
  </si>
  <si>
    <t>39950-000 a 39959-999</t>
  </si>
  <si>
    <t>Salinas</t>
  </si>
  <si>
    <t>39560-000 a 39562-999</t>
  </si>
  <si>
    <t>Salto da Divisa</t>
  </si>
  <si>
    <t>39925-000 a 39927-999</t>
  </si>
  <si>
    <t>Santa Cruz de Salinas</t>
  </si>
  <si>
    <t>39563-000 a 39564-999</t>
  </si>
  <si>
    <t>Santa Helena de Minas</t>
  </si>
  <si>
    <t>39874-000 a 39874-999</t>
  </si>
  <si>
    <t>Santa Maria do Salto</t>
  </si>
  <si>
    <t>39928-000 a 39929-999</t>
  </si>
  <si>
    <t>Santa Vitória</t>
  </si>
  <si>
    <t>38320-000 a 38349-999</t>
  </si>
  <si>
    <t>Santo Antônio do Jacinto</t>
  </si>
  <si>
    <t>39935-000 a 39939-999</t>
  </si>
  <si>
    <t>Santo Antônio do Retiro</t>
  </si>
  <si>
    <t>39538-000 a 39539-999</t>
  </si>
  <si>
    <t>Serra dos Aimorés</t>
  </si>
  <si>
    <t>39868-000 a 39869-999</t>
  </si>
  <si>
    <t>Serranópolis de Minas</t>
  </si>
  <si>
    <t>39518-000 a 39519-999</t>
  </si>
  <si>
    <t>São Francisco de Sales</t>
  </si>
  <si>
    <t>38260-000 a 38269-999</t>
  </si>
  <si>
    <t>São João das Missões</t>
  </si>
  <si>
    <t>39475-000 a 39477-999</t>
  </si>
  <si>
    <t>39540-000 a 39546-999</t>
  </si>
  <si>
    <t>Taiobeiras</t>
  </si>
  <si>
    <t>39550-000 a 39552-999</t>
  </si>
  <si>
    <t>Tupaciguara</t>
  </si>
  <si>
    <t>38480-000 a 38489-999</t>
  </si>
  <si>
    <t>Umburatiba</t>
  </si>
  <si>
    <t>39878-000 a 39879-999</t>
  </si>
  <si>
    <t>Unaí</t>
  </si>
  <si>
    <t>38610-000 a 38624-999</t>
  </si>
  <si>
    <t>União de Minas</t>
  </si>
  <si>
    <t>38288-000 a 38289-999</t>
  </si>
  <si>
    <t>Uruana de Minas</t>
  </si>
  <si>
    <t>38630-000 a 38639-999</t>
  </si>
  <si>
    <t>Urucuia</t>
  </si>
  <si>
    <t>38649-000 a 38649-999</t>
  </si>
  <si>
    <t>Vargem Grande do Rio Pardo</t>
  </si>
  <si>
    <t>39535-000 a 39535-999</t>
  </si>
  <si>
    <t>Verdelândia</t>
  </si>
  <si>
    <t>39458-000 a 39459-999</t>
  </si>
  <si>
    <t>Águas Formosas</t>
  </si>
  <si>
    <t>39880-000 a 39884-999</t>
  </si>
  <si>
    <t>Águas Vermelhas</t>
  </si>
  <si>
    <t>39990-000 a 39994-999</t>
  </si>
  <si>
    <t>79000-001 a 79129-999</t>
  </si>
  <si>
    <t>Terenos</t>
  </si>
  <si>
    <t>79190-000 a 79199-999</t>
  </si>
  <si>
    <t>Anastácio</t>
  </si>
  <si>
    <t>79210-000 a 79214-999</t>
  </si>
  <si>
    <t>Aquidauana</t>
  </si>
  <si>
    <t>79200-000 a 79209-999</t>
  </si>
  <si>
    <t>Bandeirantes</t>
  </si>
  <si>
    <t>79430-000 a 79439-999</t>
  </si>
  <si>
    <t>Camapuã</t>
  </si>
  <si>
    <t>79420-000 a 79427-999</t>
  </si>
  <si>
    <t>Corguinho</t>
  </si>
  <si>
    <t>79460-000 a 79469-999</t>
  </si>
  <si>
    <t>Dois Irmãos do Buriti</t>
  </si>
  <si>
    <t>79215-000 a 79219-999</t>
  </si>
  <si>
    <t>Jaraguari</t>
  </si>
  <si>
    <t>79440-000 a 79449-999</t>
  </si>
  <si>
    <t>Nova Alvorada do Sul</t>
  </si>
  <si>
    <t>79140-000 a 79149-999</t>
  </si>
  <si>
    <t>Ribas do Rio Pardo</t>
  </si>
  <si>
    <t>79180-000 a 79189-999</t>
  </si>
  <si>
    <t>Rio Negro</t>
  </si>
  <si>
    <t>79470-000 a 79479-999</t>
  </si>
  <si>
    <t>Rochedo</t>
  </si>
  <si>
    <t>79450-000 a 79459-999</t>
  </si>
  <si>
    <t>Sidrolândia</t>
  </si>
  <si>
    <t>79170-000 a 79179-999</t>
  </si>
  <si>
    <t>São Gabriel do Oeste</t>
  </si>
  <si>
    <t>79490-000 a 79499-999</t>
  </si>
  <si>
    <t>Angélica</t>
  </si>
  <si>
    <t>79785-000 a 79789-999</t>
  </si>
  <si>
    <t>Antônio João</t>
  </si>
  <si>
    <t>79910-000 a 79919-999</t>
  </si>
  <si>
    <t>Batayporã</t>
  </si>
  <si>
    <t>79760-000 a 79764-999</t>
  </si>
  <si>
    <t>Bodoquena</t>
  </si>
  <si>
    <t>79390-000 a 79399-999</t>
  </si>
  <si>
    <t>79290-000 a 79299-999</t>
  </si>
  <si>
    <t>Caarapó</t>
  </si>
  <si>
    <t>79940-000 a 79949-999</t>
  </si>
  <si>
    <t>Coxim</t>
  </si>
  <si>
    <t>79400-000 a 79409-999</t>
  </si>
  <si>
    <t>Deodápolis</t>
  </si>
  <si>
    <t>79790-000 a 79799-999</t>
  </si>
  <si>
    <t>Douradina</t>
  </si>
  <si>
    <t>79880-000 a 79889-999</t>
  </si>
  <si>
    <t>Dourados</t>
  </si>
  <si>
    <t>79800-001 a 79879-999</t>
  </si>
  <si>
    <t>Figueirão</t>
  </si>
  <si>
    <t>79428-000 a 79429-999</t>
  </si>
  <si>
    <t>Fátima do Sul</t>
  </si>
  <si>
    <t>79700-000 a 79709-999</t>
  </si>
  <si>
    <t>Glória de Dourados</t>
  </si>
  <si>
    <t>79730-000 a 79739-999</t>
  </si>
  <si>
    <t>Guia Lopes da Laguna</t>
  </si>
  <si>
    <t>79230-000 a 79239-999</t>
  </si>
  <si>
    <t>Itaporã</t>
  </si>
  <si>
    <t>79890-000 a 79899-999</t>
  </si>
  <si>
    <t>Ivinhema</t>
  </si>
  <si>
    <t>79740-000 a 79744-999</t>
  </si>
  <si>
    <t>5005004</t>
  </si>
  <si>
    <t>79240-000 a 79259-999</t>
  </si>
  <si>
    <t>Jateí</t>
  </si>
  <si>
    <t>79720-000 a 79729-999</t>
  </si>
  <si>
    <t>Jutí</t>
  </si>
  <si>
    <t>79955-000 a 79959-999</t>
  </si>
  <si>
    <t>Laguna Carapã</t>
  </si>
  <si>
    <t>79920-000 a 79924-999</t>
  </si>
  <si>
    <t>Maracaju</t>
  </si>
  <si>
    <t>79150-000 a 79169-999</t>
  </si>
  <si>
    <t>Miranda</t>
  </si>
  <si>
    <t>79380-000 a 79389-999</t>
  </si>
  <si>
    <t>Nioaque</t>
  </si>
  <si>
    <t>79220-000 a 79229-999</t>
  </si>
  <si>
    <t>Nova Andradina</t>
  </si>
  <si>
    <t>79750-000 a 79759-999</t>
  </si>
  <si>
    <t>Paraíso das Águas</t>
  </si>
  <si>
    <t>79556-000 a 79559-999</t>
  </si>
  <si>
    <t>Pedro Gomes</t>
  </si>
  <si>
    <t>79410-000 a 79414-999</t>
  </si>
  <si>
    <t>Ponta Porã</t>
  </si>
  <si>
    <t>79900-001 a 79909-999</t>
  </si>
  <si>
    <t>Rio Brilhante</t>
  </si>
  <si>
    <t>79130-000 a 79139-999</t>
  </si>
  <si>
    <t>Rio Verde de Mato Grosso</t>
  </si>
  <si>
    <t>79480-000 a 79489-999</t>
  </si>
  <si>
    <t>Santa Rita do Pardo</t>
  </si>
  <si>
    <t>79690-000 a 79699-999</t>
  </si>
  <si>
    <t>Vicentina</t>
  </si>
  <si>
    <t>79710-000 a 79719-999</t>
  </si>
  <si>
    <t>Água Clara</t>
  </si>
  <si>
    <t>79680-000 a 79689-999</t>
  </si>
  <si>
    <t>Alcinópolis</t>
  </si>
  <si>
    <t>79530-000 a 79539-999</t>
  </si>
  <si>
    <t>Amambaí</t>
  </si>
  <si>
    <t>79990-000 a 79994-999</t>
  </si>
  <si>
    <t>Anaurilândia</t>
  </si>
  <si>
    <t>79770-000 a 79779-999</t>
  </si>
  <si>
    <t>Aparecida do Taboado</t>
  </si>
  <si>
    <t>79570-000 a 79579-999</t>
  </si>
  <si>
    <t>Aral Moreira</t>
  </si>
  <si>
    <t>79930-000 a 79934-999</t>
  </si>
  <si>
    <t>Bataguassu</t>
  </si>
  <si>
    <t>79780-000 a 79784-999</t>
  </si>
  <si>
    <t>Bela Vista</t>
  </si>
  <si>
    <t>79260-000 a 79269-999</t>
  </si>
  <si>
    <t>Brasilândia</t>
  </si>
  <si>
    <t>79670-000 a 79679-999</t>
  </si>
  <si>
    <t>Caracol</t>
  </si>
  <si>
    <t>79270-000 a 79279-999</t>
  </si>
  <si>
    <t>Cassilândia</t>
  </si>
  <si>
    <t>79540-000 a 79549-999</t>
  </si>
  <si>
    <t>Chapadão do Sul</t>
  </si>
  <si>
    <t>79560-000 a 79569-999</t>
  </si>
  <si>
    <t>Coronel Sapucaia</t>
  </si>
  <si>
    <t>79995-000 a 79999-999</t>
  </si>
  <si>
    <t>Corumbá</t>
  </si>
  <si>
    <t>79300-001 a 79369-999</t>
  </si>
  <si>
    <t>Costa Rica</t>
  </si>
  <si>
    <t>79550-000 a 79555-999</t>
  </si>
  <si>
    <t>Eldorado</t>
  </si>
  <si>
    <t>79970-000 a 79974-999</t>
  </si>
  <si>
    <t>Iguatemi</t>
  </si>
  <si>
    <t>79960-000 a 79964-999</t>
  </si>
  <si>
    <t>Inocência</t>
  </si>
  <si>
    <t>79580-000 a 79589-999</t>
  </si>
  <si>
    <t>Itaquiraí</t>
  </si>
  <si>
    <t>79965-000 a 79969-999</t>
  </si>
  <si>
    <t>Japorã</t>
  </si>
  <si>
    <t>79985-000 a 79989-999</t>
  </si>
  <si>
    <t>Ladário</t>
  </si>
  <si>
    <t>79370-000 a 79379-999</t>
  </si>
  <si>
    <t>79980-000 a 79984-999</t>
  </si>
  <si>
    <t>Naviraí</t>
  </si>
  <si>
    <t>79950-000 a 79954-999</t>
  </si>
  <si>
    <t>Novo Horizonte do Sul</t>
  </si>
  <si>
    <t>79745-000 a 79749-999</t>
  </si>
  <si>
    <t>Paranaíba</t>
  </si>
  <si>
    <t>79500-000 a 79529-999</t>
  </si>
  <si>
    <t>Paranhos</t>
  </si>
  <si>
    <t>79925-000 a 79929-999</t>
  </si>
  <si>
    <t>Porto Murtinho</t>
  </si>
  <si>
    <t>79280-000 a 79289-999</t>
  </si>
  <si>
    <t>Selvíria</t>
  </si>
  <si>
    <t>79590-000 a 79599-999</t>
  </si>
  <si>
    <t>Sete Quedas</t>
  </si>
  <si>
    <t>79935-000 a 79939-999</t>
  </si>
  <si>
    <t>Sonora</t>
  </si>
  <si>
    <t>79415-000 a 79419-999</t>
  </si>
  <si>
    <t>Tacuru</t>
  </si>
  <si>
    <t>79975-000 a 79979-999</t>
  </si>
  <si>
    <t>Taquarussu</t>
  </si>
  <si>
    <t>79765-000 a 79769-999</t>
  </si>
  <si>
    <t>Três Lagoas</t>
  </si>
  <si>
    <t>79600-001 a 79669-999</t>
  </si>
  <si>
    <t>Cuiabá</t>
  </si>
  <si>
    <t>78000-001 a 78109-999</t>
  </si>
  <si>
    <t>Nossa Senhora do Livramento</t>
  </si>
  <si>
    <t>78170-000 a 78174-999</t>
  </si>
  <si>
    <t>Santo Antônio do Leverger</t>
  </si>
  <si>
    <t>78180-000 a 78189-999</t>
  </si>
  <si>
    <t>Várzea Grande</t>
  </si>
  <si>
    <t>78110-001 a 78169-999</t>
  </si>
  <si>
    <t>Acorizal</t>
  </si>
  <si>
    <t>78480-000 a 78489-999</t>
  </si>
  <si>
    <t>Alto Garças</t>
  </si>
  <si>
    <t>78770-000 a 78772-999</t>
  </si>
  <si>
    <t>Alto Paraguai</t>
  </si>
  <si>
    <t>78410-000 a 78414-999</t>
  </si>
  <si>
    <t>Araputanga</t>
  </si>
  <si>
    <t>78260-000 a 78264-999</t>
  </si>
  <si>
    <t>Arenápolis</t>
  </si>
  <si>
    <t>78420-000 a 78424-999</t>
  </si>
  <si>
    <t>Barra do Bugres</t>
  </si>
  <si>
    <t>78390-000 a 78397-999</t>
  </si>
  <si>
    <t>Barão de Melgaço</t>
  </si>
  <si>
    <t>78190-000 a 78194-999</t>
  </si>
  <si>
    <t>Campo Verde</t>
  </si>
  <si>
    <t>78840-000 a 78849-999</t>
  </si>
  <si>
    <t>Chapada dos Guimarães</t>
  </si>
  <si>
    <t>78195-000 a 78199-999</t>
  </si>
  <si>
    <t>Curvelândia</t>
  </si>
  <si>
    <t>78237-000 a 78239-999</t>
  </si>
  <si>
    <t>Cáceres</t>
  </si>
  <si>
    <t>78200-000 a 78236-999</t>
  </si>
  <si>
    <t>Denise</t>
  </si>
  <si>
    <t>78380-000 a 78389-999</t>
  </si>
  <si>
    <t>Diamantino</t>
  </si>
  <si>
    <t>78400-000 a 78409-999</t>
  </si>
  <si>
    <t>Dom Aquino</t>
  </si>
  <si>
    <t>78830-000 a 78834-999</t>
  </si>
  <si>
    <t>Glória D'Oeste</t>
  </si>
  <si>
    <t>78293-000 a 78294-999</t>
  </si>
  <si>
    <t>Guiratinga</t>
  </si>
  <si>
    <t>78760-000 a 78769-999</t>
  </si>
  <si>
    <t>Indiavaí</t>
  </si>
  <si>
    <t>78295-000 a 78299-999</t>
  </si>
  <si>
    <t>Itiquira</t>
  </si>
  <si>
    <t>78790-000 a 78794-999</t>
  </si>
  <si>
    <t>Jaciara</t>
  </si>
  <si>
    <t>78820-000 a 78829-999</t>
  </si>
  <si>
    <t>Jangada</t>
  </si>
  <si>
    <t>78490-000 a 78499-999</t>
  </si>
  <si>
    <t>Juscimeira</t>
  </si>
  <si>
    <t>78810-000 a 78819-999</t>
  </si>
  <si>
    <t>Lambari D'Oeste</t>
  </si>
  <si>
    <t>78278-000 a 78279-999</t>
  </si>
  <si>
    <t>Lucas do Rio Verde</t>
  </si>
  <si>
    <t>78455-000 a 78459-999</t>
  </si>
  <si>
    <t>Mirassol D'Oeste</t>
  </si>
  <si>
    <t>78280-000 a 78284-999</t>
  </si>
  <si>
    <t>Nobres</t>
  </si>
  <si>
    <t>78460-000 a 78469-999</t>
  </si>
  <si>
    <t>Nortelândia</t>
  </si>
  <si>
    <t>78430-000 a 78434-999</t>
  </si>
  <si>
    <t>Nova Brasilândia</t>
  </si>
  <si>
    <t>78860-000 a 78869-999</t>
  </si>
  <si>
    <t>Nova Marilândia</t>
  </si>
  <si>
    <t>78415-000 a 78419-999</t>
  </si>
  <si>
    <t>Nova Maringá</t>
  </si>
  <si>
    <t>78445-000 a 78449-999</t>
  </si>
  <si>
    <t>Nova Mutum</t>
  </si>
  <si>
    <t>78450-000 a 78452-999</t>
  </si>
  <si>
    <t>Nova Olímpia</t>
  </si>
  <si>
    <t>78370-000 a 78379-999</t>
  </si>
  <si>
    <t>Pedra Preta</t>
  </si>
  <si>
    <t>78795-000 a 78799-999</t>
  </si>
  <si>
    <t>Planalto da Serra</t>
  </si>
  <si>
    <t>78855-000 a 78859-999</t>
  </si>
  <si>
    <t>Poconé</t>
  </si>
  <si>
    <t>78175-000 a 78179-999</t>
  </si>
  <si>
    <t>Porto Esperidião</t>
  </si>
  <si>
    <t>78240-000 a 78242-999</t>
  </si>
  <si>
    <t>Porto Estrela</t>
  </si>
  <si>
    <t>78398-000 a 78399-999</t>
  </si>
  <si>
    <t>Poxoréu</t>
  </si>
  <si>
    <t>78800-000 a 78809-999</t>
  </si>
  <si>
    <t>Primavera do Leste</t>
  </si>
  <si>
    <t>78850-000 a 78854-999</t>
  </si>
  <si>
    <t>78275-000 a 78277-999</t>
  </si>
  <si>
    <t>Rondonópolis</t>
  </si>
  <si>
    <t>78700-001 a 78759-999</t>
  </si>
  <si>
    <t>Rosário Oeste</t>
  </si>
  <si>
    <t>78470-000 a 78479-999</t>
  </si>
  <si>
    <t>Salto do Céu</t>
  </si>
  <si>
    <t>78270-000 a 78274-999</t>
  </si>
  <si>
    <t>Santa Rita do Trivelato</t>
  </si>
  <si>
    <t>78453-000 a 78454-999</t>
  </si>
  <si>
    <t>Santo Afonso</t>
  </si>
  <si>
    <t>78425-000 a 78429-999</t>
  </si>
  <si>
    <t>São José do Povo</t>
  </si>
  <si>
    <t>78773-000 a 78774-999</t>
  </si>
  <si>
    <t>São José do Rio Claro</t>
  </si>
  <si>
    <t>78435-000 a 78444-999</t>
  </si>
  <si>
    <t>São José dos Quatro Marcos</t>
  </si>
  <si>
    <t>78285-000 a 78289-999</t>
  </si>
  <si>
    <t>São Pedro da Cipa</t>
  </si>
  <si>
    <t>78835-000 a 78839-999</t>
  </si>
  <si>
    <t>Tangará da Serra</t>
  </si>
  <si>
    <t>78300-000 a 78306-999</t>
  </si>
  <si>
    <t>Alto Araguaia</t>
  </si>
  <si>
    <t>78780-000 a 78784-999</t>
  </si>
  <si>
    <t>Alto Taquari</t>
  </si>
  <si>
    <t>78785-000 a 78789-999</t>
  </si>
  <si>
    <t>Araguaiana</t>
  </si>
  <si>
    <t>78685-000 a 78689-999</t>
  </si>
  <si>
    <t>Araguainha</t>
  </si>
  <si>
    <t>78615-000 a 78619-999</t>
  </si>
  <si>
    <t>Barra do Garças</t>
  </si>
  <si>
    <t>78600-000 a 78609-999</t>
  </si>
  <si>
    <t>Brasnorte</t>
  </si>
  <si>
    <t>78350-000 a 78359-999</t>
  </si>
  <si>
    <t>Campinápolis</t>
  </si>
  <si>
    <t>78630-000 a 78634-999</t>
  </si>
  <si>
    <t>Campo Novo do Parecis</t>
  </si>
  <si>
    <t>78360-000 a 78364-999</t>
  </si>
  <si>
    <t>Campos de Júlio</t>
  </si>
  <si>
    <t>78307-000 a 78309-999</t>
  </si>
  <si>
    <t>Carlinda</t>
  </si>
  <si>
    <t>78587-000 a 78589-999</t>
  </si>
  <si>
    <t>Cláudia</t>
  </si>
  <si>
    <t>78540-000 a 78542-999</t>
  </si>
  <si>
    <t>Colíder</t>
  </si>
  <si>
    <t>78500-000 a 78504-999</t>
  </si>
  <si>
    <t>Comodoro</t>
  </si>
  <si>
    <t>78310-000 a 78319-999</t>
  </si>
  <si>
    <t>Conquista D'Oeste</t>
  </si>
  <si>
    <t>78254-000 a 78254-999</t>
  </si>
  <si>
    <t>Feliz Natal</t>
  </si>
  <si>
    <t>78885-000 a 78886-999</t>
  </si>
  <si>
    <t>Figueirópolis D'Oeste</t>
  </si>
  <si>
    <t>78290-000 a 78292-999</t>
  </si>
  <si>
    <t>Gaúcha do Norte</t>
  </si>
  <si>
    <t>78875-000 a 78879-999</t>
  </si>
  <si>
    <t>General Carneiro</t>
  </si>
  <si>
    <t>78620-000 a 78624-999</t>
  </si>
  <si>
    <t>Guarantã do Norte</t>
  </si>
  <si>
    <t>78520-000 a 78524-999</t>
  </si>
  <si>
    <t>Ipiranga do Norte</t>
  </si>
  <si>
    <t>78578-000 a 78578-999</t>
  </si>
  <si>
    <t>Itanhangá</t>
  </si>
  <si>
    <t>78579-000 a 78579-999</t>
  </si>
  <si>
    <t>Itaúba</t>
  </si>
  <si>
    <t>78510-000 a 78514-999</t>
  </si>
  <si>
    <t>Jauru</t>
  </si>
  <si>
    <t>78255-000 a 78259-999</t>
  </si>
  <si>
    <t>Juara</t>
  </si>
  <si>
    <t>78575-000 a 78577-999</t>
  </si>
  <si>
    <t>Juína</t>
  </si>
  <si>
    <t>78320-000 a 78324-999</t>
  </si>
  <si>
    <t>Marcelândia</t>
  </si>
  <si>
    <t>78535-000 a 78539-999</t>
  </si>
  <si>
    <t>Matupá</t>
  </si>
  <si>
    <t>78525-000 a 78527-999</t>
  </si>
  <si>
    <t>Nova Canaã do Norte</t>
  </si>
  <si>
    <t>78515-000 a 78519-999</t>
  </si>
  <si>
    <t>Nova Guarita</t>
  </si>
  <si>
    <t>78508-000 a 78509-999</t>
  </si>
  <si>
    <t>Nova Lacerda</t>
  </si>
  <si>
    <t>78243-000 a 78244-999</t>
  </si>
  <si>
    <t>Nova Santa Helena</t>
  </si>
  <si>
    <t>78548-000 a 78549-999</t>
  </si>
  <si>
    <t>Nova Ubiratã</t>
  </si>
  <si>
    <t>78888-000 a 78889-999</t>
  </si>
  <si>
    <t>Nova Xavantina</t>
  </si>
  <si>
    <t>78690-000 a 78694-999</t>
  </si>
  <si>
    <t>Novo Horizonte do Norte</t>
  </si>
  <si>
    <t>78570-000 a 78572-999</t>
  </si>
  <si>
    <t>Novo Mundo</t>
  </si>
  <si>
    <t>78528-000 a 78529-999</t>
  </si>
  <si>
    <t>Novo São Joaquim</t>
  </si>
  <si>
    <t>78625-000 a 78627-999</t>
  </si>
  <si>
    <t>Paranatinga</t>
  </si>
  <si>
    <t>78870-000 a 78874-999</t>
  </si>
  <si>
    <t>Peixoto de Azevedo</t>
  </si>
  <si>
    <t>78530-000 a 78534-999</t>
  </si>
  <si>
    <t>Pontal do Araguaia</t>
  </si>
  <si>
    <t>78698-000 a 78699-999</t>
  </si>
  <si>
    <t>Ponte Branca</t>
  </si>
  <si>
    <t>78610-000 a 78612-999</t>
  </si>
  <si>
    <t>Pontes e Lacerda</t>
  </si>
  <si>
    <t>78250-000 a 78252-999</t>
  </si>
  <si>
    <t>Porto dos Gaúchos</t>
  </si>
  <si>
    <t>78560-000 a 78562-999</t>
  </si>
  <si>
    <t>Reserva do Cabaçal</t>
  </si>
  <si>
    <t>78265-000 a 78269-999</t>
  </si>
  <si>
    <t>Ribeirãozinho</t>
  </si>
  <si>
    <t>78613-000 a 78614-999</t>
  </si>
  <si>
    <t>Santa Carmem</t>
  </si>
  <si>
    <t>78545-000 a 78547-999</t>
  </si>
  <si>
    <t>Santo Antônio do Leste</t>
  </si>
  <si>
    <t>78628-000 a 78629-999</t>
  </si>
  <si>
    <t>Sapezal</t>
  </si>
  <si>
    <t>78365-000 a 78369-999</t>
  </si>
  <si>
    <t>Sinop</t>
  </si>
  <si>
    <t>78550-001 a 78559-999</t>
  </si>
  <si>
    <t>Sorriso</t>
  </si>
  <si>
    <t>78890-000 a 78899-999</t>
  </si>
  <si>
    <t>Tabaporã</t>
  </si>
  <si>
    <t>78563-000 a 78564-999</t>
  </si>
  <si>
    <t>Tapurah</t>
  </si>
  <si>
    <t>78573-000 a 78574-999</t>
  </si>
  <si>
    <t>Terra Nova do Norte</t>
  </si>
  <si>
    <t>78505-000 a 78507-999</t>
  </si>
  <si>
    <t>Tesouro</t>
  </si>
  <si>
    <t>78775-000 a 78779-999</t>
  </si>
  <si>
    <t>Torixoréu</t>
  </si>
  <si>
    <t>78695-000 a 78697-999</t>
  </si>
  <si>
    <t>União do Sul</t>
  </si>
  <si>
    <t>78543-000 a 78544-999</t>
  </si>
  <si>
    <t>Vale de São Domingos</t>
  </si>
  <si>
    <t>78253-000 a 78253-999</t>
  </si>
  <si>
    <t>Vera</t>
  </si>
  <si>
    <t>78880-000 a 78884-999</t>
  </si>
  <si>
    <t>Vila Bela da Santíssima Trindade</t>
  </si>
  <si>
    <t>78245-000 a 78249-999</t>
  </si>
  <si>
    <t>78635-000 a 78637-999</t>
  </si>
  <si>
    <t>Alta Floresta</t>
  </si>
  <si>
    <t>78580-000 a 78586-999</t>
  </si>
  <si>
    <t>Alto Boa Vista</t>
  </si>
  <si>
    <t>78665-000 a 78667-999</t>
  </si>
  <si>
    <t>Apiacás</t>
  </si>
  <si>
    <t>78595-000 a 78599-999</t>
  </si>
  <si>
    <t>Aripuanã</t>
  </si>
  <si>
    <t>78325-000 a 78329-999</t>
  </si>
  <si>
    <t>Bom Jesus do Araguaia</t>
  </si>
  <si>
    <t>78678-000 a 78679-999</t>
  </si>
  <si>
    <t>Canabrava do Norte</t>
  </si>
  <si>
    <t>78658-000 a 78659-999</t>
  </si>
  <si>
    <t>78640-000 a 78642-999</t>
  </si>
  <si>
    <t>Castanheira</t>
  </si>
  <si>
    <t>78345-000 a 78349-999</t>
  </si>
  <si>
    <t>Cocalinho</t>
  </si>
  <si>
    <t>78680-000 a 78684-999</t>
  </si>
  <si>
    <t>Colniza</t>
  </si>
  <si>
    <t>78335-000 a 78337-999</t>
  </si>
  <si>
    <t>Confresa</t>
  </si>
  <si>
    <t>78652-000 a 78654-999</t>
  </si>
  <si>
    <t>Cotriguaçu</t>
  </si>
  <si>
    <t>78330-000 a 78334-999</t>
  </si>
  <si>
    <t>Juruena</t>
  </si>
  <si>
    <t>78340-000 a 78344-999</t>
  </si>
  <si>
    <t>Luciara</t>
  </si>
  <si>
    <t>78660-000 a 78662-999</t>
  </si>
  <si>
    <t>Nova Bandeirantes</t>
  </si>
  <si>
    <t>78565-000 a 78569-999</t>
  </si>
  <si>
    <t>Nova Monte Verde</t>
  </si>
  <si>
    <t>78593-000 a 78594-999</t>
  </si>
  <si>
    <t>Nova Nazaré</t>
  </si>
  <si>
    <t>78638-000 a 78639-999</t>
  </si>
  <si>
    <t>Novo Santo Antônio</t>
  </si>
  <si>
    <t>78674-000 a 78674-999</t>
  </si>
  <si>
    <t>Paranaíta</t>
  </si>
  <si>
    <t>78590-000 a 78592-999</t>
  </si>
  <si>
    <t>Porto Alegre do Norte</t>
  </si>
  <si>
    <t>78655-000 a 78657-999</t>
  </si>
  <si>
    <t>Querência</t>
  </si>
  <si>
    <t>78643-000 a 78644-999</t>
  </si>
  <si>
    <t>Ribeirão Cascalheira</t>
  </si>
  <si>
    <t>78675-000 a 78677-999</t>
  </si>
  <si>
    <t>Rondolândia</t>
  </si>
  <si>
    <t>78338-000 a 78339-999</t>
  </si>
  <si>
    <t>Santa Cruz do Xingu</t>
  </si>
  <si>
    <t>78664-000 a 78664-999</t>
  </si>
  <si>
    <t>78650-000 a 78651-999</t>
  </si>
  <si>
    <t>Serra Nova Dourada</t>
  </si>
  <si>
    <t>78668-000 a 78669-999</t>
  </si>
  <si>
    <t>São Félix do Araguaia</t>
  </si>
  <si>
    <t>78670-000 a 78673-999</t>
  </si>
  <si>
    <t>São José do Xingu</t>
  </si>
  <si>
    <t>78663-000 a 78663-999</t>
  </si>
  <si>
    <t>Vila Rica</t>
  </si>
  <si>
    <t>78645-000 a 78649-999</t>
  </si>
  <si>
    <t>66000-001 a 66999-999</t>
  </si>
  <si>
    <t>Santarém</t>
  </si>
  <si>
    <t>68000-001 a 68128-999</t>
  </si>
  <si>
    <t>FLUVIAL 0</t>
  </si>
  <si>
    <t>Afuá</t>
  </si>
  <si>
    <t>68890-000 a 68899-999</t>
  </si>
  <si>
    <t>Anajás</t>
  </si>
  <si>
    <t>68810-000 a 68814-999</t>
  </si>
  <si>
    <t>Bagre</t>
  </si>
  <si>
    <t>68475-000 a 68479-999</t>
  </si>
  <si>
    <t>Baião</t>
  </si>
  <si>
    <t>68465-000 a 68469-999</t>
  </si>
  <si>
    <t>Breves</t>
  </si>
  <si>
    <t>68800-000 a 68809-999</t>
  </si>
  <si>
    <t>Cachoeira do Arari</t>
  </si>
  <si>
    <t>68840-000 a 68849-999</t>
  </si>
  <si>
    <t>Cametá</t>
  </si>
  <si>
    <t>68400-000 a 68414-999</t>
  </si>
  <si>
    <t>Chaves</t>
  </si>
  <si>
    <t>68880-000 a 68889-999</t>
  </si>
  <si>
    <t>Gurupá</t>
  </si>
  <si>
    <t>68300-000 a 68329-999</t>
  </si>
  <si>
    <t>Limoeiro do Ajuru</t>
  </si>
  <si>
    <t>68415-000 a 68419-999</t>
  </si>
  <si>
    <t>Melgaço</t>
  </si>
  <si>
    <t>68490-000 a 68499-999</t>
  </si>
  <si>
    <t>Mocajuba</t>
  </si>
  <si>
    <t>68420-000 a 68429-999</t>
  </si>
  <si>
    <t>Muaná</t>
  </si>
  <si>
    <t>68825-000 a 68829-999</t>
  </si>
  <si>
    <t>Oeiras do Pará</t>
  </si>
  <si>
    <t>68470-000 a 68472-999</t>
  </si>
  <si>
    <t>Ponta de Pedras</t>
  </si>
  <si>
    <t>68830-000 a 68839-999</t>
  </si>
  <si>
    <t>Portel</t>
  </si>
  <si>
    <t>68480-000 a 68484-999</t>
  </si>
  <si>
    <t>Porto de Moz</t>
  </si>
  <si>
    <t>68330-000 a 68359-999</t>
  </si>
  <si>
    <t>Prainha</t>
  </si>
  <si>
    <t>68130-000 a 68137-999</t>
  </si>
  <si>
    <t>Salvaterra</t>
  </si>
  <si>
    <t>68860-000 a 68869-999</t>
  </si>
  <si>
    <t>Santa Cruz do Arari</t>
  </si>
  <si>
    <t>68850-000 a 68859-999</t>
  </si>
  <si>
    <t>Senador José Porfírio</t>
  </si>
  <si>
    <t>68360-000 a 68364-999</t>
  </si>
  <si>
    <t>Soure</t>
  </si>
  <si>
    <t>68870-000 a 68879-999</t>
  </si>
  <si>
    <t>São Domingos do Capim</t>
  </si>
  <si>
    <t>68635-000 a 68636-999</t>
  </si>
  <si>
    <t>São Sebastião da Boa Vista</t>
  </si>
  <si>
    <t>68820-000 a 68824-999</t>
  </si>
  <si>
    <t>Vitória do Xingu</t>
  </si>
  <si>
    <t>68383-000 a 68384-999</t>
  </si>
  <si>
    <t>Alenquer</t>
  </si>
  <si>
    <t>68200-000 a 68209-999</t>
  </si>
  <si>
    <t>Almeirim</t>
  </si>
  <si>
    <t>68230-000 a 68249-999</t>
  </si>
  <si>
    <t>Altamira</t>
  </si>
  <si>
    <t>68370-001 a 68379-999</t>
  </si>
  <si>
    <t>Anapu</t>
  </si>
  <si>
    <t>68365-000 a 68369-999</t>
  </si>
  <si>
    <t>Brasil Novo</t>
  </si>
  <si>
    <t>68148-000 a 68149-999</t>
  </si>
  <si>
    <t>Curralinho</t>
  </si>
  <si>
    <t>68815-000 a 68819-999</t>
  </si>
  <si>
    <t>Curuá</t>
  </si>
  <si>
    <t>68210-000 a 68219-999</t>
  </si>
  <si>
    <t>Faro</t>
  </si>
  <si>
    <t>68280-000 a 68284-999</t>
  </si>
  <si>
    <t>Itaituba</t>
  </si>
  <si>
    <t>68180-001 a 68192-999</t>
  </si>
  <si>
    <t>Juruti</t>
  </si>
  <si>
    <t>68170-000 a 68179-999</t>
  </si>
  <si>
    <t>Medicilândia</t>
  </si>
  <si>
    <t>68145-000 a 68147-999</t>
  </si>
  <si>
    <t>Mojuí dos Campos</t>
  </si>
  <si>
    <t>68129-000 a 68129-999</t>
  </si>
  <si>
    <t>Novo Progresso</t>
  </si>
  <si>
    <t>68193-000 a 68194-999</t>
  </si>
  <si>
    <t>Oriximiná</t>
  </si>
  <si>
    <t>68270-000 a 68279-999</t>
  </si>
  <si>
    <t>Pacajá</t>
  </si>
  <si>
    <t>68485-000 a 68487-999</t>
  </si>
  <si>
    <t>Placas</t>
  </si>
  <si>
    <t>68138-000 a 68139-999</t>
  </si>
  <si>
    <t>Rurópolis</t>
  </si>
  <si>
    <t>68165-000 a 68169-999</t>
  </si>
  <si>
    <t>Terra Santa</t>
  </si>
  <si>
    <t>68285-000 a 68299-999</t>
  </si>
  <si>
    <t>Trairão</t>
  </si>
  <si>
    <t>68198-000 a 68199-999</t>
  </si>
  <si>
    <t>Uruará</t>
  </si>
  <si>
    <t>68140-000 a 68142-999</t>
  </si>
  <si>
    <t>Aveiro</t>
  </si>
  <si>
    <t>68150-000 a 68164-999</t>
  </si>
  <si>
    <t>Belterra</t>
  </si>
  <si>
    <t>68143-000 a 68144-999</t>
  </si>
  <si>
    <t>Jacareacanga</t>
  </si>
  <si>
    <t>68195-000 a 68197-999</t>
  </si>
  <si>
    <t>Monte Alegre</t>
  </si>
  <si>
    <t>68220-000 a 68229-999</t>
  </si>
  <si>
    <t>Óbidos</t>
  </si>
  <si>
    <t>68250-000 a 68269-999</t>
  </si>
  <si>
    <t>Ananindeua</t>
  </si>
  <si>
    <t>67000-001 a 67199-999</t>
  </si>
  <si>
    <t>Benevides</t>
  </si>
  <si>
    <t>68795-000 a 68797-999</t>
  </si>
  <si>
    <t>Marituba</t>
  </si>
  <si>
    <t>67200-000 a 67999-999</t>
  </si>
  <si>
    <t>Abaetetuba</t>
  </si>
  <si>
    <t>68440-000 a 68444-999</t>
  </si>
  <si>
    <t>Acará</t>
  </si>
  <si>
    <t>68690-000 a 68694-999</t>
  </si>
  <si>
    <t>Augusto Corrêa</t>
  </si>
  <si>
    <t>68610-000 a 68616-999</t>
  </si>
  <si>
    <t>Aurora do Pará</t>
  </si>
  <si>
    <t>68658-000 a 68659-999</t>
  </si>
  <si>
    <t>Barcarena</t>
  </si>
  <si>
    <t>68445-000 a 68449-999</t>
  </si>
  <si>
    <t>68645-000 a 68646-999</t>
  </si>
  <si>
    <t>Bragança</t>
  </si>
  <si>
    <t>68600-000 a 68609-999</t>
  </si>
  <si>
    <t>Bujaru</t>
  </si>
  <si>
    <t>68670-000 a 68674-999</t>
  </si>
  <si>
    <t>Cachoeira do Piriá</t>
  </si>
  <si>
    <t>68617-000 a 68617-999</t>
  </si>
  <si>
    <t>Capanema</t>
  </si>
  <si>
    <t>68700-001 a 68706-999</t>
  </si>
  <si>
    <t>Capitão Poço</t>
  </si>
  <si>
    <t>68650-000 a 68654-999</t>
  </si>
  <si>
    <t>Castanhal</t>
  </si>
  <si>
    <t>68740-001 a 68747-999</t>
  </si>
  <si>
    <t>Colares</t>
  </si>
  <si>
    <t>68785-000 a 68785-999</t>
  </si>
  <si>
    <t>Concórdia do Pará</t>
  </si>
  <si>
    <t>68685-000 a 68689-999</t>
  </si>
  <si>
    <t>Curuçá</t>
  </si>
  <si>
    <t>68750-000 a 68759-999</t>
  </si>
  <si>
    <t>Garrafão do Norte</t>
  </si>
  <si>
    <t>68665-000 a 68669-999</t>
  </si>
  <si>
    <t>Goianésia do Pará</t>
  </si>
  <si>
    <t>68639-000 a 68639-999</t>
  </si>
  <si>
    <t>Igarapé-Açu</t>
  </si>
  <si>
    <t>68725-000 a 68729-999</t>
  </si>
  <si>
    <t>Igarapé-Miri</t>
  </si>
  <si>
    <t>68430-000 a 68439-999</t>
  </si>
  <si>
    <t>Inhangapi</t>
  </si>
  <si>
    <t>68770-000 a 68772-999</t>
  </si>
  <si>
    <t>Ipixuna do Pará</t>
  </si>
  <si>
    <t>68637-000 a 68637-999</t>
  </si>
  <si>
    <t>Irituia</t>
  </si>
  <si>
    <t>68655-000 a 68657-999</t>
  </si>
  <si>
    <t>Magalhães Barata</t>
  </si>
  <si>
    <t>68722-000 a 68724-999</t>
  </si>
  <si>
    <t>Maracanã</t>
  </si>
  <si>
    <t>68710-000 a 68718-999</t>
  </si>
  <si>
    <t>Marapanim</t>
  </si>
  <si>
    <t>68760-000 a 68769-999</t>
  </si>
  <si>
    <t>Moju</t>
  </si>
  <si>
    <t>68450-000 a 68454-999</t>
  </si>
  <si>
    <t>Mãe do Rio</t>
  </si>
  <si>
    <t>68675-000 a 68679-999</t>
  </si>
  <si>
    <t>Nova Esperança do Piriá</t>
  </si>
  <si>
    <t>68618-000 a 68619-999</t>
  </si>
  <si>
    <t>Nova Timboteua</t>
  </si>
  <si>
    <t>68730-000 a 68733-999</t>
  </si>
  <si>
    <t>Ourém</t>
  </si>
  <si>
    <t>68640-000 a 68643-999</t>
  </si>
  <si>
    <t>Paragominas</t>
  </si>
  <si>
    <t>68625-001 a 68631-999</t>
  </si>
  <si>
    <t>Peixe-Boi</t>
  </si>
  <si>
    <t>68734-000 a 68737-999</t>
  </si>
  <si>
    <t>Primavera</t>
  </si>
  <si>
    <t>68707-000 a 68708-999</t>
  </si>
  <si>
    <t>Quatipuru</t>
  </si>
  <si>
    <t>68709-000 a 68709-999</t>
  </si>
  <si>
    <t>Salinópolis</t>
  </si>
  <si>
    <t>68721-000 a 68721-999</t>
  </si>
  <si>
    <t>Santa Bárbara do Pará</t>
  </si>
  <si>
    <t>68798-000 a 68799-999</t>
  </si>
  <si>
    <t>Santa Izabel do Pará</t>
  </si>
  <si>
    <t>68790-000 a 68794-999</t>
  </si>
  <si>
    <t>Santa Luzia do Pará</t>
  </si>
  <si>
    <t>68644-000 a 68644-999</t>
  </si>
  <si>
    <t>Santa Maria do Pará</t>
  </si>
  <si>
    <t>68738-000 a 68739-999</t>
  </si>
  <si>
    <t>Santarém Novo</t>
  </si>
  <si>
    <t>68720-000 a 68720-999</t>
  </si>
  <si>
    <t>Santo Antônio do Tauá</t>
  </si>
  <si>
    <t>68786-000 a 68789-999</t>
  </si>
  <si>
    <t>São Caetano de Odivelas</t>
  </si>
  <si>
    <t>68775-000 a 68779-999</t>
  </si>
  <si>
    <t>São Francisco do Pará</t>
  </si>
  <si>
    <t>68748-000 a 68749-999</t>
  </si>
  <si>
    <t>São João da Ponta</t>
  </si>
  <si>
    <t>68774-000 a 68774-999</t>
  </si>
  <si>
    <t>São João de Pirabas</t>
  </si>
  <si>
    <t>68719-000 a 68719-999</t>
  </si>
  <si>
    <t>São Miguel do Guamá</t>
  </si>
  <si>
    <t>68660-000 a 68664-999</t>
  </si>
  <si>
    <t>Tailândia</t>
  </si>
  <si>
    <t>68695-000 a 68699-999</t>
  </si>
  <si>
    <t>Terra Alta</t>
  </si>
  <si>
    <t>68773-000 a 68773-999</t>
  </si>
  <si>
    <t>Tomé-Açu</t>
  </si>
  <si>
    <t>68680-000 a 68684-999</t>
  </si>
  <si>
    <t>Tracuateua</t>
  </si>
  <si>
    <t>68647-000 a 68649-999</t>
  </si>
  <si>
    <t>Vigia</t>
  </si>
  <si>
    <t>68780-000 a 68784-999</t>
  </si>
  <si>
    <t>Abel Figueiredo</t>
  </si>
  <si>
    <t>68527-000 a 68529-999</t>
  </si>
  <si>
    <t>Bom Jesus do Tocantins</t>
  </si>
  <si>
    <t>68525-000 a 68526-999</t>
  </si>
  <si>
    <t>Brejo Grande do Araguaia</t>
  </si>
  <si>
    <t>68521-000 a 68522-999</t>
  </si>
  <si>
    <t>Breu Branco</t>
  </si>
  <si>
    <t>68488-000 a 68489-999</t>
  </si>
  <si>
    <t>Curionópolis</t>
  </si>
  <si>
    <t>68523-000 a 68523-999</t>
  </si>
  <si>
    <t>Dom Eliseu</t>
  </si>
  <si>
    <t>68633-000 a 68634-999</t>
  </si>
  <si>
    <t>Eldorado dos Carajás</t>
  </si>
  <si>
    <t>68524-000 a 68524-999</t>
  </si>
  <si>
    <t>Itupiranga</t>
  </si>
  <si>
    <t>68580-000 a 68584-999</t>
  </si>
  <si>
    <t>Jacundá</t>
  </si>
  <si>
    <t>68590-000 a 68599-999</t>
  </si>
  <si>
    <t>Marabá</t>
  </si>
  <si>
    <t>68500-001 a 68514-999</t>
  </si>
  <si>
    <t>Nova Ipixuna</t>
  </si>
  <si>
    <t>68585-000 a 68589-999</t>
  </si>
  <si>
    <t>Novo Repartimento</t>
  </si>
  <si>
    <t>68473-000 a 68474-999</t>
  </si>
  <si>
    <t>Palestina do Pará</t>
  </si>
  <si>
    <t>68535-000 a 68536-999</t>
  </si>
  <si>
    <t>Rondon do Pará</t>
  </si>
  <si>
    <t>68638-000 a 68638-999</t>
  </si>
  <si>
    <t>São Domingos do Araguaia</t>
  </si>
  <si>
    <t>68520-000 a 68520-999</t>
  </si>
  <si>
    <t>São João do Araguaia</t>
  </si>
  <si>
    <t>68518-000 a 68519-999</t>
  </si>
  <si>
    <t>Tucuruí</t>
  </si>
  <si>
    <t>68455-001 a 68464-999</t>
  </si>
  <si>
    <t>Ulianópolis</t>
  </si>
  <si>
    <t>68632-000 a 68632-999</t>
  </si>
  <si>
    <t>Viseu</t>
  </si>
  <si>
    <t>68620-000 a 68624-999</t>
  </si>
  <si>
    <t>Bannach</t>
  </si>
  <si>
    <t>68388-000 a 68389-999</t>
  </si>
  <si>
    <t>Canaã dos Carajás</t>
  </si>
  <si>
    <t>68537-000 a 68539-999</t>
  </si>
  <si>
    <t>Conceição do Araguaia</t>
  </si>
  <si>
    <t>68540-000 a 68542-999</t>
  </si>
  <si>
    <t>Cumaru do Norte</t>
  </si>
  <si>
    <t>68398-000 a 68399-999</t>
  </si>
  <si>
    <t>Floresta do Araguaia</t>
  </si>
  <si>
    <t>68543-000 a 68544-999</t>
  </si>
  <si>
    <t>Ourilândia do Norte</t>
  </si>
  <si>
    <t>68390-000 a 68397-999</t>
  </si>
  <si>
    <t>Parauapebas</t>
  </si>
  <si>
    <t>68515-000 a 68517-999</t>
  </si>
  <si>
    <t>Pau D'Arco</t>
  </si>
  <si>
    <t>68545-000 a 68547-999</t>
  </si>
  <si>
    <t>Piçarra</t>
  </si>
  <si>
    <t>68575-000 a 68579-999</t>
  </si>
  <si>
    <t>68549-001 a 68554-999</t>
  </si>
  <si>
    <t>Rio Maria</t>
  </si>
  <si>
    <t>68530-000 a 68532-999</t>
  </si>
  <si>
    <t>Santa Maria das Barreiras</t>
  </si>
  <si>
    <t>68565-000 a 68569-999</t>
  </si>
  <si>
    <t>Santana do Araguaia</t>
  </si>
  <si>
    <t>68560-000 a 68564-999</t>
  </si>
  <si>
    <t>Sapucaia</t>
  </si>
  <si>
    <t>68548-000 a 68548-999</t>
  </si>
  <si>
    <t>São Félix do Xingu</t>
  </si>
  <si>
    <t>68380-000 a 68382-999</t>
  </si>
  <si>
    <t>São Geraldo do Araguaia</t>
  </si>
  <si>
    <t>68570-000 a 68574-999</t>
  </si>
  <si>
    <t>Tucumã</t>
  </si>
  <si>
    <t>68385-000 a 68387-999</t>
  </si>
  <si>
    <t>Xinguara</t>
  </si>
  <si>
    <t>68555-001 a 68559-999</t>
  </si>
  <si>
    <t>Água Azul do Norte</t>
  </si>
  <si>
    <t>68533-000 a 68534-999</t>
  </si>
  <si>
    <t>58000-001 a 58099-999</t>
  </si>
  <si>
    <t>Bayeux</t>
  </si>
  <si>
    <t>58305-001 a 58309-999</t>
  </si>
  <si>
    <t>Cabedelo</t>
  </si>
  <si>
    <t>58100-001 a 58109-999</t>
  </si>
  <si>
    <t>58322-000 a 58323-999</t>
  </si>
  <si>
    <t>Cruz do Espírito Santo</t>
  </si>
  <si>
    <t>58337-000 a 58337-999</t>
  </si>
  <si>
    <t>58300-001 a 58304-999</t>
  </si>
  <si>
    <t>Alagoa Grande</t>
  </si>
  <si>
    <t>58388-000 a 58389-999</t>
  </si>
  <si>
    <t>Alagoa Nova</t>
  </si>
  <si>
    <t>58125-000 a 58127-999</t>
  </si>
  <si>
    <t>Alagoinha</t>
  </si>
  <si>
    <t>58390-000 a 58392-999</t>
  </si>
  <si>
    <t>Alhandra</t>
  </si>
  <si>
    <t>58320-000 a 58321-999</t>
  </si>
  <si>
    <t>Arara</t>
  </si>
  <si>
    <t>58396-000 a 58396-999</t>
  </si>
  <si>
    <t>Araçagi</t>
  </si>
  <si>
    <t>58270-000 a 58272-999</t>
  </si>
  <si>
    <t>Areia</t>
  </si>
  <si>
    <t>58397-000 a 58397-999</t>
  </si>
  <si>
    <t>Areial</t>
  </si>
  <si>
    <t>58140-000 a 58144-999</t>
  </si>
  <si>
    <t>Aroeiras</t>
  </si>
  <si>
    <t>58489-000 a 58491-999</t>
  </si>
  <si>
    <t>Bananeiras</t>
  </si>
  <si>
    <t>58220-000 a 58224-999</t>
  </si>
  <si>
    <t>Barra de Santana</t>
  </si>
  <si>
    <t>58458-000 a 58459-999</t>
  </si>
  <si>
    <t>Baía da Traição</t>
  </si>
  <si>
    <t>58295-000 a 58296-999</t>
  </si>
  <si>
    <t>58255-000 a 58259-999</t>
  </si>
  <si>
    <t>Borborema</t>
  </si>
  <si>
    <t>58394-000 a 58394-999</t>
  </si>
  <si>
    <t>Caaporã</t>
  </si>
  <si>
    <t>58326-000 a 58327-999</t>
  </si>
  <si>
    <t>Cacimba de Dentro</t>
  </si>
  <si>
    <t>58230-000 a 58232-999</t>
  </si>
  <si>
    <t>Caiçara</t>
  </si>
  <si>
    <t>58253-000 a 58253-999</t>
  </si>
  <si>
    <t>Caldas Brandão</t>
  </si>
  <si>
    <t>58350-000 a 58353-999</t>
  </si>
  <si>
    <t>Campina Grande</t>
  </si>
  <si>
    <t>58400-001 a 58449-999</t>
  </si>
  <si>
    <t>Capim</t>
  </si>
  <si>
    <t>58287-000 a 58288-999</t>
  </si>
  <si>
    <t>Casserengue</t>
  </si>
  <si>
    <t>58238-000 a 58239-999</t>
  </si>
  <si>
    <t>Caturité</t>
  </si>
  <si>
    <t>58455-000 a 58457-999</t>
  </si>
  <si>
    <t>Cuitegi</t>
  </si>
  <si>
    <t>58208-000 a 58209-999</t>
  </si>
  <si>
    <t>Cuité de Mamanguape</t>
  </si>
  <si>
    <t>58289-000 a 58290-999</t>
  </si>
  <si>
    <t>Curral de Cima</t>
  </si>
  <si>
    <t>58291-000 a 58291-999</t>
  </si>
  <si>
    <t>Dona Inês</t>
  </si>
  <si>
    <t>58228-000 a 58229-999</t>
  </si>
  <si>
    <t>Duas Estradas</t>
  </si>
  <si>
    <t>58265-000 a 58267-999</t>
  </si>
  <si>
    <t>Esperança</t>
  </si>
  <si>
    <t>58135-000 a 58139-999</t>
  </si>
  <si>
    <t>Fagundes</t>
  </si>
  <si>
    <t>58487-000 a 58488-999</t>
  </si>
  <si>
    <t>Guarabira</t>
  </si>
  <si>
    <t>58200-000 a 58207-999</t>
  </si>
  <si>
    <t>Gurinhém</t>
  </si>
  <si>
    <t>58356-000 a 58359-999</t>
  </si>
  <si>
    <t>Ingá</t>
  </si>
  <si>
    <t>58380-000 a 58381-999</t>
  </si>
  <si>
    <t>Itabaiana</t>
  </si>
  <si>
    <t>58360-000 a 58369-999</t>
  </si>
  <si>
    <t>Itapororoca</t>
  </si>
  <si>
    <t>58275-000 a 58277-999</t>
  </si>
  <si>
    <t>Itatuba</t>
  </si>
  <si>
    <t>58378-000 a 58379-999</t>
  </si>
  <si>
    <t>Jacaraú</t>
  </si>
  <si>
    <t>58278-000 a 58279-999</t>
  </si>
  <si>
    <t>Juarez Távora</t>
  </si>
  <si>
    <t>58387-000 a 58387-999</t>
  </si>
  <si>
    <t>Juripiranga</t>
  </si>
  <si>
    <t>58330-000 a 58333-999</t>
  </si>
  <si>
    <t>Lagoa de Dentro</t>
  </si>
  <si>
    <t>58250-000 a 58252-999</t>
  </si>
  <si>
    <t>Lagoa Seca</t>
  </si>
  <si>
    <t>58117-000 a 58118-999</t>
  </si>
  <si>
    <t>Logradouro</t>
  </si>
  <si>
    <t>58254-000 a 58254-999</t>
  </si>
  <si>
    <t>Lucena</t>
  </si>
  <si>
    <t>58315-000 a 58319-999</t>
  </si>
  <si>
    <t>Mamanguape</t>
  </si>
  <si>
    <t>58280-000 a 58286-999</t>
  </si>
  <si>
    <t>Marcação</t>
  </si>
  <si>
    <t>58294-000 a 58294-999</t>
  </si>
  <si>
    <t>Mari</t>
  </si>
  <si>
    <t>58345-000 a 58347-999</t>
  </si>
  <si>
    <t>Massaranduba</t>
  </si>
  <si>
    <t>58120-000 a 58122-999</t>
  </si>
  <si>
    <t>Mataraca</t>
  </si>
  <si>
    <t>58292-000 a 58293-999</t>
  </si>
  <si>
    <t>Matinhas</t>
  </si>
  <si>
    <t>58128-000 a 58134-999</t>
  </si>
  <si>
    <t>Mogeiro</t>
  </si>
  <si>
    <t>58375-000 a 58377-999</t>
  </si>
  <si>
    <t>Montadas</t>
  </si>
  <si>
    <t>58145-000 a 58149-999</t>
  </si>
  <si>
    <t>58354-000 a 58355-999</t>
  </si>
  <si>
    <t>Natuba</t>
  </si>
  <si>
    <t>58494-000 a 58496-999</t>
  </si>
  <si>
    <t>Pedras de Fogo</t>
  </si>
  <si>
    <t>58328-000 a 58329-999</t>
  </si>
  <si>
    <t>Pedro Régis</t>
  </si>
  <si>
    <t>58273-000 a 58274-999</t>
  </si>
  <si>
    <t>58338-000 a 58338-999</t>
  </si>
  <si>
    <t>Pilões</t>
  </si>
  <si>
    <t>58393-000 a 58393-999</t>
  </si>
  <si>
    <t>Pilõezinhos</t>
  </si>
  <si>
    <t>58210-000 a 58212-999</t>
  </si>
  <si>
    <t>Pirpirituba</t>
  </si>
  <si>
    <t>58213-000 a 58219-999</t>
  </si>
  <si>
    <t>Pitimbu</t>
  </si>
  <si>
    <t>58324-000 a 58325-999</t>
  </si>
  <si>
    <t>Pocinhos</t>
  </si>
  <si>
    <t>58150-000 a 58154-999</t>
  </si>
  <si>
    <t>Puxinanã</t>
  </si>
  <si>
    <t>58115-000 a 58116-999</t>
  </si>
  <si>
    <t>58470-000 a 58479-999</t>
  </si>
  <si>
    <t>Remígio</t>
  </si>
  <si>
    <t>58398-000 a 58398-999</t>
  </si>
  <si>
    <t>58235-000 a 58237-999</t>
  </si>
  <si>
    <t>Riachão do Bacamarte</t>
  </si>
  <si>
    <t>58382-000 a 58384-999</t>
  </si>
  <si>
    <t>Riachão do Poço</t>
  </si>
  <si>
    <t>58348-000 a 58349-999</t>
  </si>
  <si>
    <t>Rio Tinto</t>
  </si>
  <si>
    <t>58297-000 a 58299-999</t>
  </si>
  <si>
    <t>Salgado de São Félix</t>
  </si>
  <si>
    <t>58370-000 a 58373-999</t>
  </si>
  <si>
    <t>Sapé</t>
  </si>
  <si>
    <t>58340-000 a 58341-999</t>
  </si>
  <si>
    <t>Serra da Raiz</t>
  </si>
  <si>
    <t>58260-000 a 58264-999</t>
  </si>
  <si>
    <t>Serra Redonda</t>
  </si>
  <si>
    <t>58385-000 a 58386-999</t>
  </si>
  <si>
    <t>Serraria</t>
  </si>
  <si>
    <t>58395-000 a 58395-999</t>
  </si>
  <si>
    <t>Sertãozinho</t>
  </si>
  <si>
    <t>58268-000 a 58269-999</t>
  </si>
  <si>
    <t>Sobrado</t>
  </si>
  <si>
    <t>58342-000 a 58344-999</t>
  </si>
  <si>
    <t>Solânea</t>
  </si>
  <si>
    <t>58225-000 a 58227-999</t>
  </si>
  <si>
    <t>São José dos Ramos</t>
  </si>
  <si>
    <t>58339-000 a 58339-999</t>
  </si>
  <si>
    <t>São Miguel de Taipu</t>
  </si>
  <si>
    <t>58334-000 a 58336-999</t>
  </si>
  <si>
    <t>São Sebastião de Lagoa de Roça</t>
  </si>
  <si>
    <t>58119-000 a 58119-999</t>
  </si>
  <si>
    <t>Tacima</t>
  </si>
  <si>
    <t>58240-000 a 58249-999</t>
  </si>
  <si>
    <t>Alcantil</t>
  </si>
  <si>
    <t>58460-000 a 58462-999</t>
  </si>
  <si>
    <t>Algodão de Jandaíra</t>
  </si>
  <si>
    <t>58399-000 a 58399-999</t>
  </si>
  <si>
    <t>Amparo</t>
  </si>
  <si>
    <t>58548-000 a 58549-999</t>
  </si>
  <si>
    <t>Araruna</t>
  </si>
  <si>
    <t>58233-000 a 58234-999</t>
  </si>
  <si>
    <t>Areia de Baraúnas</t>
  </si>
  <si>
    <t>58732-000 a 58732-999</t>
  </si>
  <si>
    <t>Assunção</t>
  </si>
  <si>
    <t>58685-000 a 58689-999</t>
  </si>
  <si>
    <t>Baraúna</t>
  </si>
  <si>
    <t>58188-000 a 58194-999</t>
  </si>
  <si>
    <t>Barra de Santa Rosa</t>
  </si>
  <si>
    <t>58170-000 a 58172-999</t>
  </si>
  <si>
    <t>58483-000 a 58484-999</t>
  </si>
  <si>
    <t>58123-000 a 58124-999</t>
  </si>
  <si>
    <t>Boqueirão</t>
  </si>
  <si>
    <t>58450-000 a 58454-999</t>
  </si>
  <si>
    <t>Cabaceiras</t>
  </si>
  <si>
    <t>58480-000 a 58482-999</t>
  </si>
  <si>
    <t>Cacimba de Areia</t>
  </si>
  <si>
    <t>58730-000 a 58731-999</t>
  </si>
  <si>
    <t>Cacimbas</t>
  </si>
  <si>
    <t>58698-000 a 58699-999</t>
  </si>
  <si>
    <t>Camalaú</t>
  </si>
  <si>
    <t>58530-000 a 58534-999</t>
  </si>
  <si>
    <t>Caraúbas</t>
  </si>
  <si>
    <t>58595-000 a 58599-999</t>
  </si>
  <si>
    <t>Congo</t>
  </si>
  <si>
    <t>58535-000 a 58539-999</t>
  </si>
  <si>
    <t>Coxixola</t>
  </si>
  <si>
    <t>58588-000 a 58589-999</t>
  </si>
  <si>
    <t>Cubati</t>
  </si>
  <si>
    <t>58167-000 a 58169-999</t>
  </si>
  <si>
    <t>Cuité</t>
  </si>
  <si>
    <t>58175-000 a 58176-999</t>
  </si>
  <si>
    <t>Damião</t>
  </si>
  <si>
    <t>58173-000 a 58174-999</t>
  </si>
  <si>
    <t>Desterro</t>
  </si>
  <si>
    <t>58695-000 a 58697-999</t>
  </si>
  <si>
    <t>Frei Martinho</t>
  </si>
  <si>
    <t>58195-000 a 58199-999</t>
  </si>
  <si>
    <t>Gado Bravo</t>
  </si>
  <si>
    <t>58492-000 a 58493-999</t>
  </si>
  <si>
    <t>Gurjão</t>
  </si>
  <si>
    <t>58670-000 a 58674-999</t>
  </si>
  <si>
    <t>Juazeirinho</t>
  </si>
  <si>
    <t>58660-000 a 58664-999</t>
  </si>
  <si>
    <t>Junco do Seridó</t>
  </si>
  <si>
    <t>58640-000 a 58649-999</t>
  </si>
  <si>
    <t>Livramento</t>
  </si>
  <si>
    <t>58690-000 a 58694-999</t>
  </si>
  <si>
    <t>Malta</t>
  </si>
  <si>
    <t>58713-000 a 58713-999</t>
  </si>
  <si>
    <t>Monteiro</t>
  </si>
  <si>
    <t>58500-000 a 58509-999</t>
  </si>
  <si>
    <t>Nova Floresta</t>
  </si>
  <si>
    <t>58178-000 a 58179-999</t>
  </si>
  <si>
    <t>Nova Palmeira</t>
  </si>
  <si>
    <t>58184-000 a 58186-999</t>
  </si>
  <si>
    <t>Olivedos</t>
  </si>
  <si>
    <t>58160-000 a 58166-999</t>
  </si>
  <si>
    <t>Ouro Velho</t>
  </si>
  <si>
    <t>58560-000 a 58569-999</t>
  </si>
  <si>
    <t>Parari</t>
  </si>
  <si>
    <t>58575-000 a 58579-999</t>
  </si>
  <si>
    <t>Passagem</t>
  </si>
  <si>
    <t>58734-000 a 58734-999</t>
  </si>
  <si>
    <t>Patos</t>
  </si>
  <si>
    <t>58700-001 a 58709-999</t>
  </si>
  <si>
    <t>Pedra Lavrada</t>
  </si>
  <si>
    <t>58180-000 a 58183-999</t>
  </si>
  <si>
    <t>Picuí</t>
  </si>
  <si>
    <t>58187-000 a 58187-999</t>
  </si>
  <si>
    <t>58550-000 a 58559-999</t>
  </si>
  <si>
    <t>Quixabá</t>
  </si>
  <si>
    <t>58733-000 a 58733-999</t>
  </si>
  <si>
    <t>Riacho de Santo Antônio</t>
  </si>
  <si>
    <t>58465-000 a 58469-999</t>
  </si>
  <si>
    <t>Salgadinho</t>
  </si>
  <si>
    <t>58650-000 a 58659-999</t>
  </si>
  <si>
    <t>Santa Cecília</t>
  </si>
  <si>
    <t>58463-000 a 58464-999</t>
  </si>
  <si>
    <t>58600-000 a 58609-999</t>
  </si>
  <si>
    <t>Santa Teresinha</t>
  </si>
  <si>
    <t>58720-000 a 58722-999</t>
  </si>
  <si>
    <t>Santo André</t>
  </si>
  <si>
    <t>58675-000 a 58679-999</t>
  </si>
  <si>
    <t>Serra Branca</t>
  </si>
  <si>
    <t>58580-000 a 58587-999</t>
  </si>
  <si>
    <t>Soledade</t>
  </si>
  <si>
    <t>58155-000 a 58157-999</t>
  </si>
  <si>
    <t>Sossêgo</t>
  </si>
  <si>
    <t>58177-000 a 58177-999</t>
  </si>
  <si>
    <t>Sumé</t>
  </si>
  <si>
    <t>58540-000 a 58547-999</t>
  </si>
  <si>
    <t>São Domingos do Cariri</t>
  </si>
  <si>
    <t>58485-000 a 58486-999</t>
  </si>
  <si>
    <t>São José de Espinharas</t>
  </si>
  <si>
    <t>58723-000 a 58724-999</t>
  </si>
  <si>
    <t>São José do Bonfim</t>
  </si>
  <si>
    <t>58725-000 a 58729-999</t>
  </si>
  <si>
    <t>São José do Sabugi</t>
  </si>
  <si>
    <t>58610-000 a 58619-999</t>
  </si>
  <si>
    <t>São José dos Cordeiros</t>
  </si>
  <si>
    <t>58570-000 a 58574-999</t>
  </si>
  <si>
    <t>São João do Cariri</t>
  </si>
  <si>
    <t>58590-000 a 58594-999</t>
  </si>
  <si>
    <t>São João do Tigre</t>
  </si>
  <si>
    <t>58520-000 a 58529-999</t>
  </si>
  <si>
    <t>São Mamede</t>
  </si>
  <si>
    <t>58625-000 a 58639-999</t>
  </si>
  <si>
    <t>São Sebastião do Umbuzeiro</t>
  </si>
  <si>
    <t>58510-000 a 58514-999</t>
  </si>
  <si>
    <t>São Vicente do Seridó</t>
  </si>
  <si>
    <t>58158-000 a 58159-999</t>
  </si>
  <si>
    <t>58680-000 a 58684-999</t>
  </si>
  <si>
    <t>Teixeira</t>
  </si>
  <si>
    <t>58735-000 a 58736-999</t>
  </si>
  <si>
    <t>Tenório</t>
  </si>
  <si>
    <t>58665-000 a 58669-999</t>
  </si>
  <si>
    <t>Umbuzeiro</t>
  </si>
  <si>
    <t>58497-000 a 58499-999</t>
  </si>
  <si>
    <t>Várzea</t>
  </si>
  <si>
    <t>58620-000 a 58624-999</t>
  </si>
  <si>
    <t>Zabelê</t>
  </si>
  <si>
    <t>58515-000 a 58519-999</t>
  </si>
  <si>
    <t>Aguiar</t>
  </si>
  <si>
    <t>58778-000 a 58779-999</t>
  </si>
  <si>
    <t>Aparecida</t>
  </si>
  <si>
    <t>58823-000 a 58823-999</t>
  </si>
  <si>
    <t>Belém do Brejo do Cruz</t>
  </si>
  <si>
    <t>58895-000 a 58899-999</t>
  </si>
  <si>
    <t>Bernardino Batista</t>
  </si>
  <si>
    <t>58922-000 a 58924-999</t>
  </si>
  <si>
    <t>Boa Ventura</t>
  </si>
  <si>
    <t>58993-000 a 58993-999</t>
  </si>
  <si>
    <t>Bom Jesus</t>
  </si>
  <si>
    <t>58930-000 a 58932-999</t>
  </si>
  <si>
    <t>58887-000 a 58889-999</t>
  </si>
  <si>
    <t>Bonito de Santa Fé</t>
  </si>
  <si>
    <t>58960-000 a 58969-999</t>
  </si>
  <si>
    <t>Brejo do Cruz</t>
  </si>
  <si>
    <t>58890-000 a 58892-999</t>
  </si>
  <si>
    <t>Brejo dos Santos</t>
  </si>
  <si>
    <t>58880-000 a 58883-999</t>
  </si>
  <si>
    <t>Cachoeira dos Índios</t>
  </si>
  <si>
    <t>58935-000 a 58939-999</t>
  </si>
  <si>
    <t>Cajazeiras</t>
  </si>
  <si>
    <t>58900-000 a 58907-999</t>
  </si>
  <si>
    <t>Cajazeirinhas</t>
  </si>
  <si>
    <t>58855-000 a 58856-999</t>
  </si>
  <si>
    <t>Carrapateira</t>
  </si>
  <si>
    <t>58945-000 a 58949-999</t>
  </si>
  <si>
    <t>Catingueira</t>
  </si>
  <si>
    <t>58715-000 a 58719-999</t>
  </si>
  <si>
    <t>Catolé do Rocha</t>
  </si>
  <si>
    <t>58884-000 a 58886-999</t>
  </si>
  <si>
    <t>Conceição</t>
  </si>
  <si>
    <t>58970-000 a 58977-999</t>
  </si>
  <si>
    <t>Condado</t>
  </si>
  <si>
    <t>58714-000 a 58714-999</t>
  </si>
  <si>
    <t>Coremas</t>
  </si>
  <si>
    <t>58770-000 a 58774-999</t>
  </si>
  <si>
    <t>Curral Velho</t>
  </si>
  <si>
    <t>58990-000 a 58992-999</t>
  </si>
  <si>
    <t>Diamante</t>
  </si>
  <si>
    <t>58994-000 a 58994-999</t>
  </si>
  <si>
    <t>Emas</t>
  </si>
  <si>
    <t>58763-000 a 58764-999</t>
  </si>
  <si>
    <t>Ibiara</t>
  </si>
  <si>
    <t>58980-000 a 58984-999</t>
  </si>
  <si>
    <t>Igaracy</t>
  </si>
  <si>
    <t>58775-000 a 58777-999</t>
  </si>
  <si>
    <t>Imaculada</t>
  </si>
  <si>
    <t>58745-000 a 58747-999</t>
  </si>
  <si>
    <t>Itaporanga</t>
  </si>
  <si>
    <t>58780-000 a 58783-999</t>
  </si>
  <si>
    <t>Jericó</t>
  </si>
  <si>
    <t>58830-000 a 58831-999</t>
  </si>
  <si>
    <t>Joca Claudino</t>
  </si>
  <si>
    <t>58928-000 a 58929-999</t>
  </si>
  <si>
    <t>Juru</t>
  </si>
  <si>
    <t>58750-000 a 58752-999</t>
  </si>
  <si>
    <t>Lagoa</t>
  </si>
  <si>
    <t>58835-000 a 58839-999</t>
  </si>
  <si>
    <t>Lastro</t>
  </si>
  <si>
    <t>58820-000 a 58821-999</t>
  </si>
  <si>
    <t>Manaíra</t>
  </si>
  <si>
    <t>58995-000 a 58996-999</t>
  </si>
  <si>
    <t>Marizópolis</t>
  </si>
  <si>
    <t>58819-000 a 58819-999</t>
  </si>
  <si>
    <t>Mato Grosso</t>
  </si>
  <si>
    <t>58832-000 a 58834-999</t>
  </si>
  <si>
    <t>Maturéia</t>
  </si>
  <si>
    <t>58737-000 a 58739-999</t>
  </si>
  <si>
    <t>Monte Horebe</t>
  </si>
  <si>
    <t>58950-000 a 58954-999</t>
  </si>
  <si>
    <t>Mãe D'Água</t>
  </si>
  <si>
    <t>58740-000 a 58744-999</t>
  </si>
  <si>
    <t>Nazarezinho</t>
  </si>
  <si>
    <t>58817-000 a 58817-999</t>
  </si>
  <si>
    <t>58798-000 a 58799-999</t>
  </si>
  <si>
    <t>Olho D'Água</t>
  </si>
  <si>
    <t>58760-000 a 58762-999</t>
  </si>
  <si>
    <t>Paulista</t>
  </si>
  <si>
    <t>58860-000 a 58864-999</t>
  </si>
  <si>
    <t>58790-000 a 58794-999</t>
  </si>
  <si>
    <t>Piancó</t>
  </si>
  <si>
    <t>58765-000 a 58769-999</t>
  </si>
  <si>
    <t>Pombal</t>
  </si>
  <si>
    <t>58840-000 a 58852-999</t>
  </si>
  <si>
    <t>Poço Dantas</t>
  </si>
  <si>
    <t>58933-000 a 58934-999</t>
  </si>
  <si>
    <t>Poço de José de Moura</t>
  </si>
  <si>
    <t>58908-000 a 58909-999</t>
  </si>
  <si>
    <t>Princesa Isabel</t>
  </si>
  <si>
    <t>58755-000 a 58757-999</t>
  </si>
  <si>
    <t>Riacho dos Cavalos</t>
  </si>
  <si>
    <t>58870-000 a 58879-999</t>
  </si>
  <si>
    <t>Santa Cruz</t>
  </si>
  <si>
    <t>58824-000 a 58829-999</t>
  </si>
  <si>
    <t>58925-000 a 58927-999</t>
  </si>
  <si>
    <t>58978-000 a 58979-999</t>
  </si>
  <si>
    <t>Santana de Mangueira</t>
  </si>
  <si>
    <t>58985-000 a 58989-999</t>
  </si>
  <si>
    <t>Santana dos Garrotes</t>
  </si>
  <si>
    <t>58795-000 a 58797-999</t>
  </si>
  <si>
    <t>Serra Grande</t>
  </si>
  <si>
    <t>58955-000 a 58959-999</t>
  </si>
  <si>
    <t>Sousa</t>
  </si>
  <si>
    <t>58800-001 a 58814-999</t>
  </si>
  <si>
    <t>São Bentinho</t>
  </si>
  <si>
    <t>58857-000 a 58859-999</t>
  </si>
  <si>
    <t>58865-000 a 58869-999</t>
  </si>
  <si>
    <t>58853-000 a 58854-999</t>
  </si>
  <si>
    <t>58818-000 a 58818-999</t>
  </si>
  <si>
    <t>São José da Lagoa Tapada</t>
  </si>
  <si>
    <t>58815-000 a 58816-999</t>
  </si>
  <si>
    <t>São José de Caiana</t>
  </si>
  <si>
    <t>58784-000 a 58789-999</t>
  </si>
  <si>
    <t>São José de Piranhas</t>
  </si>
  <si>
    <t>58940-000 a 58944-999</t>
  </si>
  <si>
    <t>São José de Princesa</t>
  </si>
  <si>
    <t>58758-000 a 58759-999</t>
  </si>
  <si>
    <t>São José do Brejo do Cruz</t>
  </si>
  <si>
    <t>58893-000 a 58894-999</t>
  </si>
  <si>
    <t>São João do Rio do Peixe</t>
  </si>
  <si>
    <t>58910-000 a 58914-999</t>
  </si>
  <si>
    <t>Tavares</t>
  </si>
  <si>
    <t>58753-000 a 58754-999</t>
  </si>
  <si>
    <t>Triunfo</t>
  </si>
  <si>
    <t>58920-000 a 58921-999</t>
  </si>
  <si>
    <t>Uiraúna</t>
  </si>
  <si>
    <t>58915-000 a 58919-999</t>
  </si>
  <si>
    <t>Vieirópolis</t>
  </si>
  <si>
    <t>58822-000 a 58822-999</t>
  </si>
  <si>
    <t>Vista Serrana</t>
  </si>
  <si>
    <t>58710-000 a 58712-999</t>
  </si>
  <si>
    <t>58748-000 a 58749-999</t>
  </si>
  <si>
    <t>50000-001 a 52999-999</t>
  </si>
  <si>
    <t>Abreu e Lima</t>
  </si>
  <si>
    <t>53500-001 a 53599-999</t>
  </si>
  <si>
    <t>Cabo de Santo Agostinho</t>
  </si>
  <si>
    <t>54500-001 a 54599-999</t>
  </si>
  <si>
    <t>Camaragibe</t>
  </si>
  <si>
    <t>54750-001 a 54799-999</t>
  </si>
  <si>
    <t>Igarassu</t>
  </si>
  <si>
    <t>53600-001 a 53689-999</t>
  </si>
  <si>
    <t>Itapissuma</t>
  </si>
  <si>
    <t>53700-000 a 53899-999</t>
  </si>
  <si>
    <t>Jaboatão dos Guararapes</t>
  </si>
  <si>
    <t>54000-001 a 54499-999</t>
  </si>
  <si>
    <t>Moreno</t>
  </si>
  <si>
    <t>54800-000 a 54999-999</t>
  </si>
  <si>
    <t>Olinda</t>
  </si>
  <si>
    <t>53000-001 a 53399-999</t>
  </si>
  <si>
    <t>53400-001 a 53499-999</t>
  </si>
  <si>
    <t>São Lourenço da Mata</t>
  </si>
  <si>
    <t>54700-001 a 54749-999</t>
  </si>
  <si>
    <t>Agrestina</t>
  </si>
  <si>
    <t>55495-000 a 55499-999</t>
  </si>
  <si>
    <t>55260-000 a 55269-999</t>
  </si>
  <si>
    <t>Aliança</t>
  </si>
  <si>
    <t>55890-000 a 55899-999</t>
  </si>
  <si>
    <t>Altinho</t>
  </si>
  <si>
    <t>55490-000 a 55494-999</t>
  </si>
  <si>
    <t>Amaraji</t>
  </si>
  <si>
    <t>55515-000 a 55519-999</t>
  </si>
  <si>
    <t>Angelim</t>
  </si>
  <si>
    <t>55430-000 a 55434-999</t>
  </si>
  <si>
    <t>Araçoiaba</t>
  </si>
  <si>
    <t>53690-000 a 53699-999</t>
  </si>
  <si>
    <t>Arcoverde</t>
  </si>
  <si>
    <t>56500-001 a 56519-999</t>
  </si>
  <si>
    <t>Barra de Guabiraba</t>
  </si>
  <si>
    <t>55690-000 a 55694-999</t>
  </si>
  <si>
    <t>Barreiros</t>
  </si>
  <si>
    <t>55560-000 a 55564-999</t>
  </si>
  <si>
    <t>Belo Jardim</t>
  </si>
  <si>
    <t>55150-001 a 55169-999</t>
  </si>
  <si>
    <t>Belém de Maria</t>
  </si>
  <si>
    <t>55440-000 a 55449-999</t>
  </si>
  <si>
    <t>Bezerros</t>
  </si>
  <si>
    <t>55660-000 a 55664-999</t>
  </si>
  <si>
    <t>55730-000 a 55739-999</t>
  </si>
  <si>
    <t>55680-000 a 55689-999</t>
  </si>
  <si>
    <t>Brejo da Madre de Deus</t>
  </si>
  <si>
    <t>55170-000 a 55179-999</t>
  </si>
  <si>
    <t>Brejão</t>
  </si>
  <si>
    <t>55325-000 a 55329-999</t>
  </si>
  <si>
    <t>Buenos Aires</t>
  </si>
  <si>
    <t>55845-000 a 55849-999</t>
  </si>
  <si>
    <t>Cachoeirinha</t>
  </si>
  <si>
    <t>55380-000 a 55384-999</t>
  </si>
  <si>
    <t>Caetés</t>
  </si>
  <si>
    <t>55360-000 a 55364-999</t>
  </si>
  <si>
    <t>Calçado</t>
  </si>
  <si>
    <t>55375-000 a 55379-999</t>
  </si>
  <si>
    <t>Camocim de São Félix</t>
  </si>
  <si>
    <t>55665-000 a 55669-999</t>
  </si>
  <si>
    <t>Camutanga</t>
  </si>
  <si>
    <t>55930-000 a 55939-999</t>
  </si>
  <si>
    <t>Canhotinho</t>
  </si>
  <si>
    <t>55420-000 a 55429-999</t>
  </si>
  <si>
    <t>Capoeiras</t>
  </si>
  <si>
    <t>55365-000 a 55369-999</t>
  </si>
  <si>
    <t>Carpina</t>
  </si>
  <si>
    <t>55810-001 a 55819-999</t>
  </si>
  <si>
    <t>Caruaru</t>
  </si>
  <si>
    <t>55000-001 a 55119-999</t>
  </si>
  <si>
    <t>Casinhas</t>
  </si>
  <si>
    <t>55755-000 a 55759-999</t>
  </si>
  <si>
    <t>Catende</t>
  </si>
  <si>
    <t>55400-000 a 55404-999</t>
  </si>
  <si>
    <t>Chã de Alegria</t>
  </si>
  <si>
    <t>55835-000 a 55839-999</t>
  </si>
  <si>
    <t>Chã Grande</t>
  </si>
  <si>
    <t>55636-000 a 55639-999</t>
  </si>
  <si>
    <t>55940-000 a 55949-999</t>
  </si>
  <si>
    <t>Correntes</t>
  </si>
  <si>
    <t>55315-000 a 55319-999</t>
  </si>
  <si>
    <t>Cortês</t>
  </si>
  <si>
    <t>55525-000 a 55529-999</t>
  </si>
  <si>
    <t>Cumaru</t>
  </si>
  <si>
    <t>55655-000 a 55659-999</t>
  </si>
  <si>
    <t>Cupira</t>
  </si>
  <si>
    <t>55460-000 a 55469-999</t>
  </si>
  <si>
    <t>Escada</t>
  </si>
  <si>
    <t>55500-000 a 55509-999</t>
  </si>
  <si>
    <t>Feira Nova</t>
  </si>
  <si>
    <t>55715-000 a 55719-999</t>
  </si>
  <si>
    <t>Ferreiros</t>
  </si>
  <si>
    <t>55880-000 a 55889-999</t>
  </si>
  <si>
    <t>Frei Miguelinho</t>
  </si>
  <si>
    <t>55780-000 a 55789-999</t>
  </si>
  <si>
    <t>Gameleira</t>
  </si>
  <si>
    <t>55530-000 a 55534-999</t>
  </si>
  <si>
    <t>Garanhuns</t>
  </si>
  <si>
    <t>55290-001 a 55304-999</t>
  </si>
  <si>
    <t>Glória do Goitá</t>
  </si>
  <si>
    <t>55620-000 a 55629-999</t>
  </si>
  <si>
    <t>Goiana</t>
  </si>
  <si>
    <t>55900-000 a 55919-999</t>
  </si>
  <si>
    <t>Gravatá</t>
  </si>
  <si>
    <t>55640-001 a 55649-999</t>
  </si>
  <si>
    <t>Ibirajuba</t>
  </si>
  <si>
    <t>55390-000 a 55394-999</t>
  </si>
  <si>
    <t>Ilha de Itamaracá</t>
  </si>
  <si>
    <t>53900-000 a 53989-999</t>
  </si>
  <si>
    <t>Ipojuca</t>
  </si>
  <si>
    <t>55590-000 a 55599-999</t>
  </si>
  <si>
    <t>55920-000 a 55929-999</t>
  </si>
  <si>
    <t>Itaquitinga</t>
  </si>
  <si>
    <t>55950-000 a 55999-999</t>
  </si>
  <si>
    <t>Jaqueira</t>
  </si>
  <si>
    <t>55409-000 a 55409-999</t>
  </si>
  <si>
    <t>Jataúba</t>
  </si>
  <si>
    <t>55180-000 a 55189-999</t>
  </si>
  <si>
    <t>Joaquim Nabuco</t>
  </si>
  <si>
    <t>55535-000 a 55539-999</t>
  </si>
  <si>
    <t>João Alfredo</t>
  </si>
  <si>
    <t>55720-000 a 55729-999</t>
  </si>
  <si>
    <t>Jucati</t>
  </si>
  <si>
    <t>55398-000 a 55399-999</t>
  </si>
  <si>
    <t>Jupi</t>
  </si>
  <si>
    <t>55395-000 a 55397-999</t>
  </si>
  <si>
    <t>Jurema</t>
  </si>
  <si>
    <t>55480-000 a 55489-999</t>
  </si>
  <si>
    <t>Lagoa do Carro</t>
  </si>
  <si>
    <t>55820-000 a 55824-999</t>
  </si>
  <si>
    <t>Lagoa do Itaenga</t>
  </si>
  <si>
    <t>55840-000 a 55844-999</t>
  </si>
  <si>
    <t>Lagoa do Ouro</t>
  </si>
  <si>
    <t>55320-000 a 55324-999</t>
  </si>
  <si>
    <t>Lagoa dos Gatos</t>
  </si>
  <si>
    <t>55450-000 a 55459-999</t>
  </si>
  <si>
    <t>Lajedo</t>
  </si>
  <si>
    <t>55385-000 a 55389-999</t>
  </si>
  <si>
    <t>Limoeiro</t>
  </si>
  <si>
    <t>55700-000 a 55714-999</t>
  </si>
  <si>
    <t>Macaparana</t>
  </si>
  <si>
    <t>55865-000 a 55869-999</t>
  </si>
  <si>
    <t>Machados</t>
  </si>
  <si>
    <t>55740-000 a 55744-999</t>
  </si>
  <si>
    <t>Maraial</t>
  </si>
  <si>
    <t>55405-000 a 55408-999</t>
  </si>
  <si>
    <t>Nazaré da Mata</t>
  </si>
  <si>
    <t>55800-000 a 55804-999</t>
  </si>
  <si>
    <t>Orobó</t>
  </si>
  <si>
    <t>55745-000 a 55749-999</t>
  </si>
  <si>
    <t>Palmares</t>
  </si>
  <si>
    <t>55540-000 a 55549-999</t>
  </si>
  <si>
    <t>Palmeirina</t>
  </si>
  <si>
    <t>55310-000 a 55314-999</t>
  </si>
  <si>
    <t>Panelas</t>
  </si>
  <si>
    <t>55470-000 a 55479-999</t>
  </si>
  <si>
    <t>Paranatama</t>
  </si>
  <si>
    <t>55355-000 a 55359-999</t>
  </si>
  <si>
    <t>Passira</t>
  </si>
  <si>
    <t>55650-000 a 55654-999</t>
  </si>
  <si>
    <t>Paudalho</t>
  </si>
  <si>
    <t>55825-000 a 55834-999</t>
  </si>
  <si>
    <t>Pedra</t>
  </si>
  <si>
    <t>55280-000 a 55289-999</t>
  </si>
  <si>
    <t>Pesqueira</t>
  </si>
  <si>
    <t>55200-000 a 55239-999</t>
  </si>
  <si>
    <t>Pombos</t>
  </si>
  <si>
    <t>55630-000 a 55635-999</t>
  </si>
  <si>
    <t>Poção</t>
  </si>
  <si>
    <t>55240-000 a 55249-999</t>
  </si>
  <si>
    <t>2611408</t>
  </si>
  <si>
    <t>55510-000 a 55514-999</t>
  </si>
  <si>
    <t>Quipapá</t>
  </si>
  <si>
    <t>55415-000 a 55419-999</t>
  </si>
  <si>
    <t>Riacho das Almas</t>
  </si>
  <si>
    <t>55120-000 a 55124-999</t>
  </si>
  <si>
    <t>Ribeirão</t>
  </si>
  <si>
    <t>55520-000 a 55524-999</t>
  </si>
  <si>
    <t>Rio Formoso</t>
  </si>
  <si>
    <t>55570-000 a 55577-999</t>
  </si>
  <si>
    <t>Sairé</t>
  </si>
  <si>
    <t>55695-000 a 55699-999</t>
  </si>
  <si>
    <t>55675-000 a 55679-999</t>
  </si>
  <si>
    <t>Saloá</t>
  </si>
  <si>
    <t>55350-000 a 55354-999</t>
  </si>
  <si>
    <t>Sanharó</t>
  </si>
  <si>
    <t>55250-000 a 55259-999</t>
  </si>
  <si>
    <t>Santa Cruz do Capibaribe</t>
  </si>
  <si>
    <t>55190-001 a 55199-999</t>
  </si>
  <si>
    <t>Santa Maria do Cambucá</t>
  </si>
  <si>
    <t>55765-000 a 55769-999</t>
  </si>
  <si>
    <t>Sirinhaém</t>
  </si>
  <si>
    <t>55580-000 a 55589-999</t>
  </si>
  <si>
    <t>Surubim</t>
  </si>
  <si>
    <t>55750-000 a 55754-999</t>
  </si>
  <si>
    <t>São Benedito do Sul</t>
  </si>
  <si>
    <t>55410-000 a 55414-999</t>
  </si>
  <si>
    <t>São Bento do Una</t>
  </si>
  <si>
    <t>55370-000 a 55374-999</t>
  </si>
  <si>
    <t>São Caitano</t>
  </si>
  <si>
    <t>55130-000 a 55139-999</t>
  </si>
  <si>
    <t>São Joaquim do Monte</t>
  </si>
  <si>
    <t>55670-000 a 55674-999</t>
  </si>
  <si>
    <t>São José da Coroa Grande</t>
  </si>
  <si>
    <t>55565-000 a 55569-999</t>
  </si>
  <si>
    <t>São João</t>
  </si>
  <si>
    <t>55435-000 a 55439-999</t>
  </si>
  <si>
    <t>São Vicente Férrer</t>
  </si>
  <si>
    <t>55860-000 a 55864-999</t>
  </si>
  <si>
    <t>Tacaimbó</t>
  </si>
  <si>
    <t>55140-000 a 55149-999</t>
  </si>
  <si>
    <t>Tamandaré</t>
  </si>
  <si>
    <t>55578-000 a 55579-999</t>
  </si>
  <si>
    <t>Taquaritinga do Norte</t>
  </si>
  <si>
    <t>55790-000 a 55799-999</t>
  </si>
  <si>
    <t>Terezinha</t>
  </si>
  <si>
    <t>55305-000 a 55309-999</t>
  </si>
  <si>
    <t>Timbaúba</t>
  </si>
  <si>
    <t>55870-000 a 55879-999</t>
  </si>
  <si>
    <t>Toritama</t>
  </si>
  <si>
    <t>55125-000 a 55129-999</t>
  </si>
  <si>
    <t>Tracunhaém</t>
  </si>
  <si>
    <t>55805-000 a 55809-999</t>
  </si>
  <si>
    <t>Venturosa</t>
  </si>
  <si>
    <t>55270-000 a 55279-999</t>
  </si>
  <si>
    <t>Vertente do Lério</t>
  </si>
  <si>
    <t>55760-000 a 55764-999</t>
  </si>
  <si>
    <t>Vertentes</t>
  </si>
  <si>
    <t>55770-000 a 55779-999</t>
  </si>
  <si>
    <t>Vicência</t>
  </si>
  <si>
    <t>55850-000 a 55859-999</t>
  </si>
  <si>
    <t>Vitória de Santo Antão</t>
  </si>
  <si>
    <t>55600-001 a 55619-999</t>
  </si>
  <si>
    <t>Xexéu</t>
  </si>
  <si>
    <t>55555-000 a 55559-999</t>
  </si>
  <si>
    <t>Água Preta</t>
  </si>
  <si>
    <t>55550-000 a 55554-999</t>
  </si>
  <si>
    <t>Afogados da Ingazeira</t>
  </si>
  <si>
    <t>56800-000 a 56819-999</t>
  </si>
  <si>
    <t>Belém do São Francisco</t>
  </si>
  <si>
    <t>56440-000 a 56459-999</t>
  </si>
  <si>
    <t>Betânia</t>
  </si>
  <si>
    <t>56670-000 a 56699-999</t>
  </si>
  <si>
    <t>Bom Conselho</t>
  </si>
  <si>
    <t>55330-000 a 55339-999</t>
  </si>
  <si>
    <t>Brejinho</t>
  </si>
  <si>
    <t>56740-000 a 56749-999</t>
  </si>
  <si>
    <t>Buíque</t>
  </si>
  <si>
    <t>56520-000 a 56539-999</t>
  </si>
  <si>
    <t>Cabrobó</t>
  </si>
  <si>
    <t>56180-000 a 56189-999</t>
  </si>
  <si>
    <t>Calumbi</t>
  </si>
  <si>
    <t>56930-000 a 56949-999</t>
  </si>
  <si>
    <t>Carnaubeira da Penha</t>
  </si>
  <si>
    <t>56420-000 a 56429-999</t>
  </si>
  <si>
    <t>Carnaíba</t>
  </si>
  <si>
    <t>56820-000 a 56827-999</t>
  </si>
  <si>
    <t>Custódia</t>
  </si>
  <si>
    <t>56640-000 a 56669-999</t>
  </si>
  <si>
    <t>Fernando de Noronha</t>
  </si>
  <si>
    <t>53990-000 a 53999-999</t>
  </si>
  <si>
    <t>Flores</t>
  </si>
  <si>
    <t>56850-000 a 56869-999</t>
  </si>
  <si>
    <t>Floresta</t>
  </si>
  <si>
    <t>56400-000 a 56419-999</t>
  </si>
  <si>
    <t>Iati</t>
  </si>
  <si>
    <t>55345-000 a 55349-999</t>
  </si>
  <si>
    <t>Ibimirim</t>
  </si>
  <si>
    <t>56580-000 a 56599-999</t>
  </si>
  <si>
    <t>Iguaraci</t>
  </si>
  <si>
    <t>56840-000 a 56849-999</t>
  </si>
  <si>
    <t>Inajá</t>
  </si>
  <si>
    <t>56560-000 a 56564-999</t>
  </si>
  <si>
    <t>Ingazeira</t>
  </si>
  <si>
    <t>56830-000 a 56839-999</t>
  </si>
  <si>
    <t>Itacuruba</t>
  </si>
  <si>
    <t>56430-000 a 56439-999</t>
  </si>
  <si>
    <t>Itapetim</t>
  </si>
  <si>
    <t>56720-000 a 56739-999</t>
  </si>
  <si>
    <t>Itaíba</t>
  </si>
  <si>
    <t>56550-000 a 56559-999</t>
  </si>
  <si>
    <t>56470-000 a 56479-999</t>
  </si>
  <si>
    <t>Manari</t>
  </si>
  <si>
    <t>56565-000 a 56579-999</t>
  </si>
  <si>
    <t>Mirandiba</t>
  </si>
  <si>
    <t>56980-000 a 56999-999</t>
  </si>
  <si>
    <t>Petrolândia</t>
  </si>
  <si>
    <t>56460-000 a 56469-999</t>
  </si>
  <si>
    <t>Quixaba</t>
  </si>
  <si>
    <t>56828-000 a 56829-999</t>
  </si>
  <si>
    <t>Salgueiro</t>
  </si>
  <si>
    <t>56000-000 a 56119-999</t>
  </si>
  <si>
    <t>Santa Cruz da Baixa Verde</t>
  </si>
  <si>
    <t>56895-000 a 56899-999</t>
  </si>
  <si>
    <t>56750-000 a 56759-999</t>
  </si>
  <si>
    <t>Serra Talhada</t>
  </si>
  <si>
    <t>56900-001 a 56929-999</t>
  </si>
  <si>
    <t>Serrita</t>
  </si>
  <si>
    <t>56140-000 a 56149-999</t>
  </si>
  <si>
    <t>Sertânia</t>
  </si>
  <si>
    <t>56600-000 a 56639-999</t>
  </si>
  <si>
    <t>Solidão</t>
  </si>
  <si>
    <t>56795-000 a 56799-999</t>
  </si>
  <si>
    <t>São José do Belmonte</t>
  </si>
  <si>
    <t>56950-000 a 56979-999</t>
  </si>
  <si>
    <t>São José do Egito</t>
  </si>
  <si>
    <t>56700-000 a 56719-999</t>
  </si>
  <si>
    <t>Tabira</t>
  </si>
  <si>
    <t>56780-000 a 56794-999</t>
  </si>
  <si>
    <t>Tacaratu</t>
  </si>
  <si>
    <t>56480-000 a 56499-999</t>
  </si>
  <si>
    <t>56870-000 a 56894-999</t>
  </si>
  <si>
    <t>Tupanatinga</t>
  </si>
  <si>
    <t>56540-000 a 56549-999</t>
  </si>
  <si>
    <t>Tuparetama</t>
  </si>
  <si>
    <t>56760-000 a 56779-999</t>
  </si>
  <si>
    <t>Verdejante</t>
  </si>
  <si>
    <t>56120-000 a 56129-999</t>
  </si>
  <si>
    <t>Águas Belas</t>
  </si>
  <si>
    <t>55340-000 a 55344-999</t>
  </si>
  <si>
    <t>Afrânio</t>
  </si>
  <si>
    <t>56360-000 a 56379-999</t>
  </si>
  <si>
    <t>Araripina</t>
  </si>
  <si>
    <t>56280-000 a 56299-999</t>
  </si>
  <si>
    <t>Bodocó</t>
  </si>
  <si>
    <t>56220-000 a 56229-999</t>
  </si>
  <si>
    <t>56130-000 a 56139-999</t>
  </si>
  <si>
    <t>Dormentes</t>
  </si>
  <si>
    <t>56355-000 a 56359-999</t>
  </si>
  <si>
    <t>Exu</t>
  </si>
  <si>
    <t>56230-000 a 56249-999</t>
  </si>
  <si>
    <t>Granito</t>
  </si>
  <si>
    <t>56160-000 a 56162-999</t>
  </si>
  <si>
    <t>Ipubi</t>
  </si>
  <si>
    <t>56260-000 a 56279-999</t>
  </si>
  <si>
    <t>56395-000 a 56399-999</t>
  </si>
  <si>
    <t>Moreilândia</t>
  </si>
  <si>
    <t>56150-000 a 56159-999</t>
  </si>
  <si>
    <t>Orocó</t>
  </si>
  <si>
    <t>56170-000 a 56179-999</t>
  </si>
  <si>
    <t>Ouricuri</t>
  </si>
  <si>
    <t>56200-000 a 56209-999</t>
  </si>
  <si>
    <t>Parnamirim</t>
  </si>
  <si>
    <t>56163-000 a 56169-999</t>
  </si>
  <si>
    <t>Petrolina</t>
  </si>
  <si>
    <t>56300-001 a 56354-999</t>
  </si>
  <si>
    <t>56215-000 a 56219-999</t>
  </si>
  <si>
    <t>Santa Filomena</t>
  </si>
  <si>
    <t>56210-000 a 56214-999</t>
  </si>
  <si>
    <t>Santa Maria da Boa Vista</t>
  </si>
  <si>
    <t>56380-000 a 56394-999</t>
  </si>
  <si>
    <t>56190-000 a 56199-999</t>
  </si>
  <si>
    <t>56250-000 a 56259-999</t>
  </si>
  <si>
    <t>64000-001 a 64099-999</t>
  </si>
  <si>
    <t>Demerval Lobão</t>
  </si>
  <si>
    <t>64390-000 a 64394-999</t>
  </si>
  <si>
    <t>Nazária</t>
  </si>
  <si>
    <t>64415-000 a 64419-999</t>
  </si>
  <si>
    <t>Agricolândia</t>
  </si>
  <si>
    <t>64440-000 a 64444-999</t>
  </si>
  <si>
    <t>Alto Longá</t>
  </si>
  <si>
    <t>64360-000 a 64364-999</t>
  </si>
  <si>
    <t>Altos</t>
  </si>
  <si>
    <t>64290-000 a 64294-999</t>
  </si>
  <si>
    <t>Amarante</t>
  </si>
  <si>
    <t>64400-000 a 64409-999</t>
  </si>
  <si>
    <t>Angical do Piauí</t>
  </si>
  <si>
    <t>64410-000 a 64414-999</t>
  </si>
  <si>
    <t>Aroazes</t>
  </si>
  <si>
    <t>64310-000 a 64314-999</t>
  </si>
  <si>
    <t>Arraial</t>
  </si>
  <si>
    <t>64480-000 a 64489-999</t>
  </si>
  <si>
    <t>Assunção do Piauí</t>
  </si>
  <si>
    <t>64333-000 a 64334-999</t>
  </si>
  <si>
    <t>Barra D'Alcântara</t>
  </si>
  <si>
    <t>64528-000 a 64529-999</t>
  </si>
  <si>
    <t>Barras</t>
  </si>
  <si>
    <t>64100-000 a 64104-999</t>
  </si>
  <si>
    <t>Barro Duro</t>
  </si>
  <si>
    <t>64455-000 a 64459-999</t>
  </si>
  <si>
    <t>64190-000 a 64199-999</t>
  </si>
  <si>
    <t>Beneditinos</t>
  </si>
  <si>
    <t>64380-000 a 64387-999</t>
  </si>
  <si>
    <t>Boa Hora</t>
  </si>
  <si>
    <t>64108-000 a 64109-999</t>
  </si>
  <si>
    <t>Bom Princípio do Piauí</t>
  </si>
  <si>
    <t>64225-000 a 64227-999</t>
  </si>
  <si>
    <t>Boqueirão do Piauí</t>
  </si>
  <si>
    <t>64283-000 a 64284-999</t>
  </si>
  <si>
    <t>Brasileira</t>
  </si>
  <si>
    <t>64265-000 a 64269-999</t>
  </si>
  <si>
    <t>Buriti dos Lopes</t>
  </si>
  <si>
    <t>64230-000 a 64232-999</t>
  </si>
  <si>
    <t>Buriti dos Montes</t>
  </si>
  <si>
    <t>64345-000 a 64349-999</t>
  </si>
  <si>
    <t>Cabeceiras do Piauí</t>
  </si>
  <si>
    <t>64105-000 a 64107-999</t>
  </si>
  <si>
    <t>Cajazeiras do Piauí</t>
  </si>
  <si>
    <t>64514-000 a 64515-999</t>
  </si>
  <si>
    <t>Campo Largo do Piauí</t>
  </si>
  <si>
    <t>64148-000 a 64149-999</t>
  </si>
  <si>
    <t>Campo Maior</t>
  </si>
  <si>
    <t>64280-000 a 64282-999</t>
  </si>
  <si>
    <t>Capitão de Campos</t>
  </si>
  <si>
    <t>64270-000 a 64274-999</t>
  </si>
  <si>
    <t>Caraúbas do Piauí</t>
  </si>
  <si>
    <t>64233-000 a 64234-999</t>
  </si>
  <si>
    <t>Castelo do Piauí</t>
  </si>
  <si>
    <t>64340-000 a 64342-999</t>
  </si>
  <si>
    <t>Caxingó</t>
  </si>
  <si>
    <t>64228-000 a 64229-999</t>
  </si>
  <si>
    <t>Cocal</t>
  </si>
  <si>
    <t>64235-000 a 64237-999</t>
  </si>
  <si>
    <t>Cocal de Telha</t>
  </si>
  <si>
    <t>64278-000 a 64279-999</t>
  </si>
  <si>
    <t>Coivaras</t>
  </si>
  <si>
    <t>64335-000 a 64339-999</t>
  </si>
  <si>
    <t>Curralinhos</t>
  </si>
  <si>
    <t>64453-000 a 64454-999</t>
  </si>
  <si>
    <t>Dom Expedito Lopes</t>
  </si>
  <si>
    <t>64620-000 a 64624-999</t>
  </si>
  <si>
    <t>Domingos Mourão</t>
  </si>
  <si>
    <t>64250-000 a 64252-999</t>
  </si>
  <si>
    <t>Elesbão Veloso</t>
  </si>
  <si>
    <t>64325-000 a 64329-999</t>
  </si>
  <si>
    <t>Esperantina</t>
  </si>
  <si>
    <t>64180-000 a 64189-999</t>
  </si>
  <si>
    <t>Floriano</t>
  </si>
  <si>
    <t>64800-001 a 64814-999</t>
  </si>
  <si>
    <t>Francinópolis</t>
  </si>
  <si>
    <t>64520-000 a 64524-999</t>
  </si>
  <si>
    <t>Francisco Ayres</t>
  </si>
  <si>
    <t>64475-000 a 64479-999</t>
  </si>
  <si>
    <t>Hugo Napoleão</t>
  </si>
  <si>
    <t>64470-000 a 64474-999</t>
  </si>
  <si>
    <t>Inhuma</t>
  </si>
  <si>
    <t>64535-000 a 64539-999</t>
  </si>
  <si>
    <t>Ipiranga do Piauí</t>
  </si>
  <si>
    <t>64540-000 a 64544-999</t>
  </si>
  <si>
    <t>Jardim do Mulato</t>
  </si>
  <si>
    <t>64495-000 a 64499-999</t>
  </si>
  <si>
    <t>Jatobá do Piauí</t>
  </si>
  <si>
    <t>64275-000 a 64277-999</t>
  </si>
  <si>
    <t>Joaquim Pires</t>
  </si>
  <si>
    <t>64170-000 a 64174-999</t>
  </si>
  <si>
    <t>Joca Marques</t>
  </si>
  <si>
    <t>64165-000 a 64167-999</t>
  </si>
  <si>
    <t>José de Freitas</t>
  </si>
  <si>
    <t>64110-000 a 64119-999</t>
  </si>
  <si>
    <t>Juazeiro do Piauí</t>
  </si>
  <si>
    <t>64343-000 a 64344-999</t>
  </si>
  <si>
    <t>Lagoa Alegre</t>
  </si>
  <si>
    <t>64138-000 a 64139-999</t>
  </si>
  <si>
    <t>Lagoa de São Francisco</t>
  </si>
  <si>
    <t>64258-000 a 64259-999</t>
  </si>
  <si>
    <t>Lagoa do Piauí</t>
  </si>
  <si>
    <t>64388-000 a 64389-999</t>
  </si>
  <si>
    <t>Lagoa do Sítio</t>
  </si>
  <si>
    <t>64308-000 a 64309-999</t>
  </si>
  <si>
    <t>Lagoinha do Piauí</t>
  </si>
  <si>
    <t>64465-000 a 64467-999</t>
  </si>
  <si>
    <t>Luzilândia</t>
  </si>
  <si>
    <t>64160-000 a 64164-999</t>
  </si>
  <si>
    <t>Madeiro</t>
  </si>
  <si>
    <t>64168-000 a 64169-999</t>
  </si>
  <si>
    <t>Matias Olímpio</t>
  </si>
  <si>
    <t>64150-000 a 64154-999</t>
  </si>
  <si>
    <t>Miguel Alves</t>
  </si>
  <si>
    <t>64130-000 a 64137-999</t>
  </si>
  <si>
    <t>Miguel Leão</t>
  </si>
  <si>
    <t>64445-000 a 64449-999</t>
  </si>
  <si>
    <t>Milton Brandão</t>
  </si>
  <si>
    <t>64253-000 a 64254-999</t>
  </si>
  <si>
    <t>Monsenhor Gil</t>
  </si>
  <si>
    <t>64450-000 a 64452-999</t>
  </si>
  <si>
    <t>Morro do Chapéu do Piauí</t>
  </si>
  <si>
    <t>64178-000 a 64179-999</t>
  </si>
  <si>
    <t>Nazaré do Piauí</t>
  </si>
  <si>
    <t>64825-000 a 64829-999</t>
  </si>
  <si>
    <t>Nossa Senhora de Nazaré</t>
  </si>
  <si>
    <t>64288-000 a 64289-999</t>
  </si>
  <si>
    <t>Nossa Senhora dos Remédios</t>
  </si>
  <si>
    <t>64140-000 a 64144-999</t>
  </si>
  <si>
    <t>Novo Oriente do Piauí</t>
  </si>
  <si>
    <t>64530-000 a 64534-999</t>
  </si>
  <si>
    <t>64365-000 a 64369-999</t>
  </si>
  <si>
    <t>Oeiras</t>
  </si>
  <si>
    <t>64500-000 a 64509-999</t>
  </si>
  <si>
    <t>Olho D'Água do Piauí</t>
  </si>
  <si>
    <t>64468-000 a 64469-999</t>
  </si>
  <si>
    <t>Palmeirais</t>
  </si>
  <si>
    <t>64420-000 a 64429-999</t>
  </si>
  <si>
    <t>Passagem Franca do Piauí</t>
  </si>
  <si>
    <t>64395-000 a 64399-999</t>
  </si>
  <si>
    <t>Pau D'Arco do Piauí</t>
  </si>
  <si>
    <t>64295-000 a 64299-999</t>
  </si>
  <si>
    <t>Pedro II</t>
  </si>
  <si>
    <t>64255-000 a 64257-999</t>
  </si>
  <si>
    <t>Pimenteiras</t>
  </si>
  <si>
    <t>64320-000 a 64324-999</t>
  </si>
  <si>
    <t>Piracuruca</t>
  </si>
  <si>
    <t>64240-000 a 64242-999</t>
  </si>
  <si>
    <t>Piripiri</t>
  </si>
  <si>
    <t>64260-000 a 64264-999</t>
  </si>
  <si>
    <t>Porto</t>
  </si>
  <si>
    <t>64145-000 a 64147-999</t>
  </si>
  <si>
    <t>Prata do Piauí</t>
  </si>
  <si>
    <t>64370-000 a 64374-999</t>
  </si>
  <si>
    <t>Regeneração</t>
  </si>
  <si>
    <t>64490-000 a 64494-999</t>
  </si>
  <si>
    <t>Santa Cruz dos Milagres</t>
  </si>
  <si>
    <t>64315-000 a 64319-999</t>
  </si>
  <si>
    <t>Santa Luz</t>
  </si>
  <si>
    <t>64910-000 a 64914-999</t>
  </si>
  <si>
    <t>Santa Rosa do Piauí</t>
  </si>
  <si>
    <t>64518-000 a 64519-999</t>
  </si>
  <si>
    <t>Santo Antônio dos Milagres</t>
  </si>
  <si>
    <t>64438-000 a 64439-999</t>
  </si>
  <si>
    <t>Sigefredo Pacheco</t>
  </si>
  <si>
    <t>64285-000 a 64287-999</t>
  </si>
  <si>
    <t>São Félix do Piauí</t>
  </si>
  <si>
    <t>64375-000 a 64377-999</t>
  </si>
  <si>
    <t>São Gonçalo do Piauí</t>
  </si>
  <si>
    <t>64435-000 a 64437-999</t>
  </si>
  <si>
    <t>64245-000 a 64249-999</t>
  </si>
  <si>
    <t>São José do Piauí</t>
  </si>
  <si>
    <t>64625-000 a 64629-999</t>
  </si>
  <si>
    <t>São João da Canabrava</t>
  </si>
  <si>
    <t>64635-000 a 64637-999</t>
  </si>
  <si>
    <t>São João da Fronteira</t>
  </si>
  <si>
    <t>64243-000 a 64244-999</t>
  </si>
  <si>
    <t>São João da Serra</t>
  </si>
  <si>
    <t>64350-000 a 64359-999</t>
  </si>
  <si>
    <t>São João da Varjota</t>
  </si>
  <si>
    <t>64510-000 a 64511-999</t>
  </si>
  <si>
    <t>São João do Arraial</t>
  </si>
  <si>
    <t>64155-000 a 64159-999</t>
  </si>
  <si>
    <t>São Miguel da Baixa Grande</t>
  </si>
  <si>
    <t>64378-000 a 64379-999</t>
  </si>
  <si>
    <t>São Miguel do Tapuio</t>
  </si>
  <si>
    <t>64330-000 a 64332-999</t>
  </si>
  <si>
    <t>São Pedro do Piauí</t>
  </si>
  <si>
    <t>64430-000 a 64434-999</t>
  </si>
  <si>
    <t>Tanque do Piauí</t>
  </si>
  <si>
    <t>64512-000 a 64513-999</t>
  </si>
  <si>
    <t>União</t>
  </si>
  <si>
    <t>64120-000 a 64125-999</t>
  </si>
  <si>
    <t>Valença do Piauí</t>
  </si>
  <si>
    <t>64300-000 a 64307-999</t>
  </si>
  <si>
    <t>64460-000 a 64464-999</t>
  </si>
  <si>
    <t>Acauã</t>
  </si>
  <si>
    <t>64748-000 a 64749-999</t>
  </si>
  <si>
    <t>Alagoinha do Piauí</t>
  </si>
  <si>
    <t>64655-000 a 64659-999</t>
  </si>
  <si>
    <t>Alegrete do Piauí</t>
  </si>
  <si>
    <t>64675-000 a 64677-999</t>
  </si>
  <si>
    <t>Alvorada do Gurguéia</t>
  </si>
  <si>
    <t>64923-000 a 64924-999</t>
  </si>
  <si>
    <t>Antônio Almeida</t>
  </si>
  <si>
    <t>64855-000 a 64857-999</t>
  </si>
  <si>
    <t>Anísio de Abreu</t>
  </si>
  <si>
    <t>64780-000 a 64781-999</t>
  </si>
  <si>
    <t>Aroeiras do Itaim</t>
  </si>
  <si>
    <t>64612-000 a 64612-999</t>
  </si>
  <si>
    <t>Baixa Grande do Ribeiro</t>
  </si>
  <si>
    <t>64868-000 a 64869-999</t>
  </si>
  <si>
    <t>Bela Vista do Piauí</t>
  </si>
  <si>
    <t>64705-000 a 64709-999</t>
  </si>
  <si>
    <t>Belém do Piauí</t>
  </si>
  <si>
    <t>64678-000 a 64679-999</t>
  </si>
  <si>
    <t>Bertolínia</t>
  </si>
  <si>
    <t>64870-000 a 64872-999</t>
  </si>
  <si>
    <t>Betânia do Piauí</t>
  </si>
  <si>
    <t>64753-000 a 64754-999</t>
  </si>
  <si>
    <t>Bocaina</t>
  </si>
  <si>
    <t>64630-000 a 64634-999</t>
  </si>
  <si>
    <t>64900-000 a 64904-999</t>
  </si>
  <si>
    <t>Bonfim do Piauí</t>
  </si>
  <si>
    <t>64775-000 a 64777-999</t>
  </si>
  <si>
    <t>Brejo do Piauí</t>
  </si>
  <si>
    <t>64895-000 a 64897-999</t>
  </si>
  <si>
    <t>Cajueiro da Praia</t>
  </si>
  <si>
    <t>64222-000 a 64223-999</t>
  </si>
  <si>
    <t>Caldeirão Grande do Piauí</t>
  </si>
  <si>
    <t>64695-000 a 64699-999</t>
  </si>
  <si>
    <t>Campinas do Piauí</t>
  </si>
  <si>
    <t>64730-000 a 64739-999</t>
  </si>
  <si>
    <t>Campo Alegre do Fidalgo</t>
  </si>
  <si>
    <t>64767-000 a 64767-999</t>
  </si>
  <si>
    <t>Campo Grande do Piauí</t>
  </si>
  <si>
    <t>64578-000 a 64579-999</t>
  </si>
  <si>
    <t>Canavieira</t>
  </si>
  <si>
    <t>64833-000 a 64834-999</t>
  </si>
  <si>
    <t>Canto do Buriti</t>
  </si>
  <si>
    <t>64890-000 a 64892-999</t>
  </si>
  <si>
    <t>Capitão Gervásio Oliveira</t>
  </si>
  <si>
    <t>64763-000 a 64763-999</t>
  </si>
  <si>
    <t>Caridade do Piauí</t>
  </si>
  <si>
    <t>64590-000 a 64594-999</t>
  </si>
  <si>
    <t>Cocal dos Alves</t>
  </si>
  <si>
    <t>64238-000 a 64239-999</t>
  </si>
  <si>
    <t>Colônia do Gurguéia</t>
  </si>
  <si>
    <t>64885-000 a 64889-999</t>
  </si>
  <si>
    <t>Colônia do Piauí</t>
  </si>
  <si>
    <t>64516-000 a 64517-999</t>
  </si>
  <si>
    <t>Conceição do Canindé</t>
  </si>
  <si>
    <t>64740-000 a 64744-999</t>
  </si>
  <si>
    <t>Coronel José Dias</t>
  </si>
  <si>
    <t>64793-000 a 64794-999</t>
  </si>
  <si>
    <t>Cristino Castro</t>
  </si>
  <si>
    <t>64920-000 a 64922-999</t>
  </si>
  <si>
    <t>Curral Novo do Piauí</t>
  </si>
  <si>
    <t>64595-000 a 64599-999</t>
  </si>
  <si>
    <t>Dirceu Arcoverde</t>
  </si>
  <si>
    <t>64785-000 a 64787-999</t>
  </si>
  <si>
    <t>Dom Inocêncio</t>
  </si>
  <si>
    <t>64790-000 a 64792-999</t>
  </si>
  <si>
    <t>Eliseu Martins</t>
  </si>
  <si>
    <t>64880-000 a 64884-999</t>
  </si>
  <si>
    <t>Fartura do Piauí</t>
  </si>
  <si>
    <t>64788-000 a 64789-999</t>
  </si>
  <si>
    <t>Flores do Piauí</t>
  </si>
  <si>
    <t>64815-000 a 64819-999</t>
  </si>
  <si>
    <t>Floresta do Piauí</t>
  </si>
  <si>
    <t>64563-000 a 64564-999</t>
  </si>
  <si>
    <t>Francisco Macedo</t>
  </si>
  <si>
    <t>64683-000 a 64684-999</t>
  </si>
  <si>
    <t>Francisco Santos</t>
  </si>
  <si>
    <t>64645-000 a 64649-999</t>
  </si>
  <si>
    <t>Fronteiras</t>
  </si>
  <si>
    <t>64690-000 a 64694-999</t>
  </si>
  <si>
    <t>Geminiano</t>
  </si>
  <si>
    <t>64613-000 a 64614-999</t>
  </si>
  <si>
    <t>Guadalupe</t>
  </si>
  <si>
    <t>64840-000 a 64844-999</t>
  </si>
  <si>
    <t>Ilha Grande</t>
  </si>
  <si>
    <t>64224-000 a 64224-999</t>
  </si>
  <si>
    <t>Isaías Coelho</t>
  </si>
  <si>
    <t>64570-000 a 64572-999</t>
  </si>
  <si>
    <t>Itainópolis</t>
  </si>
  <si>
    <t>64565-000 a 64567-999</t>
  </si>
  <si>
    <t>Itaueira</t>
  </si>
  <si>
    <t>64820-000 a 64824-999</t>
  </si>
  <si>
    <t>Jacobina do Piauí</t>
  </si>
  <si>
    <t>64755-000 a 64757-999</t>
  </si>
  <si>
    <t>Jaicós</t>
  </si>
  <si>
    <t>64575-000 a 64577-999</t>
  </si>
  <si>
    <t>Jerumenha</t>
  </si>
  <si>
    <t>64830-000 a 64832-999</t>
  </si>
  <si>
    <t>João Costa</t>
  </si>
  <si>
    <t>64765-000 a 64766-999</t>
  </si>
  <si>
    <t>64782-000 a 64782-999</t>
  </si>
  <si>
    <t>Lagoa do Barro do Piauí</t>
  </si>
  <si>
    <t>64768-000 a 64769-999</t>
  </si>
  <si>
    <t>Landri Sales</t>
  </si>
  <si>
    <t>64850-000 a 64854-999</t>
  </si>
  <si>
    <t>Luís Correia</t>
  </si>
  <si>
    <t>64220-000 a 64221-999</t>
  </si>
  <si>
    <t>Manoel Emídio</t>
  </si>
  <si>
    <t>64875-000 a 64879-999</t>
  </si>
  <si>
    <t>Marcolândia</t>
  </si>
  <si>
    <t>64685-000 a 64687-999</t>
  </si>
  <si>
    <t>Marcos Parente</t>
  </si>
  <si>
    <t>64845-000 a 64849-999</t>
  </si>
  <si>
    <t>Massapê do Piauí</t>
  </si>
  <si>
    <t>64573-000 a 64574-999</t>
  </si>
  <si>
    <t>Monsenhor Hipólito</t>
  </si>
  <si>
    <t>64650-000 a 64654-999</t>
  </si>
  <si>
    <t>Murici dos Portelas</t>
  </si>
  <si>
    <t>64175-000 a 64177-999</t>
  </si>
  <si>
    <t>Nova Santa Rita</t>
  </si>
  <si>
    <t>64764-000 a 64764-999</t>
  </si>
  <si>
    <t>Padre Marcos</t>
  </si>
  <si>
    <t>64680-000 a 64682-999</t>
  </si>
  <si>
    <t>Paes Landim</t>
  </si>
  <si>
    <t>64710-000 a 64719-999</t>
  </si>
  <si>
    <t>Pajeú do Piauí</t>
  </si>
  <si>
    <t>64898-000 a 64899-999</t>
  </si>
  <si>
    <t>Palmeira do Piauí</t>
  </si>
  <si>
    <t>64925-000 a 64929-999</t>
  </si>
  <si>
    <t>Paquetá</t>
  </si>
  <si>
    <t>64618-000 a 64619-999</t>
  </si>
  <si>
    <t>Parnaíba</t>
  </si>
  <si>
    <t>64200-001 a 64219-999</t>
  </si>
  <si>
    <t>Patos do Piauí</t>
  </si>
  <si>
    <t>64580-000 a 64584-999</t>
  </si>
  <si>
    <t>Paulistana</t>
  </si>
  <si>
    <t>64750-000 a 64752-999</t>
  </si>
  <si>
    <t>Pavussu</t>
  </si>
  <si>
    <t>64838-000 a 64839-999</t>
  </si>
  <si>
    <t>Pedro Laurentino</t>
  </si>
  <si>
    <t>64728-000 a 64729-999</t>
  </si>
  <si>
    <t>Picos</t>
  </si>
  <si>
    <t>64600-001 a 64609-999</t>
  </si>
  <si>
    <t>Pio IX</t>
  </si>
  <si>
    <t>64660-000 a 64669-999</t>
  </si>
  <si>
    <t>Porto Alegre do Piauí</t>
  </si>
  <si>
    <t>64858-000 a 64859-999</t>
  </si>
  <si>
    <t>Queimada Nova</t>
  </si>
  <si>
    <t>64758-000 a 64759-999</t>
  </si>
  <si>
    <t>Ribeira do Piauí</t>
  </si>
  <si>
    <t>64725-000 a 64727-999</t>
  </si>
  <si>
    <t>Ribeiro Gonçalves</t>
  </si>
  <si>
    <t>64865-000 a 64867-999</t>
  </si>
  <si>
    <t>Rio Grande do Piauí</t>
  </si>
  <si>
    <t>64835-000 a 64837-999</t>
  </si>
  <si>
    <t>Santa Cruz do Piauí</t>
  </si>
  <si>
    <t>64545-000 a 64547-999</t>
  </si>
  <si>
    <t>Santana do Piauí</t>
  </si>
  <si>
    <t>64615-000 a 64617-999</t>
  </si>
  <si>
    <t>Santo Antônio de Lisboa</t>
  </si>
  <si>
    <t>64640-000 a 64644-999</t>
  </si>
  <si>
    <t>Santo Inácio do Piauí</t>
  </si>
  <si>
    <t>64560-000 a 64562-999</t>
  </si>
  <si>
    <t>Sebastião Leal</t>
  </si>
  <si>
    <t>64873-000 a 64874-999</t>
  </si>
  <si>
    <t>Simplício Mendes</t>
  </si>
  <si>
    <t>64700-000 a 64704-999</t>
  </si>
  <si>
    <t>Simões</t>
  </si>
  <si>
    <t>64585-000 a 64589-999</t>
  </si>
  <si>
    <t>Socorro do Piauí</t>
  </si>
  <si>
    <t>64720-000 a 64724-999</t>
  </si>
  <si>
    <t>Sussuapara</t>
  </si>
  <si>
    <t>64610-000 a 64611-999</t>
  </si>
  <si>
    <t>São Braz do Piauí</t>
  </si>
  <si>
    <t>64783-000 a 64784-999</t>
  </si>
  <si>
    <t>São Francisco de Assis do Piauí</t>
  </si>
  <si>
    <t>64745-000 a 64747-999</t>
  </si>
  <si>
    <t>São Francisco do Piauí</t>
  </si>
  <si>
    <t>64550-000 a 64554-999</t>
  </si>
  <si>
    <t>São José do Peixe</t>
  </si>
  <si>
    <t>64555-000 a 64557-999</t>
  </si>
  <si>
    <t>São João do Piauí</t>
  </si>
  <si>
    <t>64760-000 a 64762-999</t>
  </si>
  <si>
    <t>São Julião</t>
  </si>
  <si>
    <t>64670-000 a 64674-999</t>
  </si>
  <si>
    <t>São Lourenço do Piauí</t>
  </si>
  <si>
    <t>64778-000 a 64779-999</t>
  </si>
  <si>
    <t>São Luis do Piauí</t>
  </si>
  <si>
    <t>64638-000 a 64639-999</t>
  </si>
  <si>
    <t>São Miguel do Fidalgo</t>
  </si>
  <si>
    <t>64558-000 a 64559-999</t>
  </si>
  <si>
    <t>São Raimundo Nonato</t>
  </si>
  <si>
    <t>64770-000 a 64772-999</t>
  </si>
  <si>
    <t>Tamboril do Piauí</t>
  </si>
  <si>
    <t>64893-000 a 64894-999</t>
  </si>
  <si>
    <t>Uruçuí</t>
  </si>
  <si>
    <t>64860-000 a 64864-999</t>
  </si>
  <si>
    <t>Vera Mendes</t>
  </si>
  <si>
    <t>64568-000 a 64569-999</t>
  </si>
  <si>
    <t>Vila Nova do Piauí</t>
  </si>
  <si>
    <t>64688-000 a 64689-999</t>
  </si>
  <si>
    <t>Várzea Branca</t>
  </si>
  <si>
    <t>64773-000 a 64774-999</t>
  </si>
  <si>
    <t>64525-000 a 64527-999</t>
  </si>
  <si>
    <t>Wall Ferraz</t>
  </si>
  <si>
    <t>64548-000 a 64549-999</t>
  </si>
  <si>
    <t>Avelino Lopes</t>
  </si>
  <si>
    <t>64965-000 a 64967-999</t>
  </si>
  <si>
    <t>Barreiras do Piauí</t>
  </si>
  <si>
    <t>64990-000 a 64992-999</t>
  </si>
  <si>
    <t>64795-000 a 64797-999</t>
  </si>
  <si>
    <t>Corrente</t>
  </si>
  <si>
    <t>64980-000 a 64984-999</t>
  </si>
  <si>
    <t>Cristalândia do Piauí</t>
  </si>
  <si>
    <t>64995-000 a 64999-999</t>
  </si>
  <si>
    <t>Curimatá</t>
  </si>
  <si>
    <t>64960-000 a 64962-999</t>
  </si>
  <si>
    <t>Currais</t>
  </si>
  <si>
    <t>64905-000 a 64909-999</t>
  </si>
  <si>
    <t>Gilbués</t>
  </si>
  <si>
    <t>64930-000 a 64939-999</t>
  </si>
  <si>
    <t>Guaribas</t>
  </si>
  <si>
    <t>64798-000 a 64799-999</t>
  </si>
  <si>
    <t>Júlio Borges</t>
  </si>
  <si>
    <t>64963-000 a 64964-999</t>
  </si>
  <si>
    <t>Monte Alegre do Piauí</t>
  </si>
  <si>
    <t>64940-000 a 64944-999</t>
  </si>
  <si>
    <t>Morro Cabeça no Tempo</t>
  </si>
  <si>
    <t>64968-000 a 64969-999</t>
  </si>
  <si>
    <t>Parnaguá</t>
  </si>
  <si>
    <t>64970-000 a 64974-999</t>
  </si>
  <si>
    <t>Redenção do Gurguéia</t>
  </si>
  <si>
    <t>64915-000 a 64919-999</t>
  </si>
  <si>
    <t>Riacho Frio</t>
  </si>
  <si>
    <t>64975-000 a 64979-999</t>
  </si>
  <si>
    <t>64945-000 a 64959-999</t>
  </si>
  <si>
    <t>Sebastião Barros</t>
  </si>
  <si>
    <t>64985-000 a 64989-999</t>
  </si>
  <si>
    <t>São Gonçalo do Gurguéia</t>
  </si>
  <si>
    <t>64993-000 a 64994-999</t>
  </si>
  <si>
    <t>PR</t>
  </si>
  <si>
    <t>Curitiba</t>
  </si>
  <si>
    <t>80000-001 a 82999-999</t>
  </si>
  <si>
    <t>Almirante Tamandaré</t>
  </si>
  <si>
    <t>83500-001 a 83534-999</t>
  </si>
  <si>
    <t>Araucária</t>
  </si>
  <si>
    <t>83700-001 a 83729-999</t>
  </si>
  <si>
    <t>Bocaiúva do Sul</t>
  </si>
  <si>
    <t>83450-000 a 83479-999</t>
  </si>
  <si>
    <t>Campina Grande do Sul</t>
  </si>
  <si>
    <t>83430-000 a 83449-999</t>
  </si>
  <si>
    <t>Campo Largo</t>
  </si>
  <si>
    <t>83600-001 a 83649-999</t>
  </si>
  <si>
    <t>Campo Magro</t>
  </si>
  <si>
    <t>83535-000 a 83539-999</t>
  </si>
  <si>
    <t>Colombo</t>
  </si>
  <si>
    <t>83400-001 a 83419-999</t>
  </si>
  <si>
    <t>Fazenda Rio Grande</t>
  </si>
  <si>
    <t>83820-001 a 83839-999</t>
  </si>
  <si>
    <t>Itaperuçu</t>
  </si>
  <si>
    <t>83560-000 a 83569-999</t>
  </si>
  <si>
    <t>Pinhais</t>
  </si>
  <si>
    <t>83320-001 a 83349-999</t>
  </si>
  <si>
    <t>Piraquara</t>
  </si>
  <si>
    <t>83300-001 a 83319-999</t>
  </si>
  <si>
    <t>Quatro Barras</t>
  </si>
  <si>
    <t>83420-000 a 83429-999</t>
  </si>
  <si>
    <t>Rio Branco do Sul</t>
  </si>
  <si>
    <t>83540-000 a 83559-999</t>
  </si>
  <si>
    <t>São José dos Pinhais</t>
  </si>
  <si>
    <t>83000-001 a 83189-999</t>
  </si>
  <si>
    <t>Adrianópolis</t>
  </si>
  <si>
    <t>83490-000 a 83499-999</t>
  </si>
  <si>
    <t>Agudos do Sul</t>
  </si>
  <si>
    <t>83850-000 a 83859-999</t>
  </si>
  <si>
    <t>Antonina</t>
  </si>
  <si>
    <t>83370-000 a 83389-999</t>
  </si>
  <si>
    <t>Antônio Olinto</t>
  </si>
  <si>
    <t>83980-000 a 83999-999</t>
  </si>
  <si>
    <t>Balsa Nova</t>
  </si>
  <si>
    <t>83650-000 a 83699-999</t>
  </si>
  <si>
    <t>Campo do Tenente</t>
  </si>
  <si>
    <t>83870-000 a 83879-999</t>
  </si>
  <si>
    <t>Carambeí</t>
  </si>
  <si>
    <t>84145-000 a 84149-999</t>
  </si>
  <si>
    <t>Castro</t>
  </si>
  <si>
    <t>84160-001 a 84199-999</t>
  </si>
  <si>
    <t>Cerro Azul</t>
  </si>
  <si>
    <t>83570-000 a 83589-999</t>
  </si>
  <si>
    <t>Contenda</t>
  </si>
  <si>
    <t>83730-000 a 83749-999</t>
  </si>
  <si>
    <t>Doutor Ulysses</t>
  </si>
  <si>
    <t>83590-000 a 83599-999</t>
  </si>
  <si>
    <t>Fernandes Pinheiro</t>
  </si>
  <si>
    <t>84535-000 a 84549-999</t>
  </si>
  <si>
    <t>Guamiranga</t>
  </si>
  <si>
    <t>84435-000 a 84449-999</t>
  </si>
  <si>
    <t>Guaraqueçaba</t>
  </si>
  <si>
    <t>83390-000 a 83399-999</t>
  </si>
  <si>
    <t>Guaratuba</t>
  </si>
  <si>
    <t>83280-000 a 83299-999</t>
  </si>
  <si>
    <t>Imbaú</t>
  </si>
  <si>
    <t>84250-000 a 84259-999</t>
  </si>
  <si>
    <t>Imbituva</t>
  </si>
  <si>
    <t>84430-000 a 84434-999</t>
  </si>
  <si>
    <t>Inácio Martins</t>
  </si>
  <si>
    <t>85155-000 a 85159-999</t>
  </si>
  <si>
    <t>Ipiranga</t>
  </si>
  <si>
    <t>84450-000 a 84459-999</t>
  </si>
  <si>
    <t>Irati</t>
  </si>
  <si>
    <t>84500-000 a 84529-999</t>
  </si>
  <si>
    <t>Ivaí</t>
  </si>
  <si>
    <t>84460-000 a 84469-999</t>
  </si>
  <si>
    <t>Lapa</t>
  </si>
  <si>
    <t>83750-000 a 83799-999</t>
  </si>
  <si>
    <t>Mallet</t>
  </si>
  <si>
    <t>84570-000 a 84599-999</t>
  </si>
  <si>
    <t>Mandirituba</t>
  </si>
  <si>
    <t>83800-000 a 83819-999</t>
  </si>
  <si>
    <t>Matinhos</t>
  </si>
  <si>
    <t>83260-000 a 83279-999</t>
  </si>
  <si>
    <t>Morretes</t>
  </si>
  <si>
    <t>83350-000 a 83369-999</t>
  </si>
  <si>
    <t>Palmeira</t>
  </si>
  <si>
    <t>84130-000 a 84139-999</t>
  </si>
  <si>
    <t>Paranaguá</t>
  </si>
  <si>
    <t>83200-001 a 83254-999</t>
  </si>
  <si>
    <t>Paulo Frontin</t>
  </si>
  <si>
    <t>84635-000 a 84639-999</t>
  </si>
  <si>
    <t>Piraí do Sul</t>
  </si>
  <si>
    <t>84240-000 a 84249-999</t>
  </si>
  <si>
    <t>Piên</t>
  </si>
  <si>
    <t>83860-000 a 83869-999</t>
  </si>
  <si>
    <t>Ponta Grossa</t>
  </si>
  <si>
    <t>84000-001 a 84129-999</t>
  </si>
  <si>
    <t>Pontal do Paraná</t>
  </si>
  <si>
    <t>83255-000 a 83259-999</t>
  </si>
  <si>
    <t>Porto Amazonas</t>
  </si>
  <si>
    <t>84140-000 a 84144-999</t>
  </si>
  <si>
    <t>Prudentópolis</t>
  </si>
  <si>
    <t>84400-000 a 84429-999</t>
  </si>
  <si>
    <t>Quitandinha</t>
  </si>
  <si>
    <t>83840-000 a 83849-999</t>
  </si>
  <si>
    <t>Rebouças</t>
  </si>
  <si>
    <t>84550-000 a 84559-999</t>
  </si>
  <si>
    <t>Rio Azul</t>
  </si>
  <si>
    <t>84560-000 a 84569-999</t>
  </si>
  <si>
    <t>83880-000 a 83899-999</t>
  </si>
  <si>
    <t>São João do Triunfo</t>
  </si>
  <si>
    <t>84150-000 a 84159-999</t>
  </si>
  <si>
    <t>São Mateus do Sul</t>
  </si>
  <si>
    <t>83900-000 a 83979-999</t>
  </si>
  <si>
    <t>Teixeira Soares</t>
  </si>
  <si>
    <t>84530-000 a 84534-999</t>
  </si>
  <si>
    <t>Tibagi</t>
  </si>
  <si>
    <t>84300-000 a 84319-999</t>
  </si>
  <si>
    <t>Tijucas do Sul</t>
  </si>
  <si>
    <t>83190-000 a 83199-999</t>
  </si>
  <si>
    <t>Tunas do Paraná</t>
  </si>
  <si>
    <t>83480-000 a 83489-999</t>
  </si>
  <si>
    <t>Abatiá</t>
  </si>
  <si>
    <t>86460-000 a 86464-999</t>
  </si>
  <si>
    <t>Andirá</t>
  </si>
  <si>
    <t>86380-000 a 86384-999</t>
  </si>
  <si>
    <t>Apucarana</t>
  </si>
  <si>
    <t>86800-001 a 86819-999</t>
  </si>
  <si>
    <t>Arapongas</t>
  </si>
  <si>
    <t>86700-001 a 86719-999</t>
  </si>
  <si>
    <t>Arapoti</t>
  </si>
  <si>
    <t>84990-000 a 84999-999</t>
  </si>
  <si>
    <t>Arapuã</t>
  </si>
  <si>
    <t>86884-000 a 86889-999</t>
  </si>
  <si>
    <t>Ariranha do Ivaí</t>
  </si>
  <si>
    <t>86880-000 a 86883-999</t>
  </si>
  <si>
    <t>Assaí</t>
  </si>
  <si>
    <t>86220-000 a 86224-999</t>
  </si>
  <si>
    <t>Astorga</t>
  </si>
  <si>
    <t>86730-000 a 86749-999</t>
  </si>
  <si>
    <t>86360-000 a 86369-999</t>
  </si>
  <si>
    <t>Barbosa Ferraz</t>
  </si>
  <si>
    <t>86960-000 a 86969-999</t>
  </si>
  <si>
    <t>Barra do Jacaré</t>
  </si>
  <si>
    <t>86385-000 a 86389-999</t>
  </si>
  <si>
    <t>Bela Vista do Paraíso</t>
  </si>
  <si>
    <t>86130-000 a 86139-999</t>
  </si>
  <si>
    <t>Bituruna</t>
  </si>
  <si>
    <t>84640-000 a 84659-999</t>
  </si>
  <si>
    <t>Boa Ventura de São Roque</t>
  </si>
  <si>
    <t>85225-000 a 85229-999</t>
  </si>
  <si>
    <t>86940-000 a 86944-999</t>
  </si>
  <si>
    <t>Borrazópolis</t>
  </si>
  <si>
    <t>86925-000 a 86929-999</t>
  </si>
  <si>
    <t>Califórnia</t>
  </si>
  <si>
    <t>86820-000 a 86824-999</t>
  </si>
  <si>
    <t>Cambará</t>
  </si>
  <si>
    <t>86390-000 a 86399-999</t>
  </si>
  <si>
    <t>Cambira</t>
  </si>
  <si>
    <t>86890-000 a 86894-999</t>
  </si>
  <si>
    <t>Cambé</t>
  </si>
  <si>
    <t>86180-001 a 86199-999</t>
  </si>
  <si>
    <t>Campina do Simão</t>
  </si>
  <si>
    <t>85148-000 a 85149-999</t>
  </si>
  <si>
    <t>Candói</t>
  </si>
  <si>
    <t>85140-000 a 85144-999</t>
  </si>
  <si>
    <t>85160-000 a 85161-999</t>
  </si>
  <si>
    <t>Carlópolis</t>
  </si>
  <si>
    <t>86420-000 a 86429-999</t>
  </si>
  <si>
    <t>Chopinzinho</t>
  </si>
  <si>
    <t>85560-000 a 85564-999</t>
  </si>
  <si>
    <t>Clevelândia</t>
  </si>
  <si>
    <t>85530-000 a 85539-999</t>
  </si>
  <si>
    <t>Congonhinhas</t>
  </si>
  <si>
    <t>86320-000 a 86329-999</t>
  </si>
  <si>
    <t>Conselheiro Mairinck</t>
  </si>
  <si>
    <t>86480-000 a 86489-999</t>
  </si>
  <si>
    <t>Cornélio Procópio</t>
  </si>
  <si>
    <t>86300-000 a 86309-999</t>
  </si>
  <si>
    <t>Coronel Domingos Soares</t>
  </si>
  <si>
    <t>85557-000 a 85559-999</t>
  </si>
  <si>
    <t>Coronel Vivida</t>
  </si>
  <si>
    <t>85550-000 a 85554-999</t>
  </si>
  <si>
    <t>Cruz Machado</t>
  </si>
  <si>
    <t>84620-000 a 84629-999</t>
  </si>
  <si>
    <t>Cruzmaltina</t>
  </si>
  <si>
    <t>86855-000 a 86859-999</t>
  </si>
  <si>
    <t>Curiúva</t>
  </si>
  <si>
    <t>84280-000 a 84284-999</t>
  </si>
  <si>
    <t>Cândido de Abreu</t>
  </si>
  <si>
    <t>84470-000 a 84499-999</t>
  </si>
  <si>
    <t>Diamante do Sul</t>
  </si>
  <si>
    <t>85408-000 a 85409-999</t>
  </si>
  <si>
    <t>Espigão Alto do Iguaçu</t>
  </si>
  <si>
    <t>85465-000 a 85469-999</t>
  </si>
  <si>
    <t>Faxinal</t>
  </si>
  <si>
    <t>86840-000 a 86844-999</t>
  </si>
  <si>
    <t>Figueira</t>
  </si>
  <si>
    <t>84285-000 a 84289-999</t>
  </si>
  <si>
    <t>Foz do Jordão</t>
  </si>
  <si>
    <t>85145-000 a 85147-999</t>
  </si>
  <si>
    <t>Fênix</t>
  </si>
  <si>
    <t>86950-000 a 86959-999</t>
  </si>
  <si>
    <t>84660-000 a 84899-999</t>
  </si>
  <si>
    <t>Godoy Moreira</t>
  </si>
  <si>
    <t>86938-000 a 86939-999</t>
  </si>
  <si>
    <t>Goioxim</t>
  </si>
  <si>
    <t>85162-000 a 85167-999</t>
  </si>
  <si>
    <t>Grandes Rios</t>
  </si>
  <si>
    <t>86845-000 a 86847-999</t>
  </si>
  <si>
    <t>Guapirama</t>
  </si>
  <si>
    <t>86465-000 a 86469-999</t>
  </si>
  <si>
    <t>Guaraniaçu</t>
  </si>
  <si>
    <t>85400-000 a 85407-999</t>
  </si>
  <si>
    <t>Guarapuava</t>
  </si>
  <si>
    <t>85000-001 a 85139-999</t>
  </si>
  <si>
    <t>Honório Serpa</t>
  </si>
  <si>
    <t>85548-000 a 85549-999</t>
  </si>
  <si>
    <t>Ibaiti</t>
  </si>
  <si>
    <t>84900-000 a 84919-999</t>
  </si>
  <si>
    <t>Ibema</t>
  </si>
  <si>
    <t>85478-000 a 85484-999</t>
  </si>
  <si>
    <t>Ibiporã</t>
  </si>
  <si>
    <t>86200-000 a 86209-999</t>
  </si>
  <si>
    <t>Iguaraçu</t>
  </si>
  <si>
    <t>86750-000 a 86754-999</t>
  </si>
  <si>
    <t>Iretama</t>
  </si>
  <si>
    <t>87280-000 a 87289-999</t>
  </si>
  <si>
    <t>Itaguajé</t>
  </si>
  <si>
    <t>86670-000 a 86679-999</t>
  </si>
  <si>
    <t>Itambaracá</t>
  </si>
  <si>
    <t>86375-000 a 86379-999</t>
  </si>
  <si>
    <t>87175-000 a 87179-999</t>
  </si>
  <si>
    <t>Itapejara d'Oeste</t>
  </si>
  <si>
    <t>85580-000 a 85584-999</t>
  </si>
  <si>
    <t>Ivaiporã</t>
  </si>
  <si>
    <t>86870-000 a 86879-999</t>
  </si>
  <si>
    <t>Jaboti</t>
  </si>
  <si>
    <t>84930-000 a 84934-999</t>
  </si>
  <si>
    <t>Jacarezinho</t>
  </si>
  <si>
    <t>86400-000 a 86409-999</t>
  </si>
  <si>
    <t>Jaguapitã</t>
  </si>
  <si>
    <t>86610-000 a 86612-999</t>
  </si>
  <si>
    <t>Jaguariaíva</t>
  </si>
  <si>
    <t>84200-000 a 84219-999</t>
  </si>
  <si>
    <t>Jandaia do Sul</t>
  </si>
  <si>
    <t>86900-000 a 86909-999</t>
  </si>
  <si>
    <t>Japira</t>
  </si>
  <si>
    <t>84920-000 a 84924-999</t>
  </si>
  <si>
    <t>Jardim Alegre</t>
  </si>
  <si>
    <t>86860-000 a 86864-999</t>
  </si>
  <si>
    <t>Jataizinho</t>
  </si>
  <si>
    <t>86210-000 a 86219-999</t>
  </si>
  <si>
    <t>Joaquim Távora</t>
  </si>
  <si>
    <t>86455-000 a 86459-999</t>
  </si>
  <si>
    <t>Jundiaí do Sul</t>
  </si>
  <si>
    <t>86470-000 a 86479-999</t>
  </si>
  <si>
    <t>Kaloré</t>
  </si>
  <si>
    <t>86920-000 a 86924-999</t>
  </si>
  <si>
    <t>85275-000 a 85279-999</t>
  </si>
  <si>
    <t>Laranjeiras do Sul</t>
  </si>
  <si>
    <t>85300-001 a 85339-999</t>
  </si>
  <si>
    <t>Leópolis</t>
  </si>
  <si>
    <t>86330-000 a 86339-999</t>
  </si>
  <si>
    <t>Lidianópolis</t>
  </si>
  <si>
    <t>86865-000 a 86869-999</t>
  </si>
  <si>
    <t>Londrina</t>
  </si>
  <si>
    <t>86000-001 a 86124-999</t>
  </si>
  <si>
    <t>Luiziana</t>
  </si>
  <si>
    <t>87290-000 a 87299-999</t>
  </si>
  <si>
    <t>Lunardelli</t>
  </si>
  <si>
    <t>86935-000 a 86937-999</t>
  </si>
  <si>
    <t>Mandaguari</t>
  </si>
  <si>
    <t>86975-000 a 86989-999</t>
  </si>
  <si>
    <t>Mangueirinha</t>
  </si>
  <si>
    <t>85540-000 a 85547-999</t>
  </si>
  <si>
    <t>Manoel Ribas</t>
  </si>
  <si>
    <t>85260-000 a 85269-999</t>
  </si>
  <si>
    <t>Marialva</t>
  </si>
  <si>
    <t>86990-000 a 86999-999</t>
  </si>
  <si>
    <t>Marilândia do Sul</t>
  </si>
  <si>
    <t>86825-000 a 86827-999</t>
  </si>
  <si>
    <t>Maringá</t>
  </si>
  <si>
    <t>87000-001 a 87109-999</t>
  </si>
  <si>
    <t>Mariópolis</t>
  </si>
  <si>
    <t>85525-000 a 85529-999</t>
  </si>
  <si>
    <t>Marquinho</t>
  </si>
  <si>
    <t>85168-000 a 85169-999</t>
  </si>
  <si>
    <t>Marumbi</t>
  </si>
  <si>
    <t>86910-000 a 86919-999</t>
  </si>
  <si>
    <t>Mato Rico</t>
  </si>
  <si>
    <t>85240-000 a 85249-999</t>
  </si>
  <si>
    <t>Mauá da Serra</t>
  </si>
  <si>
    <t>86828-000 a 86829-999</t>
  </si>
  <si>
    <t>Munhoz de Melo</t>
  </si>
  <si>
    <t>86760-000 a 86769-999</t>
  </si>
  <si>
    <t>Nova América da Colina</t>
  </si>
  <si>
    <t>86230-000 a 86239-999</t>
  </si>
  <si>
    <t>86310-000 a 86314-999</t>
  </si>
  <si>
    <t>Nova Laranjeiras</t>
  </si>
  <si>
    <t>85350-000 a 85389-999</t>
  </si>
  <si>
    <t>Nova Santa Bárbara</t>
  </si>
  <si>
    <t>86250-000 a 86269-999</t>
  </si>
  <si>
    <t>Nova Tebas</t>
  </si>
  <si>
    <t>85250-000 a 85259-999</t>
  </si>
  <si>
    <t>Novo Itacolomi</t>
  </si>
  <si>
    <t>86895-000 a 86899-999</t>
  </si>
  <si>
    <t>Ortigueira</t>
  </si>
  <si>
    <t>84350-000 a 84399-999</t>
  </si>
  <si>
    <t>Paiçandu</t>
  </si>
  <si>
    <t>87140-000 a 87154-999</t>
  </si>
  <si>
    <t>Palmas</t>
  </si>
  <si>
    <t>85555-000 a 85556-999</t>
  </si>
  <si>
    <t>Palmital</t>
  </si>
  <si>
    <t>85270-000 a 85274-999</t>
  </si>
  <si>
    <t>Pato Branco</t>
  </si>
  <si>
    <t>85500-001 a 85514-999</t>
  </si>
  <si>
    <t>Paula Freitas</t>
  </si>
  <si>
    <t>84630-000 a 84634-999</t>
  </si>
  <si>
    <t>Pinhalão</t>
  </si>
  <si>
    <t>84925-000 a 84929-999</t>
  </si>
  <si>
    <t>Pinhão</t>
  </si>
  <si>
    <t>85170-000 a 85194-999</t>
  </si>
  <si>
    <t>Pitanga</t>
  </si>
  <si>
    <t>85200-000 a 85224-999</t>
  </si>
  <si>
    <t>Pitangueiras</t>
  </si>
  <si>
    <t>86613-000 a 86614-999</t>
  </si>
  <si>
    <t>Porto Barreiro</t>
  </si>
  <si>
    <t>85345-000 a 85349-999</t>
  </si>
  <si>
    <t>Porto Vitória</t>
  </si>
  <si>
    <t>84615-000 a 84619-999</t>
  </si>
  <si>
    <t>Prado Ferreira</t>
  </si>
  <si>
    <t>86618-000 a 86619-999</t>
  </si>
  <si>
    <t>Quatiguá</t>
  </si>
  <si>
    <t>86450-000 a 86454-999</t>
  </si>
  <si>
    <t>Quedas do Iguaçu</t>
  </si>
  <si>
    <t>85460-000 a 85464-999</t>
  </si>
  <si>
    <t>Rancho Alegre</t>
  </si>
  <si>
    <t>86290-000 a 86299-999</t>
  </si>
  <si>
    <t>Reserva</t>
  </si>
  <si>
    <t>84320-000 a 84344-999</t>
  </si>
  <si>
    <t>Reserva do Iguaçu</t>
  </si>
  <si>
    <t>85195-000 a 85199-999</t>
  </si>
  <si>
    <t>Ribeirão Claro</t>
  </si>
  <si>
    <t>86410-000 a 86419-999</t>
  </si>
  <si>
    <t>Ribeirão do Pinhal</t>
  </si>
  <si>
    <t>86490-000 a 86599-999</t>
  </si>
  <si>
    <t>Rio Bom</t>
  </si>
  <si>
    <t>86830-000 a 86839-999</t>
  </si>
  <si>
    <t>Rio Bonito do Iguaçu</t>
  </si>
  <si>
    <t>85340-000 a 85344-999</t>
  </si>
  <si>
    <t>Rio Branco do Ivaí</t>
  </si>
  <si>
    <t>86848-000 a 86849-999</t>
  </si>
  <si>
    <t>Rolândia</t>
  </si>
  <si>
    <t>86600-001 a 86609-999</t>
  </si>
  <si>
    <t>Roncador</t>
  </si>
  <si>
    <t>87320-000 a 87324-999</t>
  </si>
  <si>
    <t>Rosário do Ivaí</t>
  </si>
  <si>
    <t>86850-000 a 86854-999</t>
  </si>
  <si>
    <t>Sabáudia</t>
  </si>
  <si>
    <t>86720-000 a 86729-999</t>
  </si>
  <si>
    <t>Salto do Itararé</t>
  </si>
  <si>
    <t>84945-000 a 84949-999</t>
  </si>
  <si>
    <t>Santa Amélia</t>
  </si>
  <si>
    <t>86370-000 a 86374-999</t>
  </si>
  <si>
    <t>Santa Cecília do Pavão</t>
  </si>
  <si>
    <t>86225-000 a 86229-999</t>
  </si>
  <si>
    <t>Santa Maria do Oeste</t>
  </si>
  <si>
    <t>85230-000 a 85239-999</t>
  </si>
  <si>
    <t>Santa Mariana</t>
  </si>
  <si>
    <t>86350-000 a 86359-999</t>
  </si>
  <si>
    <t>Santana do Itararé</t>
  </si>
  <si>
    <t>84970-000 a 84979-999</t>
  </si>
  <si>
    <t>Santo Antônio da Platina</t>
  </si>
  <si>
    <t>86430-000 a 86449-999</t>
  </si>
  <si>
    <t>Santo Antônio do Paraíso</t>
  </si>
  <si>
    <t>86315-000 a 86319-999</t>
  </si>
  <si>
    <t>Santo Antônio do Sudoeste</t>
  </si>
  <si>
    <t>85710-000 a 85726-999</t>
  </si>
  <si>
    <t>Sapopema</t>
  </si>
  <si>
    <t>84290-000 a 84299-999</t>
  </si>
  <si>
    <t>Sarandi</t>
  </si>
  <si>
    <t>87110-001 a 87119-999</t>
  </si>
  <si>
    <t>Saudade do Iguaçu</t>
  </si>
  <si>
    <t>85568-000 a 85569-999</t>
  </si>
  <si>
    <t>Sengés</t>
  </si>
  <si>
    <t>84220-000 a 84239-999</t>
  </si>
  <si>
    <t>Sertaneja</t>
  </si>
  <si>
    <t>86340-000 a 86349-999</t>
  </si>
  <si>
    <t>Sertanópolis</t>
  </si>
  <si>
    <t>86170-000 a 86179-999</t>
  </si>
  <si>
    <t>Siqueira Campos</t>
  </si>
  <si>
    <t>84940-000 a 84944-999</t>
  </si>
  <si>
    <t>Sulina</t>
  </si>
  <si>
    <t>85565-000 a 85567-999</t>
  </si>
  <si>
    <t>São Jerônimo da Serra</t>
  </si>
  <si>
    <t>86270-000 a 86279-999</t>
  </si>
  <si>
    <t>São José da Boa Vista</t>
  </si>
  <si>
    <t>84980-000 a 84989-999</t>
  </si>
  <si>
    <t>85570-000 a 85574-999</t>
  </si>
  <si>
    <t>São João do Ivaí</t>
  </si>
  <si>
    <t>86930-000 a 86934-999</t>
  </si>
  <si>
    <t>São Pedro do Ivaí</t>
  </si>
  <si>
    <t>86945-000 a 86949-999</t>
  </si>
  <si>
    <t>São Sebastião da Amoreira</t>
  </si>
  <si>
    <t>86240-000 a 86249-999</t>
  </si>
  <si>
    <t>Tamarana</t>
  </si>
  <si>
    <t>86125-000 a 86129-999</t>
  </si>
  <si>
    <t>Telêmaco Borba</t>
  </si>
  <si>
    <t>84260-001 a 84279-999</t>
  </si>
  <si>
    <t>Tomazina</t>
  </si>
  <si>
    <t>84935-000 a 84939-999</t>
  </si>
  <si>
    <t>Turvo</t>
  </si>
  <si>
    <t>85150-000 a 85154-999</t>
  </si>
  <si>
    <t>União da Vitória</t>
  </si>
  <si>
    <t>84600-001 a 84614-999</t>
  </si>
  <si>
    <t>Uraí</t>
  </si>
  <si>
    <t>86280-000 a 86289-999</t>
  </si>
  <si>
    <t>Ventania</t>
  </si>
  <si>
    <t>84345-000 a 84349-999</t>
  </si>
  <si>
    <t>Virmond</t>
  </si>
  <si>
    <t>85390-000 a 85399-999</t>
  </si>
  <si>
    <t>84950-000 a 84969-999</t>
  </si>
  <si>
    <t>Ângulo</t>
  </si>
  <si>
    <t>86755-000 a 86759-999</t>
  </si>
  <si>
    <t>Altamira do Paraná</t>
  </si>
  <si>
    <t>85280-000 a 85299-999</t>
  </si>
  <si>
    <t>Alto Paraná</t>
  </si>
  <si>
    <t>87750-000 a 87759-999</t>
  </si>
  <si>
    <t>Alto Paraíso</t>
  </si>
  <si>
    <t>87528-000 a 87529-999</t>
  </si>
  <si>
    <t>Alto Piquiri</t>
  </si>
  <si>
    <t>87580-000 a 87594-999</t>
  </si>
  <si>
    <t>Altônia</t>
  </si>
  <si>
    <t>87550-000 a 87554-999</t>
  </si>
  <si>
    <t>Alvorada do Sul</t>
  </si>
  <si>
    <t>86150-000 a 86159-999</t>
  </si>
  <si>
    <t>Amaporã</t>
  </si>
  <si>
    <t>87850-000 a 87859-999</t>
  </si>
  <si>
    <t>Ampére</t>
  </si>
  <si>
    <t>85640-000 a 85649-999</t>
  </si>
  <si>
    <t>Anahy</t>
  </si>
  <si>
    <t>85425-000 a 85429-999</t>
  </si>
  <si>
    <t>87260-000 a 87264-999</t>
  </si>
  <si>
    <t>Assis Chateaubriand</t>
  </si>
  <si>
    <t>85935-000 a 85939-999</t>
  </si>
  <si>
    <t>87630-000 a 87639-999</t>
  </si>
  <si>
    <t>Barracão</t>
  </si>
  <si>
    <t>85700-000 a 85707-999</t>
  </si>
  <si>
    <t>Bela Vista da Caroba</t>
  </si>
  <si>
    <t>85745-000 a 85749-999</t>
  </si>
  <si>
    <t>87390-000 a 87394-999</t>
  </si>
  <si>
    <t>Boa Esperança do Iguaçu</t>
  </si>
  <si>
    <t>85680-000 a 85684-999</t>
  </si>
  <si>
    <t>Boa Vista da Aparecida</t>
  </si>
  <si>
    <t>85780-000 a 85789-999</t>
  </si>
  <si>
    <t>Bom Jesus do Sul</t>
  </si>
  <si>
    <t>85708-000 a 85709-999</t>
  </si>
  <si>
    <t>Bom Sucesso do Sul</t>
  </si>
  <si>
    <t>85515-000 a 85519-999</t>
  </si>
  <si>
    <t>Braganey</t>
  </si>
  <si>
    <t>85430-000 a 85439-999</t>
  </si>
  <si>
    <t>Brasilândia do Sul</t>
  </si>
  <si>
    <t>87595-000 a 87599-999</t>
  </si>
  <si>
    <t>Cafeara</t>
  </si>
  <si>
    <t>86640-000 a 86649-999</t>
  </si>
  <si>
    <t>Cafelândia</t>
  </si>
  <si>
    <t>85415-000 a 85419-999</t>
  </si>
  <si>
    <t>Cafezal do Sul</t>
  </si>
  <si>
    <t>87565-000 a 87569-999</t>
  </si>
  <si>
    <t>Campina da Lagoa</t>
  </si>
  <si>
    <t>87345-000 a 87354-999</t>
  </si>
  <si>
    <t>Campo Bonito</t>
  </si>
  <si>
    <t>85450-000 a 85459-999</t>
  </si>
  <si>
    <t>Campo Mourão</t>
  </si>
  <si>
    <t>87300-001 a 87319-999</t>
  </si>
  <si>
    <t>85760-000 a 85769-999</t>
  </si>
  <si>
    <t>Capitão Leônidas Marques</t>
  </si>
  <si>
    <t>85790-000 a 85794-999</t>
  </si>
  <si>
    <t>85800-001 a 85824-999</t>
  </si>
  <si>
    <t>Catanduvas</t>
  </si>
  <si>
    <t>85470-000 a 85477-999</t>
  </si>
  <si>
    <t>Centenário do Sul</t>
  </si>
  <si>
    <t>86630-000 a 86634-999</t>
  </si>
  <si>
    <t>Cianorte</t>
  </si>
  <si>
    <t>87200-001 a 87214-999</t>
  </si>
  <si>
    <t>Cidade Gaúcha</t>
  </si>
  <si>
    <t>87820-000 a 87829-999</t>
  </si>
  <si>
    <t>Colorado</t>
  </si>
  <si>
    <t>86690-000 a 86699-999</t>
  </si>
  <si>
    <t>Corbélia</t>
  </si>
  <si>
    <t>85420-000 a 85422-999</t>
  </si>
  <si>
    <t>Corumbataí do Sul</t>
  </si>
  <si>
    <t>86970-000 a 86974-999</t>
  </si>
  <si>
    <t>Cruzeiro do Iguaçu</t>
  </si>
  <si>
    <t>85598-000 a 85599-999</t>
  </si>
  <si>
    <t>Cruzeiro do Oeste</t>
  </si>
  <si>
    <t>87400-000 a 87429-999</t>
  </si>
  <si>
    <t>87650-000 a 87659-999</t>
  </si>
  <si>
    <t>Céu Azul</t>
  </si>
  <si>
    <t>85840-000 a 85844-999</t>
  </si>
  <si>
    <t>Diamante do Norte</t>
  </si>
  <si>
    <t>87990-000 a 87999-999</t>
  </si>
  <si>
    <t>Diamante d'Oeste</t>
  </si>
  <si>
    <t>85896-000 a 85897-999</t>
  </si>
  <si>
    <t>Dois Vizinhos</t>
  </si>
  <si>
    <t>85660-000 a 85669-999</t>
  </si>
  <si>
    <t>87485-000 a 87489-999</t>
  </si>
  <si>
    <t>Doutor Camargo</t>
  </si>
  <si>
    <t>87155-000 a 87159-999</t>
  </si>
  <si>
    <t>Engenheiro Beltrão</t>
  </si>
  <si>
    <t>87270-000 a 87279-999</t>
  </si>
  <si>
    <t>Entre Rios do Oeste</t>
  </si>
  <si>
    <t>85988-000 a 85989-999</t>
  </si>
  <si>
    <t>Enéas Marques</t>
  </si>
  <si>
    <t>85630-000 a 85634-999</t>
  </si>
  <si>
    <t>Esperança Nova</t>
  </si>
  <si>
    <t>87545-000 a 87549-999</t>
  </si>
  <si>
    <t>Farol</t>
  </si>
  <si>
    <t>87325-000 a 87329-999</t>
  </si>
  <si>
    <t>Flor da Serra do Sul</t>
  </si>
  <si>
    <t>85618-000 a 85619-999</t>
  </si>
  <si>
    <t>Floraí</t>
  </si>
  <si>
    <t>87185-000 a 87189-999</t>
  </si>
  <si>
    <t>87120-000 a 87129-999</t>
  </si>
  <si>
    <t>Florestópolis</t>
  </si>
  <si>
    <t>86165-000 a 86169-999</t>
  </si>
  <si>
    <t>Flórida</t>
  </si>
  <si>
    <t>86780-000 a 86789-999</t>
  </si>
  <si>
    <t>Formosa do Oeste</t>
  </si>
  <si>
    <t>85830-000 a 85832-999</t>
  </si>
  <si>
    <t>Foz do Iguaçu</t>
  </si>
  <si>
    <t>85850-001 a 85874-999</t>
  </si>
  <si>
    <t>Francisco Alves</t>
  </si>
  <si>
    <t>87570-000 a 87579-999</t>
  </si>
  <si>
    <t>Francisco Beltrão</t>
  </si>
  <si>
    <t>85600-001 a 85609-999</t>
  </si>
  <si>
    <t>Goioerê</t>
  </si>
  <si>
    <t>87360-000 a 87364-999</t>
  </si>
  <si>
    <t>Guairaçá</t>
  </si>
  <si>
    <t>87880-000 a 87889-999</t>
  </si>
  <si>
    <t>Guaporema</t>
  </si>
  <si>
    <t>87810-000 a 87819-999</t>
  </si>
  <si>
    <t>Guaraci</t>
  </si>
  <si>
    <t>86620-000 a 86629-999</t>
  </si>
  <si>
    <t>Guaíra</t>
  </si>
  <si>
    <t>85980-000 a 85987-999</t>
  </si>
  <si>
    <t>Icaraíma</t>
  </si>
  <si>
    <t>87530-000 a 87534-999</t>
  </si>
  <si>
    <t>85423-000 a 85424-999</t>
  </si>
  <si>
    <t>87670-000 a 87679-999</t>
  </si>
  <si>
    <t>87235-000 a 87239-999</t>
  </si>
  <si>
    <t>Iporã</t>
  </si>
  <si>
    <t>87560-000 a 87564-999</t>
  </si>
  <si>
    <t>Iracema do Oeste</t>
  </si>
  <si>
    <t>85833-000 a 85834-999</t>
  </si>
  <si>
    <t>Itaipulândia</t>
  </si>
  <si>
    <t>85880-000 a 85883-999</t>
  </si>
  <si>
    <t>Itaúna do Sul</t>
  </si>
  <si>
    <t>87980-000 a 87989-999</t>
  </si>
  <si>
    <t>Ivatuba</t>
  </si>
  <si>
    <t>87130-000 a 87139-999</t>
  </si>
  <si>
    <t>Ivaté</t>
  </si>
  <si>
    <t>87525-000 a 87527-999</t>
  </si>
  <si>
    <t>Janiópolis</t>
  </si>
  <si>
    <t>87380-000 a 87389-999</t>
  </si>
  <si>
    <t>87225-000 a 87229-999</t>
  </si>
  <si>
    <t>Jardim Olinda</t>
  </si>
  <si>
    <t>87690-000 a 87699-999</t>
  </si>
  <si>
    <t>Jesuítas</t>
  </si>
  <si>
    <t>85835-000 a 85839-999</t>
  </si>
  <si>
    <t>Juranda</t>
  </si>
  <si>
    <t>87355-000 a 87359-999</t>
  </si>
  <si>
    <t>87230-000 a 87234-999</t>
  </si>
  <si>
    <t>Lindoeste</t>
  </si>
  <si>
    <t>85826-000 a 85829-999</t>
  </si>
  <si>
    <t>Loanda</t>
  </si>
  <si>
    <t>87900-000 a 87909-999</t>
  </si>
  <si>
    <t>Lobato</t>
  </si>
  <si>
    <t>86790-000 a 86799-999</t>
  </si>
  <si>
    <t>Lupionópolis</t>
  </si>
  <si>
    <t>86635-000 a 86639-999</t>
  </si>
  <si>
    <t>Mamborê</t>
  </si>
  <si>
    <t>87340-000 a 87344-999</t>
  </si>
  <si>
    <t>Mandaguaçu</t>
  </si>
  <si>
    <t>87160-000 a 87169-999</t>
  </si>
  <si>
    <t>Manfrinópolis</t>
  </si>
  <si>
    <t>85628-000 a 85629-999</t>
  </si>
  <si>
    <t>Marechal Cândido Rondon</t>
  </si>
  <si>
    <t>85960-000 a 85979-999</t>
  </si>
  <si>
    <t>Maria Helena</t>
  </si>
  <si>
    <t>87480-000 a 87484-999</t>
  </si>
  <si>
    <t>Marilena</t>
  </si>
  <si>
    <t>87960-000 a 87969-999</t>
  </si>
  <si>
    <t>Mariluz</t>
  </si>
  <si>
    <t>87470-000 a 87479-999</t>
  </si>
  <si>
    <t>Maripá</t>
  </si>
  <si>
    <t>85955-000 a 85959-999</t>
  </si>
  <si>
    <t>Marmeleiro</t>
  </si>
  <si>
    <t>85615-000 a 85617-999</t>
  </si>
  <si>
    <t>Matelândia</t>
  </si>
  <si>
    <t>85887-000 a 85887-999</t>
  </si>
  <si>
    <t>Medianeira</t>
  </si>
  <si>
    <t>85884-000 a 85884-999</t>
  </si>
  <si>
    <t>Mercedes</t>
  </si>
  <si>
    <t>85998-000 a 85999-999</t>
  </si>
  <si>
    <t>87840-000 a 87849-999</t>
  </si>
  <si>
    <t>Miraselva</t>
  </si>
  <si>
    <t>86615-000 a 86617-999</t>
  </si>
  <si>
    <t>Missal</t>
  </si>
  <si>
    <t>85890-000 a 85891-999</t>
  </si>
  <si>
    <t>Moreira Sales</t>
  </si>
  <si>
    <t>87370-000 a 87379-999</t>
  </si>
  <si>
    <t>Nossa Senhora das Graças</t>
  </si>
  <si>
    <t>86680-000 a 86689-999</t>
  </si>
  <si>
    <t>Nova Aliança do Ivaí</t>
  </si>
  <si>
    <t>87790-000 a 87799-999</t>
  </si>
  <si>
    <t>85410-000 a 85414-999</t>
  </si>
  <si>
    <t>Nova Cantu</t>
  </si>
  <si>
    <t>87330-000 a 87339-999</t>
  </si>
  <si>
    <t>Nova Esperança</t>
  </si>
  <si>
    <t>87600-000 a 87629-999</t>
  </si>
  <si>
    <t>Nova Esperança do Sudoeste</t>
  </si>
  <si>
    <t>85635-000 a 85639-999</t>
  </si>
  <si>
    <t>Nova Londrina</t>
  </si>
  <si>
    <t>87970-000 a 87979-999</t>
  </si>
  <si>
    <t>87490-000 a 87499-999</t>
  </si>
  <si>
    <t>Nova Prata do Iguaçu</t>
  </si>
  <si>
    <t>85685-000 a 85699-999</t>
  </si>
  <si>
    <t>Nova Santa Rosa</t>
  </si>
  <si>
    <t>85930-000 a 85932-999</t>
  </si>
  <si>
    <t>Ourizona</t>
  </si>
  <si>
    <t>87170-000 a 87174-999</t>
  </si>
  <si>
    <t>Ouro Verde do Oeste</t>
  </si>
  <si>
    <t>85933-000 a 85934-999</t>
  </si>
  <si>
    <t>Palotina</t>
  </si>
  <si>
    <t>85950-000 a 85954-999</t>
  </si>
  <si>
    <t>Paranacity</t>
  </si>
  <si>
    <t>87660-000 a 87669-999</t>
  </si>
  <si>
    <t>Paranapoema</t>
  </si>
  <si>
    <t>87680-000 a 87689-999</t>
  </si>
  <si>
    <t>Paranavaí</t>
  </si>
  <si>
    <t>87700-001 a 87729-999</t>
  </si>
  <si>
    <t>Paraíso do Norte</t>
  </si>
  <si>
    <t>87780-000 a 87789-999</t>
  </si>
  <si>
    <t>Pato Bragado</t>
  </si>
  <si>
    <t>85948-000 a 85949-999</t>
  </si>
  <si>
    <t>Peabiru</t>
  </si>
  <si>
    <t>87250-000 a 87259-999</t>
  </si>
  <si>
    <t>Perobal</t>
  </si>
  <si>
    <t>87538-000 a 87539-999</t>
  </si>
  <si>
    <t>Pinhal de São Bento</t>
  </si>
  <si>
    <t>85727-000 a 85729-999</t>
  </si>
  <si>
    <t>Planaltina do Paraná</t>
  </si>
  <si>
    <t>87860-000 a 87879-999</t>
  </si>
  <si>
    <t>85750-000 a 85759-999</t>
  </si>
  <si>
    <t>Porecatu</t>
  </si>
  <si>
    <t>86160-000 a 86164-999</t>
  </si>
  <si>
    <t>Porto Rico</t>
  </si>
  <si>
    <t>87950-000 a 87954-999</t>
  </si>
  <si>
    <t>Pranchita</t>
  </si>
  <si>
    <t>85730-000 a 85739-999</t>
  </si>
  <si>
    <t>Presidente Castelo Branco</t>
  </si>
  <si>
    <t>87180-000 a 87184-999</t>
  </si>
  <si>
    <t>Primeiro de Maio</t>
  </si>
  <si>
    <t>86140-000 a 86149-999</t>
  </si>
  <si>
    <t>Pérola</t>
  </si>
  <si>
    <t>87540-000 a 87544-999</t>
  </si>
  <si>
    <t>Pérola d'Oeste</t>
  </si>
  <si>
    <t>85740-000 a 85744-999</t>
  </si>
  <si>
    <t>Quarto Centenário</t>
  </si>
  <si>
    <t>87365-000 a 87369-999</t>
  </si>
  <si>
    <t>Quatro Pontes</t>
  </si>
  <si>
    <t>85940-000 a 85944-999</t>
  </si>
  <si>
    <t>Querência do Norte</t>
  </si>
  <si>
    <t>87930-000 a 87949-999</t>
  </si>
  <si>
    <t>Quinta do Sol</t>
  </si>
  <si>
    <t>87265-000 a 87269-999</t>
  </si>
  <si>
    <t>Ramilândia</t>
  </si>
  <si>
    <t>85888-000 a 85889-999</t>
  </si>
  <si>
    <t>Rancho Alegre d'Oeste</t>
  </si>
  <si>
    <t>87395-000 a 87399-999</t>
  </si>
  <si>
    <t>Realeza</t>
  </si>
  <si>
    <t>85770-000 a 85779-999</t>
  </si>
  <si>
    <t>Renascença</t>
  </si>
  <si>
    <t>85610-000 a 85614-999</t>
  </si>
  <si>
    <t>Rondon</t>
  </si>
  <si>
    <t>87800-000 a 87809-999</t>
  </si>
  <si>
    <t>Salgado Filho</t>
  </si>
  <si>
    <t>85620-000 a 85627-999</t>
  </si>
  <si>
    <t>Salto do Lontra</t>
  </si>
  <si>
    <t>85670-000 a 85679-999</t>
  </si>
  <si>
    <t>Santa Cruz de Monte Castelo</t>
  </si>
  <si>
    <t>87920-000 a 87929-999</t>
  </si>
  <si>
    <t>Santa Fé</t>
  </si>
  <si>
    <t>86770-000 a 86779-999</t>
  </si>
  <si>
    <t>85892-000 a 85895-999</t>
  </si>
  <si>
    <t>86660-000 a 86669-999</t>
  </si>
  <si>
    <t>Santa Isabel do Ivaí</t>
  </si>
  <si>
    <t>87910-000 a 87914-999</t>
  </si>
  <si>
    <t>Santa Izabel do Oeste</t>
  </si>
  <si>
    <t>85650-000 a 85659-999</t>
  </si>
  <si>
    <t>Santa Lúcia</t>
  </si>
  <si>
    <t>85795-000 a 85799-999</t>
  </si>
  <si>
    <t>Santa Mônica</t>
  </si>
  <si>
    <t>87915-000 a 87919-999</t>
  </si>
  <si>
    <t>Santa Tereza do Oeste</t>
  </si>
  <si>
    <t>85825-000 a 85825-999</t>
  </si>
  <si>
    <t>Santa Terezinha de Itaipu</t>
  </si>
  <si>
    <t>85875-000 a 85876-999</t>
  </si>
  <si>
    <t>Santo Antônio do Caiuá</t>
  </si>
  <si>
    <t>87730-000 a 87739-999</t>
  </si>
  <si>
    <t>Santo Inácio</t>
  </si>
  <si>
    <t>86650-000 a 86659-999</t>
  </si>
  <si>
    <t>Serranópolis do Iguaçu</t>
  </si>
  <si>
    <t>85885-000 a 85886-999</t>
  </si>
  <si>
    <t>São Carlos do Ivaí</t>
  </si>
  <si>
    <t>87770-000 a 87779-999</t>
  </si>
  <si>
    <t>São Jorge do Ivaí</t>
  </si>
  <si>
    <t>87190-000 a 87199-999</t>
  </si>
  <si>
    <t>São Jorge do Patrocínio</t>
  </si>
  <si>
    <t>87555-000 a 87559-999</t>
  </si>
  <si>
    <t>São Jorge D'Oeste</t>
  </si>
  <si>
    <t>85575-000 a 85579-999</t>
  </si>
  <si>
    <t>São José das Palmeiras</t>
  </si>
  <si>
    <t>85898-000 a 85899-999</t>
  </si>
  <si>
    <t>São João do Caiuá</t>
  </si>
  <si>
    <t>87740-000 a 87749-999</t>
  </si>
  <si>
    <t>São Manoel do Paraná</t>
  </si>
  <si>
    <t>87215-000 a 87219-999</t>
  </si>
  <si>
    <t>São Miguel do Iguaçu</t>
  </si>
  <si>
    <t>85877-000 a 85879-999</t>
  </si>
  <si>
    <t>São Pedro do Iguaçu</t>
  </si>
  <si>
    <t>85929-000 a 85929-999</t>
  </si>
  <si>
    <t>São Pedro do Paraná</t>
  </si>
  <si>
    <t>87955-000 a 87959-999</t>
  </si>
  <si>
    <t>São Tomé</t>
  </si>
  <si>
    <t>87220-000 a 87224-999</t>
  </si>
  <si>
    <t>Tamboara</t>
  </si>
  <si>
    <t>87760-000 a 87769-999</t>
  </si>
  <si>
    <t>Tapejara</t>
  </si>
  <si>
    <t>87430-000 a 87449-999</t>
  </si>
  <si>
    <t>87830-000 a 87839-999</t>
  </si>
  <si>
    <t>Terra Boa</t>
  </si>
  <si>
    <t>87240-000 a 87249-999</t>
  </si>
  <si>
    <t>Terra Rica</t>
  </si>
  <si>
    <t>87890-000 a 87899-999</t>
  </si>
  <si>
    <t>Terra Roxa</t>
  </si>
  <si>
    <t>85990-000 a 85997-999</t>
  </si>
  <si>
    <t>85900-001 a 85928-999</t>
  </si>
  <si>
    <t>Três Barras do Paraná</t>
  </si>
  <si>
    <t>85485-000 a 85499-999</t>
  </si>
  <si>
    <t>Tuneiras do Oeste</t>
  </si>
  <si>
    <t>87450-000 a 87469-999</t>
  </si>
  <si>
    <t>Tupãssi</t>
  </si>
  <si>
    <t>85945-000 a 85947-999</t>
  </si>
  <si>
    <t>Ubiratã</t>
  </si>
  <si>
    <t>85440-000 a 85449-999</t>
  </si>
  <si>
    <t>Umuarama</t>
  </si>
  <si>
    <t>87500-001 a 87524-999</t>
  </si>
  <si>
    <t>Uniflor</t>
  </si>
  <si>
    <t>87640-000 a 87649-999</t>
  </si>
  <si>
    <t>Vera Cruz do Oeste</t>
  </si>
  <si>
    <t>85845-000 a 85849-999</t>
  </si>
  <si>
    <t>Verê</t>
  </si>
  <si>
    <t>85585-000 a 85597-999</t>
  </si>
  <si>
    <t>Vitorino</t>
  </si>
  <si>
    <t>85520-000 a 85524-999</t>
  </si>
  <si>
    <t>Xambrê</t>
  </si>
  <si>
    <t>87535-000 a 87537-999</t>
  </si>
  <si>
    <t>20000-001 a 23799-999</t>
  </si>
  <si>
    <t>Belford Roxo</t>
  </si>
  <si>
    <t>26100-001 a 26199-999</t>
  </si>
  <si>
    <t>Duque de Caxias</t>
  </si>
  <si>
    <t>25000-001 a 25499-999</t>
  </si>
  <si>
    <t>26550-001 a 26599-999</t>
  </si>
  <si>
    <t>Nilópolis</t>
  </si>
  <si>
    <t>26500-001 a 26549-999</t>
  </si>
  <si>
    <t>Niterói</t>
  </si>
  <si>
    <t>24000-001 a 24399-999</t>
  </si>
  <si>
    <t>Nova Iguaçu</t>
  </si>
  <si>
    <t>26000-001 a 26099-999</t>
  </si>
  <si>
    <t>São Gonçalo</t>
  </si>
  <si>
    <t>24400-001 a 24799-999</t>
  </si>
  <si>
    <t>São João de Meriti</t>
  </si>
  <si>
    <t>25500-001 a 25599-999</t>
  </si>
  <si>
    <t>Araruama</t>
  </si>
  <si>
    <t>28970-000 a 28989-999</t>
  </si>
  <si>
    <t>Areal</t>
  </si>
  <si>
    <t>25845-000 a 25849-999</t>
  </si>
  <si>
    <t>Barra do Piraí</t>
  </si>
  <si>
    <t>27000-001 a 27174-999</t>
  </si>
  <si>
    <t>Cachoeiras de Macacu</t>
  </si>
  <si>
    <t>28680-000 a 28699-999</t>
  </si>
  <si>
    <t>Engenheiro Paulo de Frontin</t>
  </si>
  <si>
    <t>26650-000 a 26699-999</t>
  </si>
  <si>
    <t>Guapimirim</t>
  </si>
  <si>
    <t>25940-001 a 25949-999</t>
  </si>
  <si>
    <t>Iguaba Grande</t>
  </si>
  <si>
    <t>28960-000 a 28969-999</t>
  </si>
  <si>
    <t>Itaboraí</t>
  </si>
  <si>
    <t>24800-001 a 24889-999</t>
  </si>
  <si>
    <t>Itaguaí</t>
  </si>
  <si>
    <t>23800-001 a 23859-999</t>
  </si>
  <si>
    <t>Japeri</t>
  </si>
  <si>
    <t>26400-001 a 26499-999</t>
  </si>
  <si>
    <t>Magé</t>
  </si>
  <si>
    <t>25900-001 a 25939-999</t>
  </si>
  <si>
    <t>Mangaratiba</t>
  </si>
  <si>
    <t>23860-000 a 23889-999</t>
  </si>
  <si>
    <t>Maricá</t>
  </si>
  <si>
    <t>24900-001 a 24999-999</t>
  </si>
  <si>
    <t>Mendes</t>
  </si>
  <si>
    <t>26700-000 a 26899-999</t>
  </si>
  <si>
    <t>Miguel Pereira</t>
  </si>
  <si>
    <t>26900-000 a 26949-999</t>
  </si>
  <si>
    <t>Paracambi</t>
  </si>
  <si>
    <t>26600-000 a 26649-999</t>
  </si>
  <si>
    <t>Paty do Alferes</t>
  </si>
  <si>
    <t>26950-000 a 26999-999</t>
  </si>
  <si>
    <t>Petrópolis</t>
  </si>
  <si>
    <t>25600-001 a 25779-999</t>
  </si>
  <si>
    <t>Piraí</t>
  </si>
  <si>
    <t>27175-000 a 27196-999</t>
  </si>
  <si>
    <t>Queimados</t>
  </si>
  <si>
    <t>26300-001 a 26399-999</t>
  </si>
  <si>
    <t>Rio Bonito</t>
  </si>
  <si>
    <t>28800-000 a 28819-999</t>
  </si>
  <si>
    <t>Saquarema</t>
  </si>
  <si>
    <t>28990-001 a 28999-999</t>
  </si>
  <si>
    <t>Seropédica</t>
  </si>
  <si>
    <t>23890-001 a 23899-999</t>
  </si>
  <si>
    <t>Silva Jardim</t>
  </si>
  <si>
    <t>28820-000 a 28859-999</t>
  </si>
  <si>
    <t>Tanguá</t>
  </si>
  <si>
    <t>24890-000 a 24899-999</t>
  </si>
  <si>
    <t>Teresópolis</t>
  </si>
  <si>
    <t>25950-001 a 25999-999</t>
  </si>
  <si>
    <t>Vassouras</t>
  </si>
  <si>
    <t>27700-000 a 27899-999</t>
  </si>
  <si>
    <t>Angra dos Reis</t>
  </si>
  <si>
    <t>23900-001 a 23969-999</t>
  </si>
  <si>
    <t>Armação dos Búzios</t>
  </si>
  <si>
    <t>28950-000 a 28959-999</t>
  </si>
  <si>
    <t>Arraial do Cabo</t>
  </si>
  <si>
    <t>28930-000 a 28939-999</t>
  </si>
  <si>
    <t>Barra Mansa</t>
  </si>
  <si>
    <t>27300-001 a 27399-999</t>
  </si>
  <si>
    <t>28660-000 a 28679-999</t>
  </si>
  <si>
    <t>Cabo Frio</t>
  </si>
  <si>
    <t>28900-001 a 28929-999</t>
  </si>
  <si>
    <t>28500-000 a 28539-999</t>
  </si>
  <si>
    <t>Carapebus</t>
  </si>
  <si>
    <t>27998-000 a 27999-999</t>
  </si>
  <si>
    <t>Carmo</t>
  </si>
  <si>
    <t>28640-000 a 28649-999</t>
  </si>
  <si>
    <t>Casimiro de Abreu</t>
  </si>
  <si>
    <t>28860-000 a 28889-999</t>
  </si>
  <si>
    <t>Comendador Levy Gasparian</t>
  </si>
  <si>
    <t>25870-000 a 25879-999</t>
  </si>
  <si>
    <t>Conceição de Macabu</t>
  </si>
  <si>
    <t>28740-000 a 28749-999</t>
  </si>
  <si>
    <t>Cordeiro</t>
  </si>
  <si>
    <t>28540-000 a 28544-999</t>
  </si>
  <si>
    <t>Duas Barras</t>
  </si>
  <si>
    <t>28650-000 a 28659-999</t>
  </si>
  <si>
    <t>Itatiaia</t>
  </si>
  <si>
    <t>27580-000 a 27599-999</t>
  </si>
  <si>
    <t>Macaé</t>
  </si>
  <si>
    <t>27900-001 a 27997-999</t>
  </si>
  <si>
    <t>Macuco</t>
  </si>
  <si>
    <t>28545-000 a 28549-999</t>
  </si>
  <si>
    <t>Nova Friburgo</t>
  </si>
  <si>
    <t>28600-001 a 28636-999</t>
  </si>
  <si>
    <t>Paraty</t>
  </si>
  <si>
    <t>23970-000 a 23999-999</t>
  </si>
  <si>
    <t>Paraíba do Sul</t>
  </si>
  <si>
    <t>25850-000 a 25869-999</t>
  </si>
  <si>
    <t>Pinheiral</t>
  </si>
  <si>
    <t>27197-000 a 27199-999</t>
  </si>
  <si>
    <t>Porto Real</t>
  </si>
  <si>
    <t>27570-000 a 27579-999</t>
  </si>
  <si>
    <t>Quatis</t>
  </si>
  <si>
    <t>27400-001 a 27459-999</t>
  </si>
  <si>
    <t>Quissamã</t>
  </si>
  <si>
    <t>28735-000 a 28739-999</t>
  </si>
  <si>
    <t>Resende</t>
  </si>
  <si>
    <t>27500-001 a 27569-999</t>
  </si>
  <si>
    <t>Rio Claro</t>
  </si>
  <si>
    <t>27460-000 a 27499-999</t>
  </si>
  <si>
    <t>Rio das Flores</t>
  </si>
  <si>
    <t>27660-000 a 27699-999</t>
  </si>
  <si>
    <t>Rio das Ostras</t>
  </si>
  <si>
    <t>28890-001 a 28899-999</t>
  </si>
  <si>
    <t>Santa Maria Madalena</t>
  </si>
  <si>
    <t>28770-000 a 28799-999</t>
  </si>
  <si>
    <t>25880-000 a 25899-999</t>
  </si>
  <si>
    <t>Sumidouro</t>
  </si>
  <si>
    <t>28637-000 a 28639-999</t>
  </si>
  <si>
    <t>São José do Vale do Rio Preto</t>
  </si>
  <si>
    <t>25780-000 a 25799-999</t>
  </si>
  <si>
    <t>São Pedro da Aldeia</t>
  </si>
  <si>
    <t>28940-001 a 28949-999</t>
  </si>
  <si>
    <t>São Sebastião do Alto</t>
  </si>
  <si>
    <t>28550-000 a 28569-999</t>
  </si>
  <si>
    <t>Trajano de Moraes</t>
  </si>
  <si>
    <t>28750-000 a 28769-999</t>
  </si>
  <si>
    <t>Três Rios</t>
  </si>
  <si>
    <t>25800-001 a 25844-999</t>
  </si>
  <si>
    <t>27600-000 a 27659-999</t>
  </si>
  <si>
    <t>Volta Redonda</t>
  </si>
  <si>
    <t>27200-001 a 27299-999</t>
  </si>
  <si>
    <t>Aperibé</t>
  </si>
  <si>
    <t>28495-000 a 28499-999</t>
  </si>
  <si>
    <t>Bom Jesus do Itabapoana</t>
  </si>
  <si>
    <t>28360-000 a 28374-999</t>
  </si>
  <si>
    <t>Cambuci</t>
  </si>
  <si>
    <t>28430-000 a 28454-999</t>
  </si>
  <si>
    <t>Campos dos Goytacazes</t>
  </si>
  <si>
    <t>28000-001 a 28179-999</t>
  </si>
  <si>
    <t>Cardoso Moreira</t>
  </si>
  <si>
    <t>28180-000 a 28199-999</t>
  </si>
  <si>
    <t>Italva</t>
  </si>
  <si>
    <t>28250-000 a 28299-999</t>
  </si>
  <si>
    <t>Itaocara</t>
  </si>
  <si>
    <t>28570-000 a 28599-999</t>
  </si>
  <si>
    <t>Itaperuna</t>
  </si>
  <si>
    <t>28300-000 a 28349-999</t>
  </si>
  <si>
    <t>Laje do Muriaé</t>
  </si>
  <si>
    <t>28350-000 a 28359-999</t>
  </si>
  <si>
    <t>Miracema</t>
  </si>
  <si>
    <t>28460-000 a 28469-999</t>
  </si>
  <si>
    <t>Natividade</t>
  </si>
  <si>
    <t>28380-000 a 28389-999</t>
  </si>
  <si>
    <t>Porciúncula</t>
  </si>
  <si>
    <t>28390-000 a 28399-999</t>
  </si>
  <si>
    <t>Santo Antônio de Pádua</t>
  </si>
  <si>
    <t>28470-000 a 28494-999</t>
  </si>
  <si>
    <t>São Fidélis</t>
  </si>
  <si>
    <t>28400-000 a 28429-999</t>
  </si>
  <si>
    <t>São Francisco de Itabapoana</t>
  </si>
  <si>
    <t>28230-000 a 28249-999</t>
  </si>
  <si>
    <t>São José de Ubá</t>
  </si>
  <si>
    <t>28455-000 a 28459-999</t>
  </si>
  <si>
    <t>São João da Barra</t>
  </si>
  <si>
    <t>28200-000 a 28229-999</t>
  </si>
  <si>
    <t>Varre-Sai</t>
  </si>
  <si>
    <t>28375-000 a 28379-999</t>
  </si>
  <si>
    <t>59000-001 a 59139-999</t>
  </si>
  <si>
    <t>Ceará-Mirim</t>
  </si>
  <si>
    <t>59570-000 a 59574-999</t>
  </si>
  <si>
    <t>Extremoz</t>
  </si>
  <si>
    <t>59575-000 a 59577-999</t>
  </si>
  <si>
    <t>Macaíba</t>
  </si>
  <si>
    <t>59280-000 a 59289-999</t>
  </si>
  <si>
    <t>59182-000 a 59183-999</t>
  </si>
  <si>
    <t>59140-001 a 59161-999</t>
  </si>
  <si>
    <t>59290-001 a 59299-999</t>
  </si>
  <si>
    <t>São José de Mipibu</t>
  </si>
  <si>
    <t>59162-000 a 59163-999</t>
  </si>
  <si>
    <t>Arês</t>
  </si>
  <si>
    <t>59170-000 a 59172-999</t>
  </si>
  <si>
    <t>Barcelona</t>
  </si>
  <si>
    <t>59410-000 a 59419-999</t>
  </si>
  <si>
    <t>Baía Formosa</t>
  </si>
  <si>
    <t>59194-000 a 59195-999</t>
  </si>
  <si>
    <t>Bento Fernandes</t>
  </si>
  <si>
    <t>59555-000 a 59559-999</t>
  </si>
  <si>
    <t>59270-000 a 59274-999</t>
  </si>
  <si>
    <t>59219-000 a 59219-999</t>
  </si>
  <si>
    <t>Caiçara do Norte</t>
  </si>
  <si>
    <t>59592-000 a 59593-999</t>
  </si>
  <si>
    <t>Caiçara do Rio do Vento</t>
  </si>
  <si>
    <t>59540-000 a 59543-999</t>
  </si>
  <si>
    <t>Campo Redondo</t>
  </si>
  <si>
    <t>59230-000 a 59234-999</t>
  </si>
  <si>
    <t>Canguaretama</t>
  </si>
  <si>
    <t>59190-000 a 59191-999</t>
  </si>
  <si>
    <t>Espírito Santo</t>
  </si>
  <si>
    <t>59180-000 a 59181-999</t>
  </si>
  <si>
    <t>Fernando Pedroza</t>
  </si>
  <si>
    <t>59517-000 a 59517-999</t>
  </si>
  <si>
    <t>Goianinha</t>
  </si>
  <si>
    <t>59173-000 a 59177-999</t>
  </si>
  <si>
    <t>Ielmo Marinho</t>
  </si>
  <si>
    <t>59490-000 a 59499-999</t>
  </si>
  <si>
    <t>59594-000 a 59595-999</t>
  </si>
  <si>
    <t>Januário Cicco</t>
  </si>
  <si>
    <t>59260-000 a 59269-999</t>
  </si>
  <si>
    <t>Japi</t>
  </si>
  <si>
    <t>59213-000 a 59213-999</t>
  </si>
  <si>
    <t>Jardim de Angicos</t>
  </si>
  <si>
    <t>59544-000 a 59546-999</t>
  </si>
  <si>
    <t>João Câmara</t>
  </si>
  <si>
    <t>59550-000 a 59554-999</t>
  </si>
  <si>
    <t>59188-000 a 59189-999</t>
  </si>
  <si>
    <t>Lagoa D'Anta</t>
  </si>
  <si>
    <t>59227-000 a 59229-999</t>
  </si>
  <si>
    <t>Lagoa de Pedras</t>
  </si>
  <si>
    <t>59244-000 a 59244-999</t>
  </si>
  <si>
    <t>Lagoa de Velhos</t>
  </si>
  <si>
    <t>59430-000 a 59439-999</t>
  </si>
  <si>
    <t>Lagoa Salgada</t>
  </si>
  <si>
    <t>59247-000 a 59249-999</t>
  </si>
  <si>
    <t>Lajes</t>
  </si>
  <si>
    <t>59535-000 a 59539-999</t>
  </si>
  <si>
    <t>Lajes Pintadas</t>
  </si>
  <si>
    <t>59235-000 a 59239-999</t>
  </si>
  <si>
    <t>Maxaranguape</t>
  </si>
  <si>
    <t>59580-000 a 59581-999</t>
  </si>
  <si>
    <t>Montanhas</t>
  </si>
  <si>
    <t>59198-000 a 59199-999</t>
  </si>
  <si>
    <t>Monte das Gameleiras</t>
  </si>
  <si>
    <t>59217-000 a 59217-999</t>
  </si>
  <si>
    <t>Nova Cruz</t>
  </si>
  <si>
    <t>59215-000 a 59216-999</t>
  </si>
  <si>
    <t>Nísia Floresta</t>
  </si>
  <si>
    <t>59164-000 a 59167-999</t>
  </si>
  <si>
    <t>Parazinho</t>
  </si>
  <si>
    <t>59586-000 a 59587-999</t>
  </si>
  <si>
    <t>Passa e Fica</t>
  </si>
  <si>
    <t>59218-000 a 59218-999</t>
  </si>
  <si>
    <t>59259-000 a 59259-999</t>
  </si>
  <si>
    <t>Pedra Grande</t>
  </si>
  <si>
    <t>59588-000 a 59589-999</t>
  </si>
  <si>
    <t>59547-000 a 59549-999</t>
  </si>
  <si>
    <t>Pedro Velho</t>
  </si>
  <si>
    <t>59196-000 a 59197-999</t>
  </si>
  <si>
    <t>Poço Branco</t>
  </si>
  <si>
    <t>59560-000 a 59564-999</t>
  </si>
  <si>
    <t>Pureza</t>
  </si>
  <si>
    <t>59582-000 a 59583-999</t>
  </si>
  <si>
    <t>Riachuelo</t>
  </si>
  <si>
    <t>59470-000 a 59479-999</t>
  </si>
  <si>
    <t>Rio do Fogo</t>
  </si>
  <si>
    <t>59578-000 a 59579-999</t>
  </si>
  <si>
    <t>59420-000 a 59429-999</t>
  </si>
  <si>
    <t>59200-000 a 59209-999</t>
  </si>
  <si>
    <t>59464-000 a 59469-999</t>
  </si>
  <si>
    <t>Santo Antônio</t>
  </si>
  <si>
    <t>59255-000 a 59257-999</t>
  </si>
  <si>
    <t>Senador Elói de Souza</t>
  </si>
  <si>
    <t>59250-000 a 59254-999</t>
  </si>
  <si>
    <t>Senador Georgino Avelino</t>
  </si>
  <si>
    <t>59168-000 a 59169-999</t>
  </si>
  <si>
    <t>Serra Caiada</t>
  </si>
  <si>
    <t>59245-000 a 59246-999</t>
  </si>
  <si>
    <t>Serra de São Bento</t>
  </si>
  <si>
    <t>59214-000 a 59214-999</t>
  </si>
  <si>
    <t>59258-000 a 59258-999</t>
  </si>
  <si>
    <t>São Bento do Norte</t>
  </si>
  <si>
    <t>59590-000 a 59591-999</t>
  </si>
  <si>
    <t>São Bento do Trairí</t>
  </si>
  <si>
    <t>59210-000 a 59212-999</t>
  </si>
  <si>
    <t>São José do Campestre</t>
  </si>
  <si>
    <t>59275-000 a 59279-999</t>
  </si>
  <si>
    <t>São Miguel do Gostoso</t>
  </si>
  <si>
    <t>59585-000 a 59585-999</t>
  </si>
  <si>
    <t>São Paulo do Potengi</t>
  </si>
  <si>
    <t>59460-000 a 59463-999</t>
  </si>
  <si>
    <t>São Pedro</t>
  </si>
  <si>
    <t>59480-000 a 59489-999</t>
  </si>
  <si>
    <t>59400-000 a 59409-999</t>
  </si>
  <si>
    <t>59440-000 a 59459-999</t>
  </si>
  <si>
    <t>Taipu</t>
  </si>
  <si>
    <t>59565-000 a 59569-999</t>
  </si>
  <si>
    <t>Tangará</t>
  </si>
  <si>
    <t>59240-000 a 59243-999</t>
  </si>
  <si>
    <t>Tibau do Sul</t>
  </si>
  <si>
    <t>59178-000 a 59179-999</t>
  </si>
  <si>
    <t>Touros</t>
  </si>
  <si>
    <t>59584-000 a 59584-999</t>
  </si>
  <si>
    <t>59184-000 a 59184-999</t>
  </si>
  <si>
    <t>Vila Flor</t>
  </si>
  <si>
    <t>59192-000 a 59193-999</t>
  </si>
  <si>
    <t>59185-000 a 59186-999</t>
  </si>
  <si>
    <t>Acari</t>
  </si>
  <si>
    <t>59370-000 a 59373-999</t>
  </si>
  <si>
    <t>Afonso Bezerra</t>
  </si>
  <si>
    <t>59510-000 a 59512-999</t>
  </si>
  <si>
    <t>Alto do Rodrigues</t>
  </si>
  <si>
    <t>59507-000 a 59507-999</t>
  </si>
  <si>
    <t>Angicos</t>
  </si>
  <si>
    <t>59515-000 a 59516-999</t>
  </si>
  <si>
    <t>Açu</t>
  </si>
  <si>
    <t>59650-000 a 59654-999</t>
  </si>
  <si>
    <t>Bodó</t>
  </si>
  <si>
    <t>59528-000 a 59529-999</t>
  </si>
  <si>
    <t>Caicó</t>
  </si>
  <si>
    <t>59300-000 a 59309-999</t>
  </si>
  <si>
    <t>59680-000 a 59684-999</t>
  </si>
  <si>
    <t>Carnaubais</t>
  </si>
  <si>
    <t>59665-000 a 59667-999</t>
  </si>
  <si>
    <t>Carnaúba dos Dantas</t>
  </si>
  <si>
    <t>59374-000 a 59374-999</t>
  </si>
  <si>
    <t>Cerro Corá</t>
  </si>
  <si>
    <t>59395-000 a 59399-999</t>
  </si>
  <si>
    <t>Coronel Ezequiel</t>
  </si>
  <si>
    <t>59220-000 a 59224-999</t>
  </si>
  <si>
    <t>Cruzeta</t>
  </si>
  <si>
    <t>59375-000 a 59377-999</t>
  </si>
  <si>
    <t>Currais Novos</t>
  </si>
  <si>
    <t>59380-000 a 59389-999</t>
  </si>
  <si>
    <t>Equador</t>
  </si>
  <si>
    <t>59355-000 a 59359-999</t>
  </si>
  <si>
    <t>Florânia</t>
  </si>
  <si>
    <t>59335-000 a 59337-999</t>
  </si>
  <si>
    <t>Galinhos</t>
  </si>
  <si>
    <t>59596-000 a 59597-999</t>
  </si>
  <si>
    <t>Guamaré</t>
  </si>
  <si>
    <t>59598-000 a 59599-999</t>
  </si>
  <si>
    <t>Ipanguaçu</t>
  </si>
  <si>
    <t>59508-000 a 59509-999</t>
  </si>
  <si>
    <t>59513-000 a 59514-999</t>
  </si>
  <si>
    <t>Janduís</t>
  </si>
  <si>
    <t>59690-000 a 59694-999</t>
  </si>
  <si>
    <t>Jardim do Seridó</t>
  </si>
  <si>
    <t>59343-000 a 59346-999</t>
  </si>
  <si>
    <t>Jaçanã</t>
  </si>
  <si>
    <t>59225-000 a 59226-999</t>
  </si>
  <si>
    <t>Jucurutu</t>
  </si>
  <si>
    <t>59330-000 a 59334-999</t>
  </si>
  <si>
    <t>Lagoa Nova</t>
  </si>
  <si>
    <t>59390-000 a 59394-999</t>
  </si>
  <si>
    <t>Macau</t>
  </si>
  <si>
    <t>59500-000 a 59503-999</t>
  </si>
  <si>
    <t>Mossoró</t>
  </si>
  <si>
    <t>59600-001 a 59649-999</t>
  </si>
  <si>
    <t>59347-000 a 59349-999</t>
  </si>
  <si>
    <t>Paraú</t>
  </si>
  <si>
    <t>59660-000 a 59662-999</t>
  </si>
  <si>
    <t>Parelhas</t>
  </si>
  <si>
    <t>59360-000 a 59369-999</t>
  </si>
  <si>
    <t>Pedro Avelino</t>
  </si>
  <si>
    <t>59530-000 a 59534-999</t>
  </si>
  <si>
    <t>Pendências</t>
  </si>
  <si>
    <t>59504-000 a 59506-999</t>
  </si>
  <si>
    <t>Porto do Mangue</t>
  </si>
  <si>
    <t>59668-000 a 59669-999</t>
  </si>
  <si>
    <t>Santana do Matos</t>
  </si>
  <si>
    <t>59520-000 a 59527-999</t>
  </si>
  <si>
    <t>Santana do Seridó</t>
  </si>
  <si>
    <t>59350-000 a 59354-999</t>
  </si>
  <si>
    <t>São Fernando</t>
  </si>
  <si>
    <t>59327-000 a 59329-999</t>
  </si>
  <si>
    <t>São José do Seridó</t>
  </si>
  <si>
    <t>59378-000 a 59379-999</t>
  </si>
  <si>
    <t>São Rafael</t>
  </si>
  <si>
    <t>59518-000 a 59519-999</t>
  </si>
  <si>
    <t>São Vicente</t>
  </si>
  <si>
    <t>59340-000 a 59342-999</t>
  </si>
  <si>
    <t>Tenente Laurentino Cruz</t>
  </si>
  <si>
    <t>59338-000 a 59339-999</t>
  </si>
  <si>
    <t>Timbaúba dos Batistas</t>
  </si>
  <si>
    <t>59320-000 a 59323-999</t>
  </si>
  <si>
    <t>Triunfo Potiguar</t>
  </si>
  <si>
    <t>59685-000 a 59689-999</t>
  </si>
  <si>
    <t>Upanema</t>
  </si>
  <si>
    <t>59670-000 a 59674-999</t>
  </si>
  <si>
    <t>Alexandria</t>
  </si>
  <si>
    <t>59965-000 a 59969-999</t>
  </si>
  <si>
    <t>Almino Afonso</t>
  </si>
  <si>
    <t>59760-000 a 59769-999</t>
  </si>
  <si>
    <t>Antônio Martins</t>
  </si>
  <si>
    <t>59870-000 a 59879-999</t>
  </si>
  <si>
    <t>Apodi</t>
  </si>
  <si>
    <t>59700-000 a 59729-999</t>
  </si>
  <si>
    <t>Areia Branca</t>
  </si>
  <si>
    <t>59655-000 a 59659-999</t>
  </si>
  <si>
    <t>59695-000 a 59699-999</t>
  </si>
  <si>
    <t>59780-000 a 59789-999</t>
  </si>
  <si>
    <t>Coronel João Pessoa</t>
  </si>
  <si>
    <t>59930-000 a 59939-999</t>
  </si>
  <si>
    <t>Doutor Severiano</t>
  </si>
  <si>
    <t>59910-000 a 59919-999</t>
  </si>
  <si>
    <t>Encanto</t>
  </si>
  <si>
    <t>59905-000 a 59907-999</t>
  </si>
  <si>
    <t>Felipe Guerra</t>
  </si>
  <si>
    <t>59795-000 a 59799-999</t>
  </si>
  <si>
    <t>Francisco Dantas</t>
  </si>
  <si>
    <t>59902-000 a 59904-999</t>
  </si>
  <si>
    <t>Frutuoso Gomes</t>
  </si>
  <si>
    <t>59890-000 a 59899-999</t>
  </si>
  <si>
    <t>Governador Dix-Sept Rosado</t>
  </si>
  <si>
    <t>59790-000 a 59794-999</t>
  </si>
  <si>
    <t>Grossos</t>
  </si>
  <si>
    <t>59675-000 a 59677-999</t>
  </si>
  <si>
    <t>Ipueira</t>
  </si>
  <si>
    <t>59315-000 a 59317-999</t>
  </si>
  <si>
    <t>Itaú</t>
  </si>
  <si>
    <t>59855-000 a 59855-999</t>
  </si>
  <si>
    <t>Jardim de Piranhas</t>
  </si>
  <si>
    <t>59324-000 a 59326-999</t>
  </si>
  <si>
    <t>José da Penha</t>
  </si>
  <si>
    <t>59980-000 a 59986-999</t>
  </si>
  <si>
    <t>João Dias</t>
  </si>
  <si>
    <t>59880-000 a 59889-999</t>
  </si>
  <si>
    <t>Lucrécia</t>
  </si>
  <si>
    <t>59805-000 a 59807-999</t>
  </si>
  <si>
    <t>Luís Gomes</t>
  </si>
  <si>
    <t>59940-000 a 59944-999</t>
  </si>
  <si>
    <t>Major Sales</t>
  </si>
  <si>
    <t>59945-000 a 59949-999</t>
  </si>
  <si>
    <t>Marcelino Vieira</t>
  </si>
  <si>
    <t>59970-000 a 59979-999</t>
  </si>
  <si>
    <t>Martins</t>
  </si>
  <si>
    <t>59800-000 a 59804-999</t>
  </si>
  <si>
    <t>Messias Targino</t>
  </si>
  <si>
    <t>59775-000 a 59779-999</t>
  </si>
  <si>
    <t>Olho D'Água do Borges</t>
  </si>
  <si>
    <t>59730-000 a 59739-999</t>
  </si>
  <si>
    <t>Paraná</t>
  </si>
  <si>
    <t>59950-000 a 59954-999</t>
  </si>
  <si>
    <t>Patu</t>
  </si>
  <si>
    <t>59770-000 a 59774-999</t>
  </si>
  <si>
    <t>Pau dos Ferros</t>
  </si>
  <si>
    <t>59900-000 a 59901-999</t>
  </si>
  <si>
    <t>59960-000 a 59964-999</t>
  </si>
  <si>
    <t>Portalegre</t>
  </si>
  <si>
    <t>59810-000 a 59814-999</t>
  </si>
  <si>
    <t>Rafael Fernandes</t>
  </si>
  <si>
    <t>59990-000 a 59994-999</t>
  </si>
  <si>
    <t>Rafael Godeiro</t>
  </si>
  <si>
    <t>59740-000 a 59759-999</t>
  </si>
  <si>
    <t>Riacho da Cruz</t>
  </si>
  <si>
    <t>59820-000 a 59829-999</t>
  </si>
  <si>
    <t>59987-000 a 59989-999</t>
  </si>
  <si>
    <t>Rodolfo Fernandes</t>
  </si>
  <si>
    <t>59830-000 a 59839-999</t>
  </si>
  <si>
    <t>Serra do Mel</t>
  </si>
  <si>
    <t>59663-000 a 59664-999</t>
  </si>
  <si>
    <t>Serra Negra do Norte</t>
  </si>
  <si>
    <t>59318-000 a 59319-999</t>
  </si>
  <si>
    <t>Serrinha dos Pintos</t>
  </si>
  <si>
    <t>59808-000 a 59809-999</t>
  </si>
  <si>
    <t>Severiano Melo</t>
  </si>
  <si>
    <t>59856-000 a 59864-999</t>
  </si>
  <si>
    <t>São Francisco do Oeste</t>
  </si>
  <si>
    <t>59908-000 a 59909-999</t>
  </si>
  <si>
    <t>São João do Sabugi</t>
  </si>
  <si>
    <t>59310-000 a 59314-999</t>
  </si>
  <si>
    <t>São Miguel</t>
  </si>
  <si>
    <t>59920-000 a 59924-999</t>
  </si>
  <si>
    <t>Taboleiro Grande</t>
  </si>
  <si>
    <t>59840-000 a 59854-999</t>
  </si>
  <si>
    <t>Tenente Ananias</t>
  </si>
  <si>
    <t>59955-000 a 59959-999</t>
  </si>
  <si>
    <t>Tibau</t>
  </si>
  <si>
    <t>59678-000 a 59679-999</t>
  </si>
  <si>
    <t>Umarizal</t>
  </si>
  <si>
    <t>59865-000 a 59869-999</t>
  </si>
  <si>
    <t>Venha-Ver</t>
  </si>
  <si>
    <t>59925-000 a 59929-999</t>
  </si>
  <si>
    <t>59815-000 a 59819-999</t>
  </si>
  <si>
    <t>Água Nova</t>
  </si>
  <si>
    <t>59995-000 a 59999-999</t>
  </si>
  <si>
    <t>76800-001 a 76849-999</t>
  </si>
  <si>
    <t>Candeias do Jamari</t>
  </si>
  <si>
    <t>76860-000 a 76860-999</t>
  </si>
  <si>
    <t>76862-000 a 76862-999</t>
  </si>
  <si>
    <t>Ariquemes</t>
  </si>
  <si>
    <t>76870-001 a 76879-999</t>
  </si>
  <si>
    <t>Cacaulândia</t>
  </si>
  <si>
    <t>76889-000 a 76889-999</t>
  </si>
  <si>
    <t>Cujubim</t>
  </si>
  <si>
    <t>76864-000 a 76865-999</t>
  </si>
  <si>
    <t>Itapuã do Oeste</t>
  </si>
  <si>
    <t>76861-000 a 76861-999</t>
  </si>
  <si>
    <t>Jaci Paraná</t>
  </si>
  <si>
    <t>76800-000 a 76999-999</t>
  </si>
  <si>
    <t>Monte Negro</t>
  </si>
  <si>
    <t>76888-000 a 76888-999</t>
  </si>
  <si>
    <t>Rio Crespo</t>
  </si>
  <si>
    <t>76863-000 a 76863-999</t>
  </si>
  <si>
    <t>Alto Alegre dos Parecis</t>
  </si>
  <si>
    <t>76952-000 a 76953-999</t>
  </si>
  <si>
    <t>Alvorada D'Oeste</t>
  </si>
  <si>
    <t>76930-000 a 76931-999</t>
  </si>
  <si>
    <t>76880-000 a 76886-999</t>
  </si>
  <si>
    <t>Cacoal</t>
  </si>
  <si>
    <t>76960-001 a 76969-999</t>
  </si>
  <si>
    <t>Campo Novo de Rondônia</t>
  </si>
  <si>
    <t>76887-000 a 76887-999</t>
  </si>
  <si>
    <t>Castanheiras</t>
  </si>
  <si>
    <t>76948-000 a 76949-999</t>
  </si>
  <si>
    <t>Espigão D'Oeste</t>
  </si>
  <si>
    <t>76974-000 a 76975-999</t>
  </si>
  <si>
    <t>Governador Jorge Teixeira</t>
  </si>
  <si>
    <t>76898-000 a 76899-999</t>
  </si>
  <si>
    <t>Guajará-Mirim</t>
  </si>
  <si>
    <t>76850-000 a 76856-999</t>
  </si>
  <si>
    <t>Jaru</t>
  </si>
  <si>
    <t>76890-000 a 76897-999</t>
  </si>
  <si>
    <t>Ji-Paraná</t>
  </si>
  <si>
    <t>76900-001 a 76915-999</t>
  </si>
  <si>
    <t>Machadinho D'Oeste</t>
  </si>
  <si>
    <t>76868-000 a 76869-999</t>
  </si>
  <si>
    <t>Ministro Andreazza</t>
  </si>
  <si>
    <t>76919-000 a 76919-999</t>
  </si>
  <si>
    <t>Mirante da Serra</t>
  </si>
  <si>
    <t>76926-000 a 76927-999</t>
  </si>
  <si>
    <t>Nova Brasilândia D'Oeste</t>
  </si>
  <si>
    <t>76958-000 a 76959-999</t>
  </si>
  <si>
    <t>Nova Mamoré</t>
  </si>
  <si>
    <t>76857-000 a 76859-999</t>
  </si>
  <si>
    <t>76924-000 a 76925-999</t>
  </si>
  <si>
    <t>Novo Horizonte do Oeste</t>
  </si>
  <si>
    <t>76956-000 a 76957-999</t>
  </si>
  <si>
    <t>Ouro Preto do Oeste</t>
  </si>
  <si>
    <t>76920-000 a 76922-999</t>
  </si>
  <si>
    <t>Pimenta Bueno</t>
  </si>
  <si>
    <t>76970-000 a 76973-999</t>
  </si>
  <si>
    <t>76916-000 a 76918-999</t>
  </si>
  <si>
    <t>Primavera de Rondônia</t>
  </si>
  <si>
    <t>76976-000 a 76976-999</t>
  </si>
  <si>
    <t>Rolim de Moura</t>
  </si>
  <si>
    <t>76940-000 a 76947-999</t>
  </si>
  <si>
    <t>Santa Luzia D'Oeste</t>
  </si>
  <si>
    <t>76950-000 a 76951-999</t>
  </si>
  <si>
    <t>Seringueiras</t>
  </si>
  <si>
    <t>76934-000 a 76934-999</t>
  </si>
  <si>
    <t>São Felipe D'Oeste</t>
  </si>
  <si>
    <t>76977-000 a 76978-999</t>
  </si>
  <si>
    <t>São Miguel do Guaporé</t>
  </si>
  <si>
    <t>76932-000 a 76933-999</t>
  </si>
  <si>
    <t>Teixeirópolis</t>
  </si>
  <si>
    <t>76928-000 a 76928-999</t>
  </si>
  <si>
    <t>Theobroma</t>
  </si>
  <si>
    <t>76866-000 a 76866-999</t>
  </si>
  <si>
    <t>Urupá</t>
  </si>
  <si>
    <t>76929-000 a 76929-999</t>
  </si>
  <si>
    <t>Vale do Anari</t>
  </si>
  <si>
    <t>76867-000 a 76867-999</t>
  </si>
  <si>
    <t>Vale do Paraíso</t>
  </si>
  <si>
    <t>76923-000 a 76923-999</t>
  </si>
  <si>
    <t>Alta Floresta D'Oeste</t>
  </si>
  <si>
    <t>76954-000 a 76955-999</t>
  </si>
  <si>
    <t>Cabixi</t>
  </si>
  <si>
    <t>76994-000 a 76994-999</t>
  </si>
  <si>
    <t>Cerejeiras</t>
  </si>
  <si>
    <t>76997-000 a 76998-999</t>
  </si>
  <si>
    <t>Chupinguaia</t>
  </si>
  <si>
    <t>76990-000 a 76992-999</t>
  </si>
  <si>
    <t>Colorado do Oeste</t>
  </si>
  <si>
    <t>76993-000 a 76993-999</t>
  </si>
  <si>
    <t>Corumbiara</t>
  </si>
  <si>
    <t>76995-000 a 76996-999</t>
  </si>
  <si>
    <t>Costa Marques</t>
  </si>
  <si>
    <t>76937-000 a 76939-999</t>
  </si>
  <si>
    <t>Parecis</t>
  </si>
  <si>
    <t>76979-000 a 76979-999</t>
  </si>
  <si>
    <t>Pimenteiras do Oeste</t>
  </si>
  <si>
    <t>76999-000 a 76999-999</t>
  </si>
  <si>
    <t>São Francisco do Guaporé</t>
  </si>
  <si>
    <t>76935-000 a 76936-999</t>
  </si>
  <si>
    <t>Vilhena</t>
  </si>
  <si>
    <t>76980-001 a 76989-999</t>
  </si>
  <si>
    <t>69300-001 a 69339-999</t>
  </si>
  <si>
    <t>Alto Alegre</t>
  </si>
  <si>
    <t>69350-000 a 69354-999</t>
  </si>
  <si>
    <t>Cantá</t>
  </si>
  <si>
    <t>69390-000 a 69399-999</t>
  </si>
  <si>
    <t>69348-000 a 69349-999</t>
  </si>
  <si>
    <t>Mucajaí</t>
  </si>
  <si>
    <t>69340-000 a 69342-999</t>
  </si>
  <si>
    <t>Amajari</t>
  </si>
  <si>
    <t>69343-000 a 69344-999</t>
  </si>
  <si>
    <t>69380-000 a 69389-999</t>
  </si>
  <si>
    <t>Caracaraí</t>
  </si>
  <si>
    <t>69360-000 a 69369-999</t>
  </si>
  <si>
    <t>Normandia</t>
  </si>
  <si>
    <t>69355-000 a 69357-999</t>
  </si>
  <si>
    <t>Pacaraima</t>
  </si>
  <si>
    <t>69345-000 a 69347-999</t>
  </si>
  <si>
    <t>Caroebe</t>
  </si>
  <si>
    <t>69378-000 a 69379-999</t>
  </si>
  <si>
    <t>Rorainópolis</t>
  </si>
  <si>
    <t>69373-000 a 69374-999</t>
  </si>
  <si>
    <t>São João da Baliza</t>
  </si>
  <si>
    <t>69375-000 a 69377-999</t>
  </si>
  <si>
    <t>São Luiz</t>
  </si>
  <si>
    <t>69370-000 a 69372-999</t>
  </si>
  <si>
    <t>90000-001 a 91999-999</t>
  </si>
  <si>
    <t>Alvorada</t>
  </si>
  <si>
    <t>94800-001 a 94899-999</t>
  </si>
  <si>
    <t>94900-001 a 94999-999</t>
  </si>
  <si>
    <t>Canoas</t>
  </si>
  <si>
    <t>92000-001 a 92479-999</t>
  </si>
  <si>
    <t>Eldorado do Sul</t>
  </si>
  <si>
    <t>92990-000 a 92999-999</t>
  </si>
  <si>
    <t>Esteio</t>
  </si>
  <si>
    <t>93250-001 a 93299-999</t>
  </si>
  <si>
    <t>Gravataí</t>
  </si>
  <si>
    <t>94000-001 a 94379-999</t>
  </si>
  <si>
    <t>Guaíba</t>
  </si>
  <si>
    <t>92500-001 a 92849-999</t>
  </si>
  <si>
    <t>92480-000 a 92499-999</t>
  </si>
  <si>
    <t>Sapucaia do Sul</t>
  </si>
  <si>
    <t>93200-001 a 93249-999</t>
  </si>
  <si>
    <t>São Leopoldo</t>
  </si>
  <si>
    <t>93000-001 a 93179-999</t>
  </si>
  <si>
    <t>Viamão</t>
  </si>
  <si>
    <t>94400-001 a 94799-999</t>
  </si>
  <si>
    <t>Alto Feliz</t>
  </si>
  <si>
    <t>95773-000 a 95774-999</t>
  </si>
  <si>
    <t>Amaral Ferrador</t>
  </si>
  <si>
    <t>96635-000 a 96639-999</t>
  </si>
  <si>
    <t>André da Rocha</t>
  </si>
  <si>
    <t>95310-000 a 95314-999</t>
  </si>
  <si>
    <t>Anta Gorda</t>
  </si>
  <si>
    <t>95980-000 a 95984-999</t>
  </si>
  <si>
    <t>Antônio Prado</t>
  </si>
  <si>
    <t>95250-000 a 95254-999</t>
  </si>
  <si>
    <t>Arambaré</t>
  </si>
  <si>
    <t>96178-000 a 96179-999</t>
  </si>
  <si>
    <t>Araricá</t>
  </si>
  <si>
    <t>93880-000 a 93889-999</t>
  </si>
  <si>
    <t>Arroio do Meio</t>
  </si>
  <si>
    <t>95940-000 a 95944-999</t>
  </si>
  <si>
    <t>Arroio do Sal</t>
  </si>
  <si>
    <t>95585-000 a 95587-999</t>
  </si>
  <si>
    <t>Arroio dos Ratos</t>
  </si>
  <si>
    <t>96740-000 a 96744-999</t>
  </si>
  <si>
    <t>Arvorezinha</t>
  </si>
  <si>
    <t>95995-000 a 95996-999</t>
  </si>
  <si>
    <t>Balneário Pinhal</t>
  </si>
  <si>
    <t>95599-000 a 95599-999</t>
  </si>
  <si>
    <t>Barra do Ribeiro</t>
  </si>
  <si>
    <t>96790-000 a 96799-999</t>
  </si>
  <si>
    <t>Barros Cassal</t>
  </si>
  <si>
    <t>99360-000 a 99369-999</t>
  </si>
  <si>
    <t>Barão</t>
  </si>
  <si>
    <t>95730-000 a 95734-999</t>
  </si>
  <si>
    <t>Barão do Triunfo</t>
  </si>
  <si>
    <t>96735-000 a 96739-999</t>
  </si>
  <si>
    <t>Bento Gonçalves</t>
  </si>
  <si>
    <t>95700-001 a 95714-999</t>
  </si>
  <si>
    <t>Boa Vista do Sul</t>
  </si>
  <si>
    <t>95727-000 a 95729-999</t>
  </si>
  <si>
    <t>95290-000 a 95299-999</t>
  </si>
  <si>
    <t>Bom Princípio</t>
  </si>
  <si>
    <t>95765-000 a 95767-999</t>
  </si>
  <si>
    <t>Bom Retiro do Sul</t>
  </si>
  <si>
    <t>95870-000 a 95874-999</t>
  </si>
  <si>
    <t>Boqueirão do Leão</t>
  </si>
  <si>
    <t>95920-000 a 95922-999</t>
  </si>
  <si>
    <t>Brochier</t>
  </si>
  <si>
    <t>95790-000 a 95792-999</t>
  </si>
  <si>
    <t>Butiá</t>
  </si>
  <si>
    <t>96750-000 a 96754-999</t>
  </si>
  <si>
    <t>Cachoeira do Sul</t>
  </si>
  <si>
    <t>96500-001 a 96529-999</t>
  </si>
  <si>
    <t>Camaquã</t>
  </si>
  <si>
    <t>96180-000 a 96189-999</t>
  </si>
  <si>
    <t>Cambará do Sul</t>
  </si>
  <si>
    <t>95480-000 a 95499-999</t>
  </si>
  <si>
    <t>Campestre da Serra</t>
  </si>
  <si>
    <t>95255-000 a 95259-999</t>
  </si>
  <si>
    <t>Campo Bom</t>
  </si>
  <si>
    <t>93700-000 a 93799-999</t>
  </si>
  <si>
    <t>Candelária</t>
  </si>
  <si>
    <t>96930-000 a 96949-999</t>
  </si>
  <si>
    <t>Canela</t>
  </si>
  <si>
    <t>95680-000 a 95689-999</t>
  </si>
  <si>
    <t>Canudos do Vale</t>
  </si>
  <si>
    <t>95933-000 a 95934-999</t>
  </si>
  <si>
    <t>Capela de Santana</t>
  </si>
  <si>
    <t>95745-000 a 95747-999</t>
  </si>
  <si>
    <t>Capitão</t>
  </si>
  <si>
    <t>95935-000 a 95936-999</t>
  </si>
  <si>
    <t>Capivari do Sul</t>
  </si>
  <si>
    <t>95552-000 a 95554-999</t>
  </si>
  <si>
    <t>Capão da Canoa</t>
  </si>
  <si>
    <t>95555-000 a 95559-999</t>
  </si>
  <si>
    <t>Caraá</t>
  </si>
  <si>
    <t>95515-000 a 95519-999</t>
  </si>
  <si>
    <t>Carlos Barbosa</t>
  </si>
  <si>
    <t>95185-000 a 95189-999</t>
  </si>
  <si>
    <t>Casca</t>
  </si>
  <si>
    <t>99260-000 a 99264-999</t>
  </si>
  <si>
    <t>Caxias do Sul</t>
  </si>
  <si>
    <t>95000-001 a 95149-999</t>
  </si>
  <si>
    <t>Cerro Branco</t>
  </si>
  <si>
    <t>96535-000 a 96539-999</t>
  </si>
  <si>
    <t>Cerro Grande do Sul</t>
  </si>
  <si>
    <t>96770-000 a 96789-999</t>
  </si>
  <si>
    <t>Charqueadas</t>
  </si>
  <si>
    <t>96745-000 a 96749-999</t>
  </si>
  <si>
    <t>Chuvisca</t>
  </si>
  <si>
    <t>96193-000 a 96194-999</t>
  </si>
  <si>
    <t>Cidreira</t>
  </si>
  <si>
    <t>95595-000 a 95598-999</t>
  </si>
  <si>
    <t>95895-000 a 95899-999</t>
  </si>
  <si>
    <t>Coqueiro Baixo</t>
  </si>
  <si>
    <t>95955-000 a 95959-999</t>
  </si>
  <si>
    <t>Coronel Pilar</t>
  </si>
  <si>
    <t>95726-000 a 95726-999</t>
  </si>
  <si>
    <t>Cotiporã</t>
  </si>
  <si>
    <t>95335-000 a 95339-999</t>
  </si>
  <si>
    <t>Cristal</t>
  </si>
  <si>
    <t>96195-000 a 96199-999</t>
  </si>
  <si>
    <t>95930-000 a 95932-999</t>
  </si>
  <si>
    <t>Dois Irmãos</t>
  </si>
  <si>
    <t>93950-000 a 93989-999</t>
  </si>
  <si>
    <t>Dois Lajeados</t>
  </si>
  <si>
    <t>99220-000 a 99239-999</t>
  </si>
  <si>
    <t>Dom Feliciano</t>
  </si>
  <si>
    <t>96190-000 a 96192-999</t>
  </si>
  <si>
    <t>Dom Pedro de Alcântara</t>
  </si>
  <si>
    <t>95568-000 a 95571-999</t>
  </si>
  <si>
    <t>Doutor Ricardo</t>
  </si>
  <si>
    <t>95967-000 a 95969-999</t>
  </si>
  <si>
    <t>Encantado</t>
  </si>
  <si>
    <t>95960-000 a 95964-999</t>
  </si>
  <si>
    <t>Encruzilhada do Sul</t>
  </si>
  <si>
    <t>96610-000 a 96634-999</t>
  </si>
  <si>
    <t>Estrela</t>
  </si>
  <si>
    <t>95880-000 a 95884-999</t>
  </si>
  <si>
    <t>Estância Velha</t>
  </si>
  <si>
    <t>93600-001 a 93699-999</t>
  </si>
  <si>
    <t>Fagundes Varela</t>
  </si>
  <si>
    <t>95333-000 a 95333-999</t>
  </si>
  <si>
    <t>Farroupilha</t>
  </si>
  <si>
    <t>95170-001 a 95184-999</t>
  </si>
  <si>
    <t>Fazenda Vilanova</t>
  </si>
  <si>
    <t>95875-000 a 95879-999</t>
  </si>
  <si>
    <t>Feliz</t>
  </si>
  <si>
    <t>95770-000 a 95772-999</t>
  </si>
  <si>
    <t>Flores da Cunha</t>
  </si>
  <si>
    <t>95270-000 a 95274-999</t>
  </si>
  <si>
    <t>Fontoura Xavier</t>
  </si>
  <si>
    <t>99370-000 a 99379-999</t>
  </si>
  <si>
    <t>Forquetinha</t>
  </si>
  <si>
    <t>95937-000 a 95939-999</t>
  </si>
  <si>
    <t>Garibaldi</t>
  </si>
  <si>
    <t>95720-000 a 95725-999</t>
  </si>
  <si>
    <t>General Câmara</t>
  </si>
  <si>
    <t>95820-000 a 95832-999</t>
  </si>
  <si>
    <t>Glorinha</t>
  </si>
  <si>
    <t>94380-000 a 94399-999</t>
  </si>
  <si>
    <t>Gramado</t>
  </si>
  <si>
    <t>95670-000 a 95679-999</t>
  </si>
  <si>
    <t>Gramado Xavier</t>
  </si>
  <si>
    <t>96875-000 a 96877-999</t>
  </si>
  <si>
    <t>Guabiju</t>
  </si>
  <si>
    <t>95355-000 a 95359-999</t>
  </si>
  <si>
    <t>Guaporé</t>
  </si>
  <si>
    <t>99200-000 a 99214-999</t>
  </si>
  <si>
    <t>Harmonia</t>
  </si>
  <si>
    <t>95785-000 a 95789-999</t>
  </si>
  <si>
    <t>Herveiras</t>
  </si>
  <si>
    <t>96888-000 a 96889-999</t>
  </si>
  <si>
    <t>Igrejinha</t>
  </si>
  <si>
    <t>95650-000 a 95659-999</t>
  </si>
  <si>
    <t>Ilópolis</t>
  </si>
  <si>
    <t>95990-000 a 95994-999</t>
  </si>
  <si>
    <t>Imbé</t>
  </si>
  <si>
    <t>95625-000 a 95629-999</t>
  </si>
  <si>
    <t>Imigrante</t>
  </si>
  <si>
    <t>95885-000 a 95889-999</t>
  </si>
  <si>
    <t>Ipê</t>
  </si>
  <si>
    <t>95240-000 a 95249-999</t>
  </si>
  <si>
    <t>Itapuca</t>
  </si>
  <si>
    <t>95997-000 a 95999-999</t>
  </si>
  <si>
    <t>Itati</t>
  </si>
  <si>
    <t>95538-000 a 95539-999</t>
  </si>
  <si>
    <t>Ivoti</t>
  </si>
  <si>
    <t>93900-000 a 93939-999</t>
  </si>
  <si>
    <t>Jaquirana</t>
  </si>
  <si>
    <t>95420-000 a 95479-999</t>
  </si>
  <si>
    <t>Lagoa Bonita do Sul</t>
  </si>
  <si>
    <t>96920-000 a 96924-999</t>
  </si>
  <si>
    <t>Lajeado</t>
  </si>
  <si>
    <t>95900-001 a 95914-999</t>
  </si>
  <si>
    <t>Lindolfo Collor</t>
  </si>
  <si>
    <t>93940-000 a 93944-999</t>
  </si>
  <si>
    <t>Linha Nova</t>
  </si>
  <si>
    <t>95768-000 a 95769-999</t>
  </si>
  <si>
    <t>Mampituba</t>
  </si>
  <si>
    <t>95572-000 a 95574-999</t>
  </si>
  <si>
    <t>Maquiné</t>
  </si>
  <si>
    <t>95530-000 a 95534-999</t>
  </si>
  <si>
    <t>Maratá</t>
  </si>
  <si>
    <t>95793-000 a 95794-999</t>
  </si>
  <si>
    <t>Mariana Pimentel</t>
  </si>
  <si>
    <t>92900-000 a 92989-999</t>
  </si>
  <si>
    <t>Marques de Souza</t>
  </si>
  <si>
    <t>95923-000 a 95924-999</t>
  </si>
  <si>
    <t>Mato Leitão</t>
  </si>
  <si>
    <t>95835-000 a 95839-999</t>
  </si>
  <si>
    <t>Minas do Leão</t>
  </si>
  <si>
    <t>96755-000 a 96759-999</t>
  </si>
  <si>
    <t>Montauri</t>
  </si>
  <si>
    <t>99255-000 a 99259-999</t>
  </si>
  <si>
    <t>Monte Belo do Sul</t>
  </si>
  <si>
    <t>95718-000 a 95719-999</t>
  </si>
  <si>
    <t>Montenegro</t>
  </si>
  <si>
    <t>95780-000 a 95782-999</t>
  </si>
  <si>
    <t>Morrinhos do Sul</t>
  </si>
  <si>
    <t>95577-000 a 95579-999</t>
  </si>
  <si>
    <t>Morro Reuter</t>
  </si>
  <si>
    <t>93990-000 a 93994-999</t>
  </si>
  <si>
    <t>Mostardas</t>
  </si>
  <si>
    <t>96270-000 a 96289-999</t>
  </si>
  <si>
    <t>Muçum</t>
  </si>
  <si>
    <t>95970-000 a 95971-999</t>
  </si>
  <si>
    <t>Nova Araçá</t>
  </si>
  <si>
    <t>95350-000 a 95354-999</t>
  </si>
  <si>
    <t>Nova Bassano</t>
  </si>
  <si>
    <t>95340-000 a 95344-999</t>
  </si>
  <si>
    <t>Nova Bréscia</t>
  </si>
  <si>
    <t>95950-000 a 95954-999</t>
  </si>
  <si>
    <t>Nova Hartz</t>
  </si>
  <si>
    <t>93890-000 a 93899-999</t>
  </si>
  <si>
    <t>Nova Petrópolis</t>
  </si>
  <si>
    <t>95150-000 a 95165-999</t>
  </si>
  <si>
    <t>Nova Prata</t>
  </si>
  <si>
    <t>95320-000 a 95324-999</t>
  </si>
  <si>
    <t>Nova Pádua</t>
  </si>
  <si>
    <t>95275-000 a 95279-999</t>
  </si>
  <si>
    <t>Nova Roma do Sul</t>
  </si>
  <si>
    <t>95260-000 a 95269-999</t>
  </si>
  <si>
    <t>Novo Cabrais</t>
  </si>
  <si>
    <t>96545-000 a 96569-999</t>
  </si>
  <si>
    <t>Novo Hamburgo</t>
  </si>
  <si>
    <t>93300-001 a 93599-999</t>
  </si>
  <si>
    <t>Osório</t>
  </si>
  <si>
    <t>95520-000 a 95529-999</t>
  </si>
  <si>
    <t>Palmares do Sul</t>
  </si>
  <si>
    <t>95540-000 a 95551-999</t>
  </si>
  <si>
    <t>Pantano Grande</t>
  </si>
  <si>
    <t>96690-000 a 96699-999</t>
  </si>
  <si>
    <t>Paraí</t>
  </si>
  <si>
    <t>95360-000 a 95364-999</t>
  </si>
  <si>
    <t>Paraíso do Sul</t>
  </si>
  <si>
    <t>96530-000 a 96534-999</t>
  </si>
  <si>
    <t>Pareci Novo</t>
  </si>
  <si>
    <t>95783-000 a 95784-999</t>
  </si>
  <si>
    <t>Parobé</t>
  </si>
  <si>
    <t>95630-000 a 95649-999</t>
  </si>
  <si>
    <t>Passa Sete</t>
  </si>
  <si>
    <t>96908-000 a 96909-999</t>
  </si>
  <si>
    <t>Passo do Sobrado</t>
  </si>
  <si>
    <t>96685-000 a 96689-999</t>
  </si>
  <si>
    <t>Paverama</t>
  </si>
  <si>
    <t>95865-000 a 95869-999</t>
  </si>
  <si>
    <t>Picada Café</t>
  </si>
  <si>
    <t>95166-000 a 95169-999</t>
  </si>
  <si>
    <t>Pinto Bandeira</t>
  </si>
  <si>
    <t>95717-000 a 95717-999</t>
  </si>
  <si>
    <t>Portão</t>
  </si>
  <si>
    <t>93180-000 a 93199-999</t>
  </si>
  <si>
    <t>Pouso Novo</t>
  </si>
  <si>
    <t>95945-000 a 95947-999</t>
  </si>
  <si>
    <t>Poço das Antas</t>
  </si>
  <si>
    <t>95740-000 a 95744-999</t>
  </si>
  <si>
    <t>Presidente Lucena</t>
  </si>
  <si>
    <t>93945-000 a 93949-999</t>
  </si>
  <si>
    <t>Progresso</t>
  </si>
  <si>
    <t>95925-000 a 95929-999</t>
  </si>
  <si>
    <t>Protásio Alves</t>
  </si>
  <si>
    <t>95345-000 a 95349-999</t>
  </si>
  <si>
    <t>Putinga</t>
  </si>
  <si>
    <t>95975-000 a 95979-999</t>
  </si>
  <si>
    <t>Relvado</t>
  </si>
  <si>
    <t>95965-000 a 95966-999</t>
  </si>
  <si>
    <t>Rio Pardo</t>
  </si>
  <si>
    <t>96640-000 a 96684-999</t>
  </si>
  <si>
    <t>Riozinho</t>
  </si>
  <si>
    <t>95695-000 a 95699-999</t>
  </si>
  <si>
    <t>Roca Sales</t>
  </si>
  <si>
    <t>95735-000 a 95739-999</t>
  </si>
  <si>
    <t>Rolante</t>
  </si>
  <si>
    <t>95690-000 a 95694-999</t>
  </si>
  <si>
    <t>Salvador do Sul</t>
  </si>
  <si>
    <t>95750-000 a 95754-999</t>
  </si>
  <si>
    <t>Santa Clara do Sul</t>
  </si>
  <si>
    <t>95915-000 a 95917-999</t>
  </si>
  <si>
    <t>Santa Cruz do Sul</t>
  </si>
  <si>
    <t>96800-001 a 96874-999</t>
  </si>
  <si>
    <t>Santa Maria do Herval</t>
  </si>
  <si>
    <t>93995-000 a 93999-999</t>
  </si>
  <si>
    <t>Santa Tereza</t>
  </si>
  <si>
    <t>95715-000 a 95716-999</t>
  </si>
  <si>
    <t>Santo Antônio da Patrulha</t>
  </si>
  <si>
    <t>95500-000 a 95514-999</t>
  </si>
  <si>
    <t>Sapiranga</t>
  </si>
  <si>
    <t>93800-001 a 93879-999</t>
  </si>
  <si>
    <t>99560-000 a 99579-999</t>
  </si>
  <si>
    <t>Seberi</t>
  </si>
  <si>
    <t>98380-000 a 98384-999</t>
  </si>
  <si>
    <t>Sentinela do Sul</t>
  </si>
  <si>
    <t>96765-000 a 96769-999</t>
  </si>
  <si>
    <t>Serafina Corrêa</t>
  </si>
  <si>
    <t>99250-000 a 99254-999</t>
  </si>
  <si>
    <t>Sertão Santana</t>
  </si>
  <si>
    <t>92850-000 a 92899-999</t>
  </si>
  <si>
    <t>Sinimbu</t>
  </si>
  <si>
    <t>96890-000 a 96899-999</t>
  </si>
  <si>
    <t>96900-000 a 96907-999</t>
  </si>
  <si>
    <t>99300-000 a 99314-999</t>
  </si>
  <si>
    <t>São Domingos do Sul</t>
  </si>
  <si>
    <t>99270-000 a 99289-999</t>
  </si>
  <si>
    <t>95400-000 a 95419-999</t>
  </si>
  <si>
    <t>São Jerônimo</t>
  </si>
  <si>
    <t>96700-000 a 96734-999</t>
  </si>
  <si>
    <t>São Jorge</t>
  </si>
  <si>
    <t>95365-000 a 95369-999</t>
  </si>
  <si>
    <t>São José do Herval</t>
  </si>
  <si>
    <t>99380-000 a 99399-999</t>
  </si>
  <si>
    <t>São José do Hortêncio</t>
  </si>
  <si>
    <t>95755-000 a 95757-999</t>
  </si>
  <si>
    <t>São José do Sul</t>
  </si>
  <si>
    <t>95748-000 a 95749-999</t>
  </si>
  <si>
    <t>São Lourenço do Sul</t>
  </si>
  <si>
    <t>96170-000 a 96177-999</t>
  </si>
  <si>
    <t>São Marcos</t>
  </si>
  <si>
    <t>95190-000 a 95199-999</t>
  </si>
  <si>
    <t>São Pedro da Serra</t>
  </si>
  <si>
    <t>95758-000 a 95759-999</t>
  </si>
  <si>
    <t>São Sebastião do Caí</t>
  </si>
  <si>
    <t>95760-000 a 95764-999</t>
  </si>
  <si>
    <t>São Valentim do Sul</t>
  </si>
  <si>
    <t>99240-000 a 99249-999</t>
  </si>
  <si>
    <t>São Vendelino</t>
  </si>
  <si>
    <t>95795-000 a 95799-999</t>
  </si>
  <si>
    <t>Sério</t>
  </si>
  <si>
    <t>95918-000 a 95919-999</t>
  </si>
  <si>
    <t>Tabaí</t>
  </si>
  <si>
    <t>95863-000 a 95864-999</t>
  </si>
  <si>
    <t>Tapes</t>
  </si>
  <si>
    <t>96760-000 a 96764-999</t>
  </si>
  <si>
    <t>Taquara</t>
  </si>
  <si>
    <t>95600-001 a 95624-999</t>
  </si>
  <si>
    <t>Taquari</t>
  </si>
  <si>
    <t>95860-000 a 95862-999</t>
  </si>
  <si>
    <t>96290-000 a 96299-999</t>
  </si>
  <si>
    <t>Terra de Areia</t>
  </si>
  <si>
    <t>95535-000 a 95537-999</t>
  </si>
  <si>
    <t>Teutônia</t>
  </si>
  <si>
    <t>95890-000 a 95892-999</t>
  </si>
  <si>
    <t>Torres</t>
  </si>
  <si>
    <t>95560-000 a 95567-999</t>
  </si>
  <si>
    <t>Tramandaí</t>
  </si>
  <si>
    <t>95590-000 a 95594-999</t>
  </si>
  <si>
    <t>Travesseiro</t>
  </si>
  <si>
    <t>95948-000 a 95949-999</t>
  </si>
  <si>
    <t>95840-000 a 95859-999</t>
  </si>
  <si>
    <t>Três Cachoeiras</t>
  </si>
  <si>
    <t>95580-000 a 95584-999</t>
  </si>
  <si>
    <t>Três Coroas</t>
  </si>
  <si>
    <t>95660-000 a 95669-999</t>
  </si>
  <si>
    <t>Três Forquilhas</t>
  </si>
  <si>
    <t>95575-000 a 95576-999</t>
  </si>
  <si>
    <t>Tupandi</t>
  </si>
  <si>
    <t>95775-000 a 95777-999</t>
  </si>
  <si>
    <t>Turuçu</t>
  </si>
  <si>
    <t>96148-000 a 96149-999</t>
  </si>
  <si>
    <t>União da Serra</t>
  </si>
  <si>
    <t>99215-000 a 99219-999</t>
  </si>
  <si>
    <t>Vale do Sol</t>
  </si>
  <si>
    <t>96878-000 a 96879-999</t>
  </si>
  <si>
    <t>Vale Real</t>
  </si>
  <si>
    <t>95778-000 a 95779-999</t>
  </si>
  <si>
    <t>Vale Verde</t>
  </si>
  <si>
    <t>95833-000 a 95834-999</t>
  </si>
  <si>
    <t>Venâncio Aires</t>
  </si>
  <si>
    <t>95800-000 a 95819-999</t>
  </si>
  <si>
    <t>96880-000 a 96887-999</t>
  </si>
  <si>
    <t>Veranópolis</t>
  </si>
  <si>
    <t>95330-000 a 95332-999</t>
  </si>
  <si>
    <t>Vespasiano Corrêa</t>
  </si>
  <si>
    <t>95972-000 a 95974-999</t>
  </si>
  <si>
    <t>Vila Flores</t>
  </si>
  <si>
    <t>95334-000 a 95334-999</t>
  </si>
  <si>
    <t>Vista Alegre do Prata</t>
  </si>
  <si>
    <t>95325-000 a 95329-999</t>
  </si>
  <si>
    <t>Westfália</t>
  </si>
  <si>
    <t>95893-000 a 95894-999</t>
  </si>
  <si>
    <t>Xangri-Lá</t>
  </si>
  <si>
    <t>95588-000 a 95589-999</t>
  </si>
  <si>
    <t>Aceguá</t>
  </si>
  <si>
    <t>96445-000 a 96449-999</t>
  </si>
  <si>
    <t>Agudo</t>
  </si>
  <si>
    <t>96540-000 a 96544-999</t>
  </si>
  <si>
    <t>Ajuricaba</t>
  </si>
  <si>
    <t>98750-000 a 98757-999</t>
  </si>
  <si>
    <t>Almirante Tamandaré do Sul</t>
  </si>
  <si>
    <t>99523-000 a 99524-999</t>
  </si>
  <si>
    <t>Alpestre</t>
  </si>
  <si>
    <t>98480-000 a 98499-999</t>
  </si>
  <si>
    <t>99430-000 a 99434-999</t>
  </si>
  <si>
    <t>Ametista do Sul</t>
  </si>
  <si>
    <t>98465-000 a 98469-999</t>
  </si>
  <si>
    <t>Aratiba</t>
  </si>
  <si>
    <t>99770-000 a 99789-999</t>
  </si>
  <si>
    <t>Arroio do Padre</t>
  </si>
  <si>
    <t>96155-000 a 96159-999</t>
  </si>
  <si>
    <t>Arroio do Tigre</t>
  </si>
  <si>
    <t>96950-000 a 96989-999</t>
  </si>
  <si>
    <t>Arroio Grande</t>
  </si>
  <si>
    <t>96330-000 a 96359-999</t>
  </si>
  <si>
    <t>Augusto Pestana</t>
  </si>
  <si>
    <t>98740-000 a 98749-999</t>
  </si>
  <si>
    <t>Bagé</t>
  </si>
  <si>
    <t>96400-001 a 96444-999</t>
  </si>
  <si>
    <t>Barra do Rio Azul</t>
  </si>
  <si>
    <t>99795-000 a 99799-999</t>
  </si>
  <si>
    <t>Barra Funda</t>
  </si>
  <si>
    <t>99585-000 a 99589-999</t>
  </si>
  <si>
    <t>95370-000 a 95379-999</t>
  </si>
  <si>
    <t>Barão de Cotegipe</t>
  </si>
  <si>
    <t>99740-000 a 99749-999</t>
  </si>
  <si>
    <t>Benjamin Constant do Sul</t>
  </si>
  <si>
    <t>99650-000 a 99654-999</t>
  </si>
  <si>
    <t>Boa Vista das Missões</t>
  </si>
  <si>
    <t>98335-000 a 98337-999</t>
  </si>
  <si>
    <t>Boa Vista do Cadeado</t>
  </si>
  <si>
    <t>98118-000 a 98119-999</t>
  </si>
  <si>
    <t>Boa Vista do Incra</t>
  </si>
  <si>
    <t>98120-000 a 98124-999</t>
  </si>
  <si>
    <t>Bom Progresso</t>
  </si>
  <si>
    <t>98575-000 a 98579-999</t>
  </si>
  <si>
    <t>Bozano</t>
  </si>
  <si>
    <t>98733-000 a 98734-999</t>
  </si>
  <si>
    <t>Braga</t>
  </si>
  <si>
    <t>98560-000 a 98569-999</t>
  </si>
  <si>
    <t>Cacequi</t>
  </si>
  <si>
    <t>97450-000 a 97499-999</t>
  </si>
  <si>
    <t>Cacique Doble</t>
  </si>
  <si>
    <t>99860-000 a 99869-999</t>
  </si>
  <si>
    <t>98440-000 a 98449-999</t>
  </si>
  <si>
    <t>Camargo</t>
  </si>
  <si>
    <t>99165-000 a 99169-999</t>
  </si>
  <si>
    <t>Campinas do Sul</t>
  </si>
  <si>
    <t>99660-000 a 99664-999</t>
  </si>
  <si>
    <t>Campo Novo</t>
  </si>
  <si>
    <t>98570-000 a 98574-999</t>
  </si>
  <si>
    <t>Campos Borges</t>
  </si>
  <si>
    <t>99435-000 a 99439-999</t>
  </si>
  <si>
    <t>Candiota</t>
  </si>
  <si>
    <t>96495-000 a 96499-999</t>
  </si>
  <si>
    <t>Canguçu</t>
  </si>
  <si>
    <t>96600-000 a 96609-999</t>
  </si>
  <si>
    <t>Capão Bonito do Sul</t>
  </si>
  <si>
    <t>95308-000 a 95309-999</t>
  </si>
  <si>
    <t>Capão do Leão</t>
  </si>
  <si>
    <t>96160-000 a 96169-999</t>
  </si>
  <si>
    <t>Carazinho</t>
  </si>
  <si>
    <t>99500-000 a 99522-999</t>
  </si>
  <si>
    <t>Carlos Gomes</t>
  </si>
  <si>
    <t>99825-000 a 99829-999</t>
  </si>
  <si>
    <t>Caseiros</t>
  </si>
  <si>
    <t>95315-000 a 95319-999</t>
  </si>
  <si>
    <t>Catuípe</t>
  </si>
  <si>
    <t>98770-000 a 98779-999</t>
  </si>
  <si>
    <t>Caçapava do Sul</t>
  </si>
  <si>
    <t>96570-000 a 96589-999</t>
  </si>
  <si>
    <t>Centenário</t>
  </si>
  <si>
    <t>99838-000 a 99839-999</t>
  </si>
  <si>
    <t>Cerrito</t>
  </si>
  <si>
    <t>96395-000 a 96399-999</t>
  </si>
  <si>
    <t>Cerro Grande</t>
  </si>
  <si>
    <t>98340-000 a 98344-999</t>
  </si>
  <si>
    <t>Chapada</t>
  </si>
  <si>
    <t>99530-000 a 99559-999</t>
  </si>
  <si>
    <t>Charrua</t>
  </si>
  <si>
    <t>99960-000 a 99964-999</t>
  </si>
  <si>
    <t>Ciríaco</t>
  </si>
  <si>
    <t>99970-000 a 99979-999</t>
  </si>
  <si>
    <t>99460-000 a 99469-999</t>
  </si>
  <si>
    <t>Condor</t>
  </si>
  <si>
    <t>98290-000 a 98299-999</t>
  </si>
  <si>
    <t>Constantina</t>
  </si>
  <si>
    <t>99680-000 a 99686-999</t>
  </si>
  <si>
    <t>Coqueiros do Sul</t>
  </si>
  <si>
    <t>99528-000 a 99529-999</t>
  </si>
  <si>
    <t>Coronel Barros</t>
  </si>
  <si>
    <t>98735-000 a 98739-999</t>
  </si>
  <si>
    <t>Coronel Bicaco</t>
  </si>
  <si>
    <t>98580-000 a 98589-999</t>
  </si>
  <si>
    <t>Coxilha</t>
  </si>
  <si>
    <t>99145-000 a 99149-999</t>
  </si>
  <si>
    <t>Cristal do Sul</t>
  </si>
  <si>
    <t>98368-000 a 98369-999</t>
  </si>
  <si>
    <t>Cruz Alta</t>
  </si>
  <si>
    <t>98000-001 a 98059-999</t>
  </si>
  <si>
    <t>Cruzaltense</t>
  </si>
  <si>
    <t>99665-000 a 99669-999</t>
  </si>
  <si>
    <t>David Canabarro</t>
  </si>
  <si>
    <t>99980-000 a 99989-999</t>
  </si>
  <si>
    <t>Dilermando de Aguiar</t>
  </si>
  <si>
    <t>97180-000 a 97184-999</t>
  </si>
  <si>
    <t>Dois Irmãos das Missões</t>
  </si>
  <si>
    <t>98385-000 a 98389-999</t>
  </si>
  <si>
    <t>Dom Pedrito</t>
  </si>
  <si>
    <t>96450-000 a 96459-999</t>
  </si>
  <si>
    <t>Dona Francisca</t>
  </si>
  <si>
    <t>97280-000 a 97299-999</t>
  </si>
  <si>
    <t>Engenho Velho</t>
  </si>
  <si>
    <t>99698-000 a 99699-999</t>
  </si>
  <si>
    <t>Entre Rios do Sul</t>
  </si>
  <si>
    <t>99645-000 a 99649-999</t>
  </si>
  <si>
    <t>Entre-Ijuís</t>
  </si>
  <si>
    <t>98855-000 a 98859-999</t>
  </si>
  <si>
    <t>Erebango</t>
  </si>
  <si>
    <t>99920-000 a 99924-999</t>
  </si>
  <si>
    <t>Erechim</t>
  </si>
  <si>
    <t>99700-001 a 99717-999</t>
  </si>
  <si>
    <t>Ernestina</t>
  </si>
  <si>
    <t>99140-000 a 99144-999</t>
  </si>
  <si>
    <t>Erval Grande</t>
  </si>
  <si>
    <t>99750-000 a 99759-999</t>
  </si>
  <si>
    <t>Erval Seco</t>
  </si>
  <si>
    <t>98390-000 a 98399-999</t>
  </si>
  <si>
    <t>Esmeralda</t>
  </si>
  <si>
    <t>95380-000 a 95389-999</t>
  </si>
  <si>
    <t>Espumoso</t>
  </si>
  <si>
    <t>99400-000 a 99429-999</t>
  </si>
  <si>
    <t>Estação</t>
  </si>
  <si>
    <t>99930-000 a 99939-999</t>
  </si>
  <si>
    <t>Estrela Velha</t>
  </si>
  <si>
    <t>96990-000 a 96999-999</t>
  </si>
  <si>
    <t>Eugênio de Castro</t>
  </si>
  <si>
    <t>98860-000 a 98864-999</t>
  </si>
  <si>
    <t>Faxinal do Soturno</t>
  </si>
  <si>
    <t>97220-000 a 97229-999</t>
  </si>
  <si>
    <t>Faxinalzinho</t>
  </si>
  <si>
    <t>99655-000 a 99659-999</t>
  </si>
  <si>
    <t>Floriano Peixoto</t>
  </si>
  <si>
    <t>99910-000 a 99919-999</t>
  </si>
  <si>
    <t>Formigueiro</t>
  </si>
  <si>
    <t>97210-000 a 97219-999</t>
  </si>
  <si>
    <t>Fortaleza dos Valos</t>
  </si>
  <si>
    <t>98125-000 a 98129-999</t>
  </si>
  <si>
    <t>Frederico Westphalen</t>
  </si>
  <si>
    <t>98400-000 a 98409-999</t>
  </si>
  <si>
    <t>Gaurama</t>
  </si>
  <si>
    <t>99830-000 a 99834-999</t>
  </si>
  <si>
    <t>Gentil</t>
  </si>
  <si>
    <t>99160-000 a 99164-999</t>
  </si>
  <si>
    <t>Getúlio Vargas</t>
  </si>
  <si>
    <t>99900-000 a 99909-999</t>
  </si>
  <si>
    <t>Giruá</t>
  </si>
  <si>
    <t>98870-000 a 98894-999</t>
  </si>
  <si>
    <t>Gramado dos Loureiros</t>
  </si>
  <si>
    <t>99605-000 a 99609-999</t>
  </si>
  <si>
    <t>Herval</t>
  </si>
  <si>
    <t>96310-000 a 96329-999</t>
  </si>
  <si>
    <t>Hulha Negra</t>
  </si>
  <si>
    <t>96460-000 a 96469-999</t>
  </si>
  <si>
    <t>98670-000 a 98674-999</t>
  </si>
  <si>
    <t>Ibarama</t>
  </si>
  <si>
    <t>96925-000 a 96929-999</t>
  </si>
  <si>
    <t>Ibiaçá</t>
  </si>
  <si>
    <t>99940-000 a 99949-999</t>
  </si>
  <si>
    <t>Ibiraiaras</t>
  </si>
  <si>
    <t>95305-000 a 95307-999</t>
  </si>
  <si>
    <t>Ibirapuitã</t>
  </si>
  <si>
    <t>99320-000 a 99329-999</t>
  </si>
  <si>
    <t>Ibirubá</t>
  </si>
  <si>
    <t>98200-000 a 98229-999</t>
  </si>
  <si>
    <t>Ijuí</t>
  </si>
  <si>
    <t>98700-000 a 98732-999</t>
  </si>
  <si>
    <t>98915-000 a 98917-999</t>
  </si>
  <si>
    <t>Inhacorá</t>
  </si>
  <si>
    <t>98765-000 a 98769-999</t>
  </si>
  <si>
    <t>Ipiranga do Sul</t>
  </si>
  <si>
    <t>99925-000 a 99929-999</t>
  </si>
  <si>
    <t>Iraí</t>
  </si>
  <si>
    <t>98460-000 a 98464-999</t>
  </si>
  <si>
    <t>Itaara</t>
  </si>
  <si>
    <t>97185-000 a 97189-999</t>
  </si>
  <si>
    <t>Itatiba do Sul</t>
  </si>
  <si>
    <t>99760-000 a 99769-999</t>
  </si>
  <si>
    <t>Ivorá</t>
  </si>
  <si>
    <t>98160-000 a 98169-999</t>
  </si>
  <si>
    <t>Jaboticaba</t>
  </si>
  <si>
    <t>98350-000 a 98359-999</t>
  </si>
  <si>
    <t>Jacuizinho</t>
  </si>
  <si>
    <t>99457-000 a 99459-999</t>
  </si>
  <si>
    <t>99730-000 a 99734-999</t>
  </si>
  <si>
    <t>Jaguari</t>
  </si>
  <si>
    <t>97760-000 a 97769-999</t>
  </si>
  <si>
    <t>Jaguarão</t>
  </si>
  <si>
    <t>96300-000 a 96309-999</t>
  </si>
  <si>
    <t>Jari</t>
  </si>
  <si>
    <t>98175-000 a 98179-999</t>
  </si>
  <si>
    <t>Jóia</t>
  </si>
  <si>
    <t>98180-000 a 98199-999</t>
  </si>
  <si>
    <t>Júlio de Castilhos</t>
  </si>
  <si>
    <t>98130-000 a 98139-999</t>
  </si>
  <si>
    <t>Lagoa dos Três Cantos</t>
  </si>
  <si>
    <t>99495-000 a 99499-999</t>
  </si>
  <si>
    <t>Lagoa Vermelha</t>
  </si>
  <si>
    <t>95300-000 a 95304-999</t>
  </si>
  <si>
    <t>Lagoão</t>
  </si>
  <si>
    <t>99340-000 a 99344-999</t>
  </si>
  <si>
    <t>Lajeado do Bugre</t>
  </si>
  <si>
    <t>98320-000 a 98322-999</t>
  </si>
  <si>
    <t>Lavras do Sul</t>
  </si>
  <si>
    <t>97390-000 a 97399-999</t>
  </si>
  <si>
    <t>Liberato Salzano</t>
  </si>
  <si>
    <t>99690-000 a 99697-999</t>
  </si>
  <si>
    <t>Machadinho</t>
  </si>
  <si>
    <t>99880-000 a 99889-999</t>
  </si>
  <si>
    <t>Manoel Viana</t>
  </si>
  <si>
    <t>97640-000 a 97644-999</t>
  </si>
  <si>
    <t>Marau</t>
  </si>
  <si>
    <t>99150-000 a 99154-999</t>
  </si>
  <si>
    <t>Marcelino Ramos</t>
  </si>
  <si>
    <t>99800-000 a 99809-999</t>
  </si>
  <si>
    <t>Mariano Moro</t>
  </si>
  <si>
    <t>99790-000 a 99794-999</t>
  </si>
  <si>
    <t>Mata</t>
  </si>
  <si>
    <t>97410-000 a 97417-999</t>
  </si>
  <si>
    <t>Mato Castelhano</t>
  </si>
  <si>
    <t>99180-000 a 99189-999</t>
  </si>
  <si>
    <t>Maximiliano de Almeida</t>
  </si>
  <si>
    <t>99890-000 a 99894-999</t>
  </si>
  <si>
    <t>Miraguaí</t>
  </si>
  <si>
    <t>98540-000 a 98549-999</t>
  </si>
  <si>
    <t>Monte Alegre dos Campos</t>
  </si>
  <si>
    <t>95236-000 a 95239-999</t>
  </si>
  <si>
    <t>Mormaço</t>
  </si>
  <si>
    <t>99315-000 a 99319-999</t>
  </si>
  <si>
    <t>Morro Redondo</t>
  </si>
  <si>
    <t>96150-000 a 96154-999</t>
  </si>
  <si>
    <t>Muitos Capões</t>
  </si>
  <si>
    <t>95230-000 a 95235-999</t>
  </si>
  <si>
    <t>Muliterno</t>
  </si>
  <si>
    <t>99990-000 a 99999-999</t>
  </si>
  <si>
    <t>Nicolau Vergueiro</t>
  </si>
  <si>
    <t>99175-000 a 99179-999</t>
  </si>
  <si>
    <t>Nonoai</t>
  </si>
  <si>
    <t>99600-000 a 99604-999</t>
  </si>
  <si>
    <t>Nova Alvorada</t>
  </si>
  <si>
    <t>95985-000 a 95989-999</t>
  </si>
  <si>
    <t>Nova Boa Vista</t>
  </si>
  <si>
    <t>99580-000 a 99584-999</t>
  </si>
  <si>
    <t>Nova Esperança do Sul</t>
  </si>
  <si>
    <t>97770-000 a 97799-999</t>
  </si>
  <si>
    <t>Nova Palma</t>
  </si>
  <si>
    <t>97250-000 a 97279-999</t>
  </si>
  <si>
    <t>Nova Ramada</t>
  </si>
  <si>
    <t>98758-000 a 98759-999</t>
  </si>
  <si>
    <t>Novo Barreiro</t>
  </si>
  <si>
    <t>98338-000 a 98339-999</t>
  </si>
  <si>
    <t>Novo Tiradentes</t>
  </si>
  <si>
    <t>98370-000 a 98379-999</t>
  </si>
  <si>
    <t>Novo Xingu</t>
  </si>
  <si>
    <t>99687-000 a 99689-999</t>
  </si>
  <si>
    <t>Não-Me-Toque</t>
  </si>
  <si>
    <t>99470-000 a 99489-999</t>
  </si>
  <si>
    <t>Paim Filho</t>
  </si>
  <si>
    <t>99850-000 a 99854-999</t>
  </si>
  <si>
    <t>Palmeira das Missões</t>
  </si>
  <si>
    <t>98300-000 a 98319-999</t>
  </si>
  <si>
    <t>Palmitinho</t>
  </si>
  <si>
    <t>98430-000 a 98434-999</t>
  </si>
  <si>
    <t>Panambi</t>
  </si>
  <si>
    <t>98280-000 a 98289-999</t>
  </si>
  <si>
    <t>Passo Fundo</t>
  </si>
  <si>
    <t>99000-001 a 99139-999</t>
  </si>
  <si>
    <t>Paulo Bento</t>
  </si>
  <si>
    <t>99718-000 a 99719-999</t>
  </si>
  <si>
    <t>Pedras Altas</t>
  </si>
  <si>
    <t>96487-000 a 96489-999</t>
  </si>
  <si>
    <t>Pedro Osório</t>
  </si>
  <si>
    <t>96360-000 a 96394-999</t>
  </si>
  <si>
    <t>Pejuçara</t>
  </si>
  <si>
    <t>98270-000 a 98279-999</t>
  </si>
  <si>
    <t>Pelotas</t>
  </si>
  <si>
    <t>96000-001 a 96147-999</t>
  </si>
  <si>
    <t>Pinhal</t>
  </si>
  <si>
    <t>98345-000 a 98349-999</t>
  </si>
  <si>
    <t>Pinhal da Serra</t>
  </si>
  <si>
    <t>95390-000 a 95399-999</t>
  </si>
  <si>
    <t>Pinhal Grande</t>
  </si>
  <si>
    <t>98150-000 a 98159-999</t>
  </si>
  <si>
    <t>Pinheirinho do Vale</t>
  </si>
  <si>
    <t>98435-000 a 98439-999</t>
  </si>
  <si>
    <t>Pinheiro Machado</t>
  </si>
  <si>
    <t>96470-000 a 96486-999</t>
  </si>
  <si>
    <t>Piratini</t>
  </si>
  <si>
    <t>96490-000 a 96494-999</t>
  </si>
  <si>
    <t>98470-000 a 98479-999</t>
  </si>
  <si>
    <t>Ponte Preta</t>
  </si>
  <si>
    <t>99735-000 a 99739-999</t>
  </si>
  <si>
    <t>Pontão</t>
  </si>
  <si>
    <t>99190-000 a 99199-999</t>
  </si>
  <si>
    <t>Quatro Irmãos</t>
  </si>
  <si>
    <t>99720-000 a 99724-999</t>
  </si>
  <si>
    <t>Quevedos</t>
  </si>
  <si>
    <t>98140-000 a 98149-999</t>
  </si>
  <si>
    <t>Quinze de Novembro</t>
  </si>
  <si>
    <t>98230-000 a 98239-999</t>
  </si>
  <si>
    <t>Redentora</t>
  </si>
  <si>
    <t>98550-000 a 98559-999</t>
  </si>
  <si>
    <t>Restinga Sêca</t>
  </si>
  <si>
    <t>97200-000 a 97209-999</t>
  </si>
  <si>
    <t>Rio dos Índios</t>
  </si>
  <si>
    <t>99610-000 a 99614-999</t>
  </si>
  <si>
    <t>Rio Grande</t>
  </si>
  <si>
    <t>96200-001 a 96224-999</t>
  </si>
  <si>
    <t>Rodeio Bonito</t>
  </si>
  <si>
    <t>98360-000 a 98367-999</t>
  </si>
  <si>
    <t>Ronda Alta</t>
  </si>
  <si>
    <t>99670-000 a 99674-999</t>
  </si>
  <si>
    <t>Rondinha</t>
  </si>
  <si>
    <t>99590-000 a 99599-999</t>
  </si>
  <si>
    <t>Rosário do Sul</t>
  </si>
  <si>
    <t>97590-000 a 97609-999</t>
  </si>
  <si>
    <t>Sagrada Família</t>
  </si>
  <si>
    <t>98330-000 a 98334-999</t>
  </si>
  <si>
    <t>Saldanha Marinho</t>
  </si>
  <si>
    <t>98250-000 a 98269-999</t>
  </si>
  <si>
    <t>Salto do Jacuí</t>
  </si>
  <si>
    <t>99440-000 a 99449-999</t>
  </si>
  <si>
    <t>Sananduva</t>
  </si>
  <si>
    <t>99840-000 a 99849-999</t>
  </si>
  <si>
    <t>Santa Bárbara do Sul</t>
  </si>
  <si>
    <t>98240-000 a 98249-999</t>
  </si>
  <si>
    <t>Santa Cecília do Sul</t>
  </si>
  <si>
    <t>99952-000 a 99954-999</t>
  </si>
  <si>
    <t>Santa Margarida do Sul</t>
  </si>
  <si>
    <t>97335-000 a 97339-999</t>
  </si>
  <si>
    <t>97000-001 a 97179-999</t>
  </si>
  <si>
    <t>Santana da Boa Vista</t>
  </si>
  <si>
    <t>96590-000 a 96599-999</t>
  </si>
  <si>
    <t>Santiago</t>
  </si>
  <si>
    <t>97700-000 a 97752-999</t>
  </si>
  <si>
    <t>Santo Antônio do Palma</t>
  </si>
  <si>
    <t>99265-000 a 99269-999</t>
  </si>
  <si>
    <t>Santo Antônio do Planalto</t>
  </si>
  <si>
    <t>99525-000 a 99527-999</t>
  </si>
  <si>
    <t>Santo Augusto</t>
  </si>
  <si>
    <t>98590-000 a 98594-999</t>
  </si>
  <si>
    <t>Santo Expedito do Sul</t>
  </si>
  <si>
    <t>99895-000 a 99899-999</t>
  </si>
  <si>
    <t>Santo Ângelo</t>
  </si>
  <si>
    <t>98800-001 a 98849-999</t>
  </si>
  <si>
    <t>Sede Nova</t>
  </si>
  <si>
    <t>98675-000 a 98679-999</t>
  </si>
  <si>
    <t>Segredo</t>
  </si>
  <si>
    <t>96910-000 a 96919-999</t>
  </si>
  <si>
    <t>Selbach</t>
  </si>
  <si>
    <t>99450-000 a 99456-999</t>
  </si>
  <si>
    <t>Sertão</t>
  </si>
  <si>
    <t>99170-000 a 99174-999</t>
  </si>
  <si>
    <t>Sete de Setembro</t>
  </si>
  <si>
    <t>97960-000 a 97969-999</t>
  </si>
  <si>
    <t>Severiano de Almeida</t>
  </si>
  <si>
    <t>99810-000 a 99819-999</t>
  </si>
  <si>
    <t>Silveira Martins</t>
  </si>
  <si>
    <t>97195-000 a 97199-999</t>
  </si>
  <si>
    <t>São Francisco de Assis</t>
  </si>
  <si>
    <t>97610-000 a 97639-999</t>
  </si>
  <si>
    <t>97300-000 a 97334-999</t>
  </si>
  <si>
    <t>São José das Missões</t>
  </si>
  <si>
    <t>98325-000 a 98329-999</t>
  </si>
  <si>
    <t>São José do Norte</t>
  </si>
  <si>
    <t>96225-000 a 96229-999</t>
  </si>
  <si>
    <t>São José do Ouro</t>
  </si>
  <si>
    <t>99870-000 a 99877-999</t>
  </si>
  <si>
    <t>São José dos Ausentes</t>
  </si>
  <si>
    <t>95280-000 a 95289-999</t>
  </si>
  <si>
    <t>São João da Urtiga</t>
  </si>
  <si>
    <t>99855-000 a 99859-999</t>
  </si>
  <si>
    <t>São João do Polêsine</t>
  </si>
  <si>
    <t>97230-000 a 97249-999</t>
  </si>
  <si>
    <t>São Martinho</t>
  </si>
  <si>
    <t>98690-000 a 98699-999</t>
  </si>
  <si>
    <t>São Martinho da Serra</t>
  </si>
  <si>
    <t>97190-000 a 97194-999</t>
  </si>
  <si>
    <t>São Pedro do Sul</t>
  </si>
  <si>
    <t>97400-000 a 97409-999</t>
  </si>
  <si>
    <t>São Sepé</t>
  </si>
  <si>
    <t>97340-000 a 97384-999</t>
  </si>
  <si>
    <t>São Valentim</t>
  </si>
  <si>
    <t>99640-000 a 99644-999</t>
  </si>
  <si>
    <t>São Valério do Sul</t>
  </si>
  <si>
    <t>98595-000 a 98599-999</t>
  </si>
  <si>
    <t>São Vicente do Sul</t>
  </si>
  <si>
    <t>97420-000 a 97449-999</t>
  </si>
  <si>
    <t>99950-000 a 99951-999</t>
  </si>
  <si>
    <t>Tapera</t>
  </si>
  <si>
    <t>99490-000 a 99494-999</t>
  </si>
  <si>
    <t>Taquaruçu do Sul</t>
  </si>
  <si>
    <t>98410-000 a 98414-999</t>
  </si>
  <si>
    <t>Tenente Portela</t>
  </si>
  <si>
    <t>98500-000 a 98527-999</t>
  </si>
  <si>
    <t>Tio Hugo</t>
  </si>
  <si>
    <t>99345-000 a 99349-999</t>
  </si>
  <si>
    <t>Toropi</t>
  </si>
  <si>
    <t>97418-000 a 97419-999</t>
  </si>
  <si>
    <t>Trindade do Sul</t>
  </si>
  <si>
    <t>99615-000 a 99639-999</t>
  </si>
  <si>
    <t>Três Arroios</t>
  </si>
  <si>
    <t>99725-000 a 99729-999</t>
  </si>
  <si>
    <t>Três Palmeiras</t>
  </si>
  <si>
    <t>99675-000 a 99679-999</t>
  </si>
  <si>
    <t>Tunas</t>
  </si>
  <si>
    <t>99330-000 a 99339-999</t>
  </si>
  <si>
    <t>Tupanci do Sul</t>
  </si>
  <si>
    <t>99878-000 a 99879-999</t>
  </si>
  <si>
    <t>Tupanciretã</t>
  </si>
  <si>
    <t>98170-000 a 98174-999</t>
  </si>
  <si>
    <t>Vacaria</t>
  </si>
  <si>
    <t>95200-000 a 95229-999</t>
  </si>
  <si>
    <t>Vanini</t>
  </si>
  <si>
    <t>99290-000 a 99299-999</t>
  </si>
  <si>
    <t>Viadutos</t>
  </si>
  <si>
    <t>99820-000 a 99824-999</t>
  </si>
  <si>
    <t>Vicente Dutra</t>
  </si>
  <si>
    <t>98450-000 a 98459-999</t>
  </si>
  <si>
    <t>Victor Graeff</t>
  </si>
  <si>
    <t>99350-000 a 99359-999</t>
  </si>
  <si>
    <t>Vila Lângaro</t>
  </si>
  <si>
    <t>99955-000 a 99959-999</t>
  </si>
  <si>
    <t>Vila Maria</t>
  </si>
  <si>
    <t>99155-000 a 99159-999</t>
  </si>
  <si>
    <t>Vila Nova do Sul</t>
  </si>
  <si>
    <t>97385-000 a 97389-999</t>
  </si>
  <si>
    <t>Vista Alegre</t>
  </si>
  <si>
    <t>98415-000 a 98429-999</t>
  </si>
  <si>
    <t>Vista Gaúcha</t>
  </si>
  <si>
    <t>98535-000 a 98539-999</t>
  </si>
  <si>
    <t>Vitória das Missões</t>
  </si>
  <si>
    <t>98850-000 a 98854-999</t>
  </si>
  <si>
    <t>Água Santa</t>
  </si>
  <si>
    <t>99965-000 a 99969-999</t>
  </si>
  <si>
    <t>Áurea</t>
  </si>
  <si>
    <t>99835-000 a 99837-999</t>
  </si>
  <si>
    <t>Alecrim</t>
  </si>
  <si>
    <t>98950-000 a 98954-999</t>
  </si>
  <si>
    <t>Alegrete</t>
  </si>
  <si>
    <t>97540-001 a 97559-999</t>
  </si>
  <si>
    <t>Alegria</t>
  </si>
  <si>
    <t>98905-000 a 98909-999</t>
  </si>
  <si>
    <t>Barra do Guarita</t>
  </si>
  <si>
    <t>98530-000 a 98534-999</t>
  </si>
  <si>
    <t>Barra do Quaraí</t>
  </si>
  <si>
    <t>97538-000 a 97539-999</t>
  </si>
  <si>
    <t>Boa Vista do Buricá</t>
  </si>
  <si>
    <t>98918-000 a 98918-999</t>
  </si>
  <si>
    <t>Bossoroca</t>
  </si>
  <si>
    <t>97850-000 a 97869-999</t>
  </si>
  <si>
    <t>Caibaté</t>
  </si>
  <si>
    <t>97930-000 a 97934-999</t>
  </si>
  <si>
    <t>Campina das Missões</t>
  </si>
  <si>
    <t>98975-000 a 98979-999</t>
  </si>
  <si>
    <t>Capão do Cipó</t>
  </si>
  <si>
    <t>97753-000 a 97754-999</t>
  </si>
  <si>
    <t>Cerro Largo</t>
  </si>
  <si>
    <t>97900-000 a 97919-999</t>
  </si>
  <si>
    <t>Chiapetta</t>
  </si>
  <si>
    <t>98760-000 a 98764-999</t>
  </si>
  <si>
    <t>Chuí</t>
  </si>
  <si>
    <t>96255-000 a 96269-999</t>
  </si>
  <si>
    <t>Crissiumal</t>
  </si>
  <si>
    <t>98640-000 a 98669-999</t>
  </si>
  <si>
    <t>Cândido Godói</t>
  </si>
  <si>
    <t>98970-000 a 98974-999</t>
  </si>
  <si>
    <t>Derrubadas</t>
  </si>
  <si>
    <t>98528-000 a 98529-999</t>
  </si>
  <si>
    <t>Dezesseis de Novembro</t>
  </si>
  <si>
    <t>97845-000 a 97849-999</t>
  </si>
  <si>
    <t>Doutor Maurício Cardoso</t>
  </si>
  <si>
    <t>98925-000 a 98929-999</t>
  </si>
  <si>
    <t>Esperança do Sul</t>
  </si>
  <si>
    <t>98635-000 a 98639-999</t>
  </si>
  <si>
    <t>Garruchos</t>
  </si>
  <si>
    <t>97690-000 a 97699-999</t>
  </si>
  <si>
    <t>Guarani das Missões</t>
  </si>
  <si>
    <t>97950-000 a 97959-999</t>
  </si>
  <si>
    <t>Horizontina</t>
  </si>
  <si>
    <t>98920-000 a 98924-999</t>
  </si>
  <si>
    <t>Itacurubi</t>
  </si>
  <si>
    <t>97685-000 a 97689-999</t>
  </si>
  <si>
    <t>Itaqui</t>
  </si>
  <si>
    <t>97650-000 a 97669-999</t>
  </si>
  <si>
    <t>Mato Queimado</t>
  </si>
  <si>
    <t>97935-000 a 97939-999</t>
  </si>
  <si>
    <t>Maçambará</t>
  </si>
  <si>
    <t>97645-000 a 97649-999</t>
  </si>
  <si>
    <t>Nova Candelária</t>
  </si>
  <si>
    <t>98919-000 a 98919-999</t>
  </si>
  <si>
    <t>Novo Machado</t>
  </si>
  <si>
    <t>98955-000 a 98957-999</t>
  </si>
  <si>
    <t>Pirapó</t>
  </si>
  <si>
    <t>97885-000 a 97899-999</t>
  </si>
  <si>
    <t>Porto Lucena</t>
  </si>
  <si>
    <t>98980-000 a 98984-999</t>
  </si>
  <si>
    <t>Porto Mauá</t>
  </si>
  <si>
    <t>98947-000 a 98949-999</t>
  </si>
  <si>
    <t>Porto Vera Cruz</t>
  </si>
  <si>
    <t>98985-000 a 98994-999</t>
  </si>
  <si>
    <t>Porto Xavier</t>
  </si>
  <si>
    <t>98995-000 a 98999-999</t>
  </si>
  <si>
    <t>Quaraí</t>
  </si>
  <si>
    <t>97560-000 a 97569-999</t>
  </si>
  <si>
    <t>Rolador</t>
  </si>
  <si>
    <t>97843-000 a 97844-999</t>
  </si>
  <si>
    <t>Roque Gonzales</t>
  </si>
  <si>
    <t>97970-000 a 97979-999</t>
  </si>
  <si>
    <t>Salvador das Missões</t>
  </si>
  <si>
    <t>97940-000 a 97949-999</t>
  </si>
  <si>
    <t>Santa Rosa</t>
  </si>
  <si>
    <t>98780-001 a 98799-999</t>
  </si>
  <si>
    <t>Santa Vitória do Palmar</t>
  </si>
  <si>
    <t>96230-000 a 96254-999</t>
  </si>
  <si>
    <t>Sant'Ana do Livramento</t>
  </si>
  <si>
    <t>97570-001 a 97589-999</t>
  </si>
  <si>
    <t>Santo Antônio das Missões</t>
  </si>
  <si>
    <t>97870-000 a 97879-999</t>
  </si>
  <si>
    <t>Santo Cristo</t>
  </si>
  <si>
    <t>98960-000 a 98969-999</t>
  </si>
  <si>
    <t>Senador Salgado Filho</t>
  </si>
  <si>
    <t>98895-000 a 98897-999</t>
  </si>
  <si>
    <t>São Borja</t>
  </si>
  <si>
    <t>97670-000 a 97684-999</t>
  </si>
  <si>
    <t>São José do Inhacorá</t>
  </si>
  <si>
    <t>98958-000 a 98959-999</t>
  </si>
  <si>
    <t>São Luiz Gonzaga</t>
  </si>
  <si>
    <t>97800-000 a 97842-999</t>
  </si>
  <si>
    <t>São Miguel das Missões</t>
  </si>
  <si>
    <t>98865-000 a 98869-999</t>
  </si>
  <si>
    <t>São Nicolau</t>
  </si>
  <si>
    <t>97880-000 a 97884-999</t>
  </si>
  <si>
    <t>São Paulo das Missões</t>
  </si>
  <si>
    <t>97980-000 a 97999-999</t>
  </si>
  <si>
    <t>São Pedro das Missões</t>
  </si>
  <si>
    <t>98323-000 a 98324-999</t>
  </si>
  <si>
    <t>São Pedro do Butiá</t>
  </si>
  <si>
    <t>97920-000 a 97929-999</t>
  </si>
  <si>
    <t>Tiradentes do Sul</t>
  </si>
  <si>
    <t>98680-000 a 98689-999</t>
  </si>
  <si>
    <t>Três de Maio</t>
  </si>
  <si>
    <t>98910-000 a 98914-999</t>
  </si>
  <si>
    <t>Três Passos</t>
  </si>
  <si>
    <t>98600-000 a 98634-999</t>
  </si>
  <si>
    <t>Tucunduva</t>
  </si>
  <si>
    <t>98930-000 a 98939-999</t>
  </si>
  <si>
    <t>Tuparendi</t>
  </si>
  <si>
    <t>98940-000 a 98946-999</t>
  </si>
  <si>
    <t>Ubiretama</t>
  </si>
  <si>
    <t>98898-000 a 98899-999</t>
  </si>
  <si>
    <t>Unistalda</t>
  </si>
  <si>
    <t>97755-000 a 97759-999</t>
  </si>
  <si>
    <t>Uruguaiana</t>
  </si>
  <si>
    <t>97500-001 a 97537-999</t>
  </si>
  <si>
    <t>89200-001 a 89239-999</t>
  </si>
  <si>
    <t>Araquari</t>
  </si>
  <si>
    <t>89245-000 a 89246-999</t>
  </si>
  <si>
    <t>Garuva</t>
  </si>
  <si>
    <t>89248-000 a 89248-999</t>
  </si>
  <si>
    <t>Morro Grande</t>
  </si>
  <si>
    <t>88925-000 a 88929-999</t>
  </si>
  <si>
    <t>Agrolândia</t>
  </si>
  <si>
    <t>88420-000 a 88429-999</t>
  </si>
  <si>
    <t>Agronômica</t>
  </si>
  <si>
    <t>89188-000 a 89189-999</t>
  </si>
  <si>
    <t>Angelina</t>
  </si>
  <si>
    <t>88460-000 a 88469-999</t>
  </si>
  <si>
    <t>Anitápolis</t>
  </si>
  <si>
    <t>88475-000 a 88484-999</t>
  </si>
  <si>
    <t>88180-000 a 88189-999</t>
  </si>
  <si>
    <t>Apiúna</t>
  </si>
  <si>
    <t>89135-000 a 89135-999</t>
  </si>
  <si>
    <t>Ascurra</t>
  </si>
  <si>
    <t>89138-000 a 89139-999</t>
  </si>
  <si>
    <t>Atalanta</t>
  </si>
  <si>
    <t>88410-000 a 88419-999</t>
  </si>
  <si>
    <t>89186-000 a 89187-999</t>
  </si>
  <si>
    <t>Balneário Barra do Sul</t>
  </si>
  <si>
    <t>89247-000 a 89247-999</t>
  </si>
  <si>
    <t>Balneário Camboriú</t>
  </si>
  <si>
    <t>88330-001 a 88339-999</t>
  </si>
  <si>
    <t>Balneário Piçarras</t>
  </si>
  <si>
    <t>88380-000 a 88384-999</t>
  </si>
  <si>
    <t>Barra Velha</t>
  </si>
  <si>
    <t>88390-000 a 88394-999</t>
  </si>
  <si>
    <t>Bela Vista do Toldo</t>
  </si>
  <si>
    <t>89478-000 a 89479-999</t>
  </si>
  <si>
    <t>Benedito Novo</t>
  </si>
  <si>
    <t>89124-000 a 89125-999</t>
  </si>
  <si>
    <t>Biguaçu</t>
  </si>
  <si>
    <t>88160-001 a 88179-999</t>
  </si>
  <si>
    <t>Blumenau</t>
  </si>
  <si>
    <t>89000-001 a 89079-999</t>
  </si>
  <si>
    <t>Bombinhas</t>
  </si>
  <si>
    <t>88215-000 a 88219-999</t>
  </si>
  <si>
    <t>Botuverá</t>
  </si>
  <si>
    <t>88295-000 a 88299-999</t>
  </si>
  <si>
    <t>Braço do Trombudo</t>
  </si>
  <si>
    <t>89178-000 a 89179-999</t>
  </si>
  <si>
    <t>Brusque</t>
  </si>
  <si>
    <t>88350-001 a 88359-999</t>
  </si>
  <si>
    <t>Camboriú</t>
  </si>
  <si>
    <t>88340-001 a 88349-999</t>
  </si>
  <si>
    <t>89294-000 a 89294-999</t>
  </si>
  <si>
    <t>Canelinha</t>
  </si>
  <si>
    <t>88230-000 a 88239-999</t>
  </si>
  <si>
    <t>Canoinhas</t>
  </si>
  <si>
    <t>89460-000 a 89477-999</t>
  </si>
  <si>
    <t>Chapadão do Lageado</t>
  </si>
  <si>
    <t>88407-000 a 88409-999</t>
  </si>
  <si>
    <t>Corupá</t>
  </si>
  <si>
    <t>89278-000 a 89279-999</t>
  </si>
  <si>
    <t>Dona Emma</t>
  </si>
  <si>
    <t>89155-000 a 89156-999</t>
  </si>
  <si>
    <t>Doutor Pedrinho</t>
  </si>
  <si>
    <t>89126-000 a 89127-999</t>
  </si>
  <si>
    <t>Florianópolis</t>
  </si>
  <si>
    <t>88000-001 a 88099-999</t>
  </si>
  <si>
    <t>Garopaba</t>
  </si>
  <si>
    <t>88495-000 a 88499-999</t>
  </si>
  <si>
    <t>Gaspar</t>
  </si>
  <si>
    <t>89110-001 a 89119-999</t>
  </si>
  <si>
    <t>Governador Celso Ramos</t>
  </si>
  <si>
    <t>88190-000 a 88199-999</t>
  </si>
  <si>
    <t>Guabiruba</t>
  </si>
  <si>
    <t>88360-000 a 88369-999</t>
  </si>
  <si>
    <t>Guaramirim</t>
  </si>
  <si>
    <t>89270-000 a 89274-999</t>
  </si>
  <si>
    <t>Ibirama</t>
  </si>
  <si>
    <t>89140-000 a 89144-999</t>
  </si>
  <si>
    <t>Ilhota</t>
  </si>
  <si>
    <t>88320-000 a 88329-999</t>
  </si>
  <si>
    <t>Imbituba</t>
  </si>
  <si>
    <t>88780-000 a 88789-999</t>
  </si>
  <si>
    <t>Imbuia</t>
  </si>
  <si>
    <t>88440-000 a 88442-999</t>
  </si>
  <si>
    <t>Indaial</t>
  </si>
  <si>
    <t>89080-000 a 89099-999</t>
  </si>
  <si>
    <t>Irineópolis</t>
  </si>
  <si>
    <t>89440-000 a 89459-999</t>
  </si>
  <si>
    <t>Itaiópolis</t>
  </si>
  <si>
    <t>89340-000 a 89369-999</t>
  </si>
  <si>
    <t>Itajaí</t>
  </si>
  <si>
    <t>88300-001 a 88319-999</t>
  </si>
  <si>
    <t>Itapema</t>
  </si>
  <si>
    <t>88220-000 a 88229-999</t>
  </si>
  <si>
    <t>Itapoá</t>
  </si>
  <si>
    <t>89249-000 a 89249-999</t>
  </si>
  <si>
    <t>Ituporanga</t>
  </si>
  <si>
    <t>88400-000 a 88406-999</t>
  </si>
  <si>
    <t>Jaraguá do Sul</t>
  </si>
  <si>
    <t>89250-001 a 89269-999</t>
  </si>
  <si>
    <t>José Boiteux</t>
  </si>
  <si>
    <t>89145-000 a 89147-999</t>
  </si>
  <si>
    <t>Laurentino</t>
  </si>
  <si>
    <t>89170-000 a 89171-999</t>
  </si>
  <si>
    <t>Leoberto Leal</t>
  </si>
  <si>
    <t>88445-000 a 88449-999</t>
  </si>
  <si>
    <t>Lontras</t>
  </si>
  <si>
    <t>89182-000 a 89183-999</t>
  </si>
  <si>
    <t>Luiz Alves</t>
  </si>
  <si>
    <t>89128-000 a 89129-999</t>
  </si>
  <si>
    <t>Mafra</t>
  </si>
  <si>
    <t>89300-001 a 89339-999</t>
  </si>
  <si>
    <t>Major Gercino</t>
  </si>
  <si>
    <t>88260-000 a 88269-999</t>
  </si>
  <si>
    <t>Major Vieira</t>
  </si>
  <si>
    <t>89480-000 a 89489-999</t>
  </si>
  <si>
    <t>89108-000 a 89109-999</t>
  </si>
  <si>
    <t>Mirim Doce</t>
  </si>
  <si>
    <t>89194-000 a 89195-999</t>
  </si>
  <si>
    <t>Monte Castelo</t>
  </si>
  <si>
    <t>89380-000 a 89399-999</t>
  </si>
  <si>
    <t>Navegantes</t>
  </si>
  <si>
    <t>88370-001 a 88379-999</t>
  </si>
  <si>
    <t>Nova Trento</t>
  </si>
  <si>
    <t>88270-000 a 88294-999</t>
  </si>
  <si>
    <t>Otacílio Costa</t>
  </si>
  <si>
    <t>88540-000 a 88542-999</t>
  </si>
  <si>
    <t>Palhoça</t>
  </si>
  <si>
    <t>88130-001 a 88139-999</t>
  </si>
  <si>
    <t>Papanduva</t>
  </si>
  <si>
    <t>89370-000 a 89379-999</t>
  </si>
  <si>
    <t>Paulo Lopes</t>
  </si>
  <si>
    <t>88490-000 a 88494-999</t>
  </si>
  <si>
    <t>Penha</t>
  </si>
  <si>
    <t>88385-000 a 88389-999</t>
  </si>
  <si>
    <t>88430-000 a 88439-999</t>
  </si>
  <si>
    <t>Pomerode</t>
  </si>
  <si>
    <t>89107-000 a 89107-999</t>
  </si>
  <si>
    <t>Porto Belo</t>
  </si>
  <si>
    <t>88210-000 a 88214-999</t>
  </si>
  <si>
    <t>Pouso Redondo</t>
  </si>
  <si>
    <t>89172-000 a 89175-999</t>
  </si>
  <si>
    <t>Presidente Getúlio</t>
  </si>
  <si>
    <t>89150-000 a 89154-999</t>
  </si>
  <si>
    <t>Presidente Nereu</t>
  </si>
  <si>
    <t>89184-000 a 89185-999</t>
  </si>
  <si>
    <t>Rancho Queimado</t>
  </si>
  <si>
    <t>88470-000 a 88474-999</t>
  </si>
  <si>
    <t>Rio do Oeste</t>
  </si>
  <si>
    <t>89180-000 a 89181-999</t>
  </si>
  <si>
    <t>Rio do Sul</t>
  </si>
  <si>
    <t>89160-001 a 89169-999</t>
  </si>
  <si>
    <t>Rio dos Cedros</t>
  </si>
  <si>
    <t>89121-000 a 89123-999</t>
  </si>
  <si>
    <t>Rio Negrinho</t>
  </si>
  <si>
    <t>89295-000 a 89299-999</t>
  </si>
  <si>
    <t>Rodeio</t>
  </si>
  <si>
    <t>89136-000 a 89137-999</t>
  </si>
  <si>
    <t>Salete</t>
  </si>
  <si>
    <t>89196-000 a 89197-999</t>
  </si>
  <si>
    <t>89199-000 a 89199-999</t>
  </si>
  <si>
    <t>Santo Amaro da Imperatriz</t>
  </si>
  <si>
    <t>88140-000 a 88149-999</t>
  </si>
  <si>
    <t>Schroeder</t>
  </si>
  <si>
    <t>89275-000 a 89277-999</t>
  </si>
  <si>
    <t>São Bento do Sul</t>
  </si>
  <si>
    <t>89280-001 a 89293-999</t>
  </si>
  <si>
    <t>São Bonifácio</t>
  </si>
  <si>
    <t>88485-000 a 88489-999</t>
  </si>
  <si>
    <t>São Francisco do Sul</t>
  </si>
  <si>
    <t>89240-000 a 89244-999</t>
  </si>
  <si>
    <t>São José</t>
  </si>
  <si>
    <t>88100-001 a 88124-999</t>
  </si>
  <si>
    <t>88240-000 a 88259-999</t>
  </si>
  <si>
    <t>São João do Itaperiú</t>
  </si>
  <si>
    <t>88395-000 a 88399-999</t>
  </si>
  <si>
    <t>São Pedro de Alcântara</t>
  </si>
  <si>
    <t>88125-000 a 88129-999</t>
  </si>
  <si>
    <t>Taió</t>
  </si>
  <si>
    <t>89190-000 a 89193-999</t>
  </si>
  <si>
    <t>Tijucas</t>
  </si>
  <si>
    <t>88200-000 a 88209-999</t>
  </si>
  <si>
    <t>Timbó</t>
  </si>
  <si>
    <t>89120-000 a 89120-999</t>
  </si>
  <si>
    <t>Trombudo Central</t>
  </si>
  <si>
    <t>89176-000 a 89177-999</t>
  </si>
  <si>
    <t>Três Barras</t>
  </si>
  <si>
    <t>89490-000 a 89499-999</t>
  </si>
  <si>
    <t>Vidal Ramos</t>
  </si>
  <si>
    <t>88443-000 a 88444-999</t>
  </si>
  <si>
    <t>Vitor Meireles</t>
  </si>
  <si>
    <t>89148-000 a 89149-999</t>
  </si>
  <si>
    <t>Witmarsum</t>
  </si>
  <si>
    <t>89157-000 a 89159-999</t>
  </si>
  <si>
    <t>Águas Mornas</t>
  </si>
  <si>
    <t>88150-000 a 88159-999</t>
  </si>
  <si>
    <t>Abdon Batista</t>
  </si>
  <si>
    <t>89636-000 a 89637-999</t>
  </si>
  <si>
    <t>Abelardo Luz</t>
  </si>
  <si>
    <t>89830-000 a 89831-999</t>
  </si>
  <si>
    <t>Alfredo Wagner</t>
  </si>
  <si>
    <t>88450-000 a 88459-999</t>
  </si>
  <si>
    <t>Alto Bela Vista</t>
  </si>
  <si>
    <t>89730-000 a 89734-999</t>
  </si>
  <si>
    <t>89970-000 a 89979-999</t>
  </si>
  <si>
    <t>Anita Garibaldi</t>
  </si>
  <si>
    <t>88590-000 a 88597-999</t>
  </si>
  <si>
    <t>Arabutã</t>
  </si>
  <si>
    <t>89740-000 a 89744-999</t>
  </si>
  <si>
    <t>Araranguá</t>
  </si>
  <si>
    <t>88900-001 a 88913-999</t>
  </si>
  <si>
    <t>Armazém</t>
  </si>
  <si>
    <t>88740-000 a 88744-999</t>
  </si>
  <si>
    <t>Arroio Trinta</t>
  </si>
  <si>
    <t>89590-000 a 89594-999</t>
  </si>
  <si>
    <t>Arvoredo</t>
  </si>
  <si>
    <t>89778-000 a 89779-999</t>
  </si>
  <si>
    <t>Balneário Arroio do Silva</t>
  </si>
  <si>
    <t>88914-000 a 88914-999</t>
  </si>
  <si>
    <t>Balneário Gaivota</t>
  </si>
  <si>
    <t>88955-000 a 88959-999</t>
  </si>
  <si>
    <t>Balneário Rincão</t>
  </si>
  <si>
    <t>88828-000 a 88829-999</t>
  </si>
  <si>
    <t>Bocaina do Sul</t>
  </si>
  <si>
    <t>88538-000 a 88539-999</t>
  </si>
  <si>
    <t>Bom Jardim da Serra</t>
  </si>
  <si>
    <t>88640-000 a 88649-999</t>
  </si>
  <si>
    <t>89824-000 a 89824-999</t>
  </si>
  <si>
    <t>Bom Retiro</t>
  </si>
  <si>
    <t>88680-000 a 88699-999</t>
  </si>
  <si>
    <t>Braço do Norte</t>
  </si>
  <si>
    <t>88750-000 a 88759-999</t>
  </si>
  <si>
    <t>Brunópolis</t>
  </si>
  <si>
    <t>89634-000 a 89635-999</t>
  </si>
  <si>
    <t>Calmon</t>
  </si>
  <si>
    <t>89430-000 a 89439-999</t>
  </si>
  <si>
    <t>Campo Belo do Sul</t>
  </si>
  <si>
    <t>88580-000 a 88584-999</t>
  </si>
  <si>
    <t>Campos Novos</t>
  </si>
  <si>
    <t>89620-000 a 89632-999</t>
  </si>
  <si>
    <t>Capinzal</t>
  </si>
  <si>
    <t>89665-000 a 89666-999</t>
  </si>
  <si>
    <t>Capivari de Baixo</t>
  </si>
  <si>
    <t>88745-000 a 88749-999</t>
  </si>
  <si>
    <t>Capão Alto</t>
  </si>
  <si>
    <t>88548-000 a 88549-999</t>
  </si>
  <si>
    <t>89670-000 a 89674-999</t>
  </si>
  <si>
    <t>Caçador</t>
  </si>
  <si>
    <t>89500-001 a 89514-999</t>
  </si>
  <si>
    <t>Celso Ramos</t>
  </si>
  <si>
    <t>88598-000 a 88599-999</t>
  </si>
  <si>
    <t>Cerro Negro</t>
  </si>
  <si>
    <t>88585-000 a 88589-999</t>
  </si>
  <si>
    <t>Chapecó</t>
  </si>
  <si>
    <t>89800-001 a 89816-999</t>
  </si>
  <si>
    <t>Cocal do Sul</t>
  </si>
  <si>
    <t>88845-000 a 88849-999</t>
  </si>
  <si>
    <t>Concórdia</t>
  </si>
  <si>
    <t>89700-001 a 89729-999</t>
  </si>
  <si>
    <t>Cordilheira Alta</t>
  </si>
  <si>
    <t>89819-000 a 89819-999</t>
  </si>
  <si>
    <t>Coronel Freitas</t>
  </si>
  <si>
    <t>89840-000 a 89842-999</t>
  </si>
  <si>
    <t>Coronel Martins</t>
  </si>
  <si>
    <t>89837-000 a 89837-999</t>
  </si>
  <si>
    <t>Correia Pinto</t>
  </si>
  <si>
    <t>88535-000 a 88537-999</t>
  </si>
  <si>
    <t>Criciúma</t>
  </si>
  <si>
    <t>88800-001 a 88819-999</t>
  </si>
  <si>
    <t>Curitibanos</t>
  </si>
  <si>
    <t>89520-000 a 89529-999</t>
  </si>
  <si>
    <t>89862-000 a 89864-999</t>
  </si>
  <si>
    <t>Ermo</t>
  </si>
  <si>
    <t>88935-000 a 88939-999</t>
  </si>
  <si>
    <t>Erval Velho</t>
  </si>
  <si>
    <t>89613-000 a 89617-999</t>
  </si>
  <si>
    <t>Faxinal dos Guedes</t>
  </si>
  <si>
    <t>89694-000 a 89699-999</t>
  </si>
  <si>
    <t>Forquilhinha</t>
  </si>
  <si>
    <t>88850-000 a 88859-999</t>
  </si>
  <si>
    <t>Fraiburgo</t>
  </si>
  <si>
    <t>89580-000 a 89589-999</t>
  </si>
  <si>
    <t>Frei Rogério</t>
  </si>
  <si>
    <t>89530-000 a 89532-999</t>
  </si>
  <si>
    <t>Galvão</t>
  </si>
  <si>
    <t>89838-000 a 89838-999</t>
  </si>
  <si>
    <t>Gravatal</t>
  </si>
  <si>
    <t>88735-000 a 88739-999</t>
  </si>
  <si>
    <t>Grão-Pará</t>
  </si>
  <si>
    <t>88890-000 a 88899-999</t>
  </si>
  <si>
    <t>Herval D'Oeste</t>
  </si>
  <si>
    <t>89610-000 a 89612-999</t>
  </si>
  <si>
    <t>Ibiam</t>
  </si>
  <si>
    <t>89652-000 a 89653-999</t>
  </si>
  <si>
    <t>Ibicaré</t>
  </si>
  <si>
    <t>89640-000 a 89641-999</t>
  </si>
  <si>
    <t>Imaruí</t>
  </si>
  <si>
    <t>88770-000 a 88779-999</t>
  </si>
  <si>
    <t>Iomerê</t>
  </si>
  <si>
    <t>89558-000 a 89559-999</t>
  </si>
  <si>
    <t>Ipira</t>
  </si>
  <si>
    <t>89669-000 a 89669-999</t>
  </si>
  <si>
    <t>Ipuaçu</t>
  </si>
  <si>
    <t>89832-000 a 89833-999</t>
  </si>
  <si>
    <t>Ipumirim</t>
  </si>
  <si>
    <t>89790-000 a 89799-999</t>
  </si>
  <si>
    <t>Irani</t>
  </si>
  <si>
    <t>89680-000 a 89682-999</t>
  </si>
  <si>
    <t>Itá</t>
  </si>
  <si>
    <t>89760-000 a 89764-999</t>
  </si>
  <si>
    <t>Içara</t>
  </si>
  <si>
    <t>88820-000 a 88827-999</t>
  </si>
  <si>
    <t>Jaborá</t>
  </si>
  <si>
    <t>89677-000 a 89679-999</t>
  </si>
  <si>
    <t>Jacinto Machado</t>
  </si>
  <si>
    <t>88950-000 a 88954-999</t>
  </si>
  <si>
    <t>Jaguaruna</t>
  </si>
  <si>
    <t>88715-000 a 88716-999</t>
  </si>
  <si>
    <t>Joaçaba</t>
  </si>
  <si>
    <t>89600-000 a 89608-999</t>
  </si>
  <si>
    <t>Jupiá</t>
  </si>
  <si>
    <t>89839-000 a 89839-999</t>
  </si>
  <si>
    <t>Lacerdópolis</t>
  </si>
  <si>
    <t>89660-000 a 89662-999</t>
  </si>
  <si>
    <t>Lages</t>
  </si>
  <si>
    <t>88500-001 a 88534-999</t>
  </si>
  <si>
    <t>Laguna</t>
  </si>
  <si>
    <t>88790-000 a 88797-999</t>
  </si>
  <si>
    <t>Lajeado Grande</t>
  </si>
  <si>
    <t>89828-000 a 89829-999</t>
  </si>
  <si>
    <t>Lauro Müller</t>
  </si>
  <si>
    <t>88880-000 a 88889-999</t>
  </si>
  <si>
    <t>Lebon Régis</t>
  </si>
  <si>
    <t>89515-000 a 89517-999</t>
  </si>
  <si>
    <t>Lindóia do Sul</t>
  </si>
  <si>
    <t>89735-000 a 89739-999</t>
  </si>
  <si>
    <t>Luzerna</t>
  </si>
  <si>
    <t>89609-000 a 89609-999</t>
  </si>
  <si>
    <t>Macieira</t>
  </si>
  <si>
    <t>89518-000 a 89519-999</t>
  </si>
  <si>
    <t>Maracajá</t>
  </si>
  <si>
    <t>88915-000 a 88919-999</t>
  </si>
  <si>
    <t>Marema</t>
  </si>
  <si>
    <t>89860-000 a 89861-999</t>
  </si>
  <si>
    <t>Matos Costa</t>
  </si>
  <si>
    <t>89420-000 a 89429-999</t>
  </si>
  <si>
    <t>Meleiro</t>
  </si>
  <si>
    <t>88920-000 a 88924-999</t>
  </si>
  <si>
    <t>Monte Carlo</t>
  </si>
  <si>
    <t>89618-000 a 89619-999</t>
  </si>
  <si>
    <t>Morro da Fumaça</t>
  </si>
  <si>
    <t>88830-000 a 88839-999</t>
  </si>
  <si>
    <t>88865-000 a 88869-999</t>
  </si>
  <si>
    <t>Orleans</t>
  </si>
  <si>
    <t>88870-000 a 88879-999</t>
  </si>
  <si>
    <t>Ouro</t>
  </si>
  <si>
    <t>89663-000 a 89664-999</t>
  </si>
  <si>
    <t>Ouro Verde</t>
  </si>
  <si>
    <t>89834-000 a 89834-999</t>
  </si>
  <si>
    <t>Painel</t>
  </si>
  <si>
    <t>88543-000 a 88544-999</t>
  </si>
  <si>
    <t>88545-000 a 88547-999</t>
  </si>
  <si>
    <t>Passo de Torres</t>
  </si>
  <si>
    <t>88980-000 a 88989-999</t>
  </si>
  <si>
    <t>Passos Maia</t>
  </si>
  <si>
    <t>89687-000 a 89689-999</t>
  </si>
  <si>
    <t>Pedras Grandes</t>
  </si>
  <si>
    <t>88720-000 a 88729-999</t>
  </si>
  <si>
    <t>Peritiba</t>
  </si>
  <si>
    <t>89750-000 a 89759-999</t>
  </si>
  <si>
    <t>Pescaria Brava</t>
  </si>
  <si>
    <t>88798-000 a 88799-999</t>
  </si>
  <si>
    <t>Pinheiro Preto</t>
  </si>
  <si>
    <t>89570-000 a 89579-999</t>
  </si>
  <si>
    <t>Piratuba</t>
  </si>
  <si>
    <t>89667-000 a 89668-999</t>
  </si>
  <si>
    <t>Ponte Alta</t>
  </si>
  <si>
    <t>88550-000 a 88569-999</t>
  </si>
  <si>
    <t>Ponte Alta do Norte</t>
  </si>
  <si>
    <t>89535-000 a 89539-999</t>
  </si>
  <si>
    <t>Ponte Serrada</t>
  </si>
  <si>
    <t>89683-000 a 89686-999</t>
  </si>
  <si>
    <t>Porto União</t>
  </si>
  <si>
    <t>89400-000 a 89419-999</t>
  </si>
  <si>
    <t>Praia Grande</t>
  </si>
  <si>
    <t>88990-000 a 88999-999</t>
  </si>
  <si>
    <t>Presidente Castello Branco</t>
  </si>
  <si>
    <t>89745-000 a 89749-999</t>
  </si>
  <si>
    <t>Rio das Antas</t>
  </si>
  <si>
    <t>89550-000 a 89557-999</t>
  </si>
  <si>
    <t>Rio do Campo</t>
  </si>
  <si>
    <t>89198-000 a 89198-999</t>
  </si>
  <si>
    <t>Rio Fortuna</t>
  </si>
  <si>
    <t>88760-000 a 88762-999</t>
  </si>
  <si>
    <t>Rio Rufino</t>
  </si>
  <si>
    <t>88658-000 a 88679-999</t>
  </si>
  <si>
    <t>Salto Veloso</t>
  </si>
  <si>
    <t>89595-000 a 89599-999</t>
  </si>
  <si>
    <t>Sangão</t>
  </si>
  <si>
    <t>88717-000 a 88719-999</t>
  </si>
  <si>
    <t>89540-000 a 89544-999</t>
  </si>
  <si>
    <t>Santa Rosa de Lima</t>
  </si>
  <si>
    <t>88763-000 a 88764-999</t>
  </si>
  <si>
    <t>Santa Rosa do Sul</t>
  </si>
  <si>
    <t>88965-000 a 88969-999</t>
  </si>
  <si>
    <t>Santiago do Sul</t>
  </si>
  <si>
    <t>89854-000 a 89854-999</t>
  </si>
  <si>
    <t>Seara</t>
  </si>
  <si>
    <t>89770-000 a 89777-999</t>
  </si>
  <si>
    <t>Siderópolis</t>
  </si>
  <si>
    <t>88860-000 a 88861-999</t>
  </si>
  <si>
    <t>Sombrio</t>
  </si>
  <si>
    <t>88960-000 a 88964-999</t>
  </si>
  <si>
    <t>São Cristóvão do Sul</t>
  </si>
  <si>
    <t>89533-000 a 89534-999</t>
  </si>
  <si>
    <t>89835-000 a 89836-999</t>
  </si>
  <si>
    <t>São Joaquim</t>
  </si>
  <si>
    <t>88600-000 a 88624-999</t>
  </si>
  <si>
    <t>São José do Cedro</t>
  </si>
  <si>
    <t>89930-000 a 89934-999</t>
  </si>
  <si>
    <t>São José do Cerrito</t>
  </si>
  <si>
    <t>88570-000 a 88579-999</t>
  </si>
  <si>
    <t>São João do Sul</t>
  </si>
  <si>
    <t>88970-000 a 88979-999</t>
  </si>
  <si>
    <t>São Lourenço do Oeste</t>
  </si>
  <si>
    <t>89990-000 a 89997-999</t>
  </si>
  <si>
    <t>São Ludgero</t>
  </si>
  <si>
    <t>88730-000 a 88734-999</t>
  </si>
  <si>
    <t>88765-000 a 88769-999</t>
  </si>
  <si>
    <t>89642-000 a 89649-999</t>
  </si>
  <si>
    <t>Timbé do Sul</t>
  </si>
  <si>
    <t>88940-000 a 88949-999</t>
  </si>
  <si>
    <t>Timbó Grande</t>
  </si>
  <si>
    <t>89545-000 a 89549-999</t>
  </si>
  <si>
    <t>Treviso</t>
  </si>
  <si>
    <t>88862-000 a 88864-999</t>
  </si>
  <si>
    <t>Treze de Maio</t>
  </si>
  <si>
    <t>88710-000 a 88714-999</t>
  </si>
  <si>
    <t>Treze Tílias</t>
  </si>
  <si>
    <t>89650-000 a 89651-999</t>
  </si>
  <si>
    <t>Tubarão</t>
  </si>
  <si>
    <t>88700-001 a 88709-999</t>
  </si>
  <si>
    <t>88930-000 a 88934-999</t>
  </si>
  <si>
    <t>Urubici</t>
  </si>
  <si>
    <t>88650-000 a 88657-999</t>
  </si>
  <si>
    <t>Urupema</t>
  </si>
  <si>
    <t>88625-000 a 88639-999</t>
  </si>
  <si>
    <t>Urussanga</t>
  </si>
  <si>
    <t>88840-000 a 88844-999</t>
  </si>
  <si>
    <t>Vargem</t>
  </si>
  <si>
    <t>89638-000 a 89639-999</t>
  </si>
  <si>
    <t>89675-000 a 89676-999</t>
  </si>
  <si>
    <t>Vargeão</t>
  </si>
  <si>
    <t>89690-000 a 89693-999</t>
  </si>
  <si>
    <t>Videira</t>
  </si>
  <si>
    <t>89560-000 a 89569-999</t>
  </si>
  <si>
    <t>Xanxerê</t>
  </si>
  <si>
    <t>89820-000 a 89823-999</t>
  </si>
  <si>
    <t>Xavantina</t>
  </si>
  <si>
    <t>89780-000 a 89789-999</t>
  </si>
  <si>
    <t>Xaxim</t>
  </si>
  <si>
    <t>89825-000 a 89827-999</t>
  </si>
  <si>
    <t>Zortéa</t>
  </si>
  <si>
    <t>89633-000 a 89633-999</t>
  </si>
  <si>
    <t>Água Doce</t>
  </si>
  <si>
    <t>89654-000 a 89659-999</t>
  </si>
  <si>
    <t>Bandeirante</t>
  </si>
  <si>
    <t>89905-000 a 89905-999</t>
  </si>
  <si>
    <t>Barra Bonita</t>
  </si>
  <si>
    <t>89909-000 a 89909-999</t>
  </si>
  <si>
    <t>89925-000 a 89929-999</t>
  </si>
  <si>
    <t>Bom Jesus do Oeste</t>
  </si>
  <si>
    <t>89873-000 a 89873-999</t>
  </si>
  <si>
    <t>Caibi</t>
  </si>
  <si>
    <t>89888-000 a 89889-999</t>
  </si>
  <si>
    <t>Campo Erê</t>
  </si>
  <si>
    <t>89980-000 a 89980-999</t>
  </si>
  <si>
    <t>Caxambu do Sul</t>
  </si>
  <si>
    <t>89880-000 a 89881-999</t>
  </si>
  <si>
    <t>Cunha Porã</t>
  </si>
  <si>
    <t>89890-000 a 89890-999</t>
  </si>
  <si>
    <t>Cunhataí</t>
  </si>
  <si>
    <t>89886-000 a 89886-999</t>
  </si>
  <si>
    <t>Descanso</t>
  </si>
  <si>
    <t>89910-000 a 89914-999</t>
  </si>
  <si>
    <t>Dionísio Cerqueira</t>
  </si>
  <si>
    <t>89950-000 a 89969-999</t>
  </si>
  <si>
    <t>Flor do Sertão</t>
  </si>
  <si>
    <t>89878-000 a 89878-999</t>
  </si>
  <si>
    <t>Formosa do Sul</t>
  </si>
  <si>
    <t>89859-000 a 89859-999</t>
  </si>
  <si>
    <t>89920-000 a 89924-999</t>
  </si>
  <si>
    <t>Guarujá do Sul</t>
  </si>
  <si>
    <t>89940-000 a 89949-999</t>
  </si>
  <si>
    <t>Guatambú</t>
  </si>
  <si>
    <t>89817-000 a 89817-999</t>
  </si>
  <si>
    <t>Iporã do Oeste</t>
  </si>
  <si>
    <t>89899-000 a 89899-999</t>
  </si>
  <si>
    <t>Iraceminha</t>
  </si>
  <si>
    <t>89891-000 a 89892-999</t>
  </si>
  <si>
    <t>89856-000 a 89858-999</t>
  </si>
  <si>
    <t>89896-000 a 89896-999</t>
  </si>
  <si>
    <t>Jardinópolis</t>
  </si>
  <si>
    <t>89848-000 a 89849-999</t>
  </si>
  <si>
    <t>89874-000 a 89874-999</t>
  </si>
  <si>
    <t>Modelo</t>
  </si>
  <si>
    <t>89872-000 a 89872-999</t>
  </si>
  <si>
    <t>Mondaí</t>
  </si>
  <si>
    <t>89893-000 a 89894-999</t>
  </si>
  <si>
    <t>Nova Erechim</t>
  </si>
  <si>
    <t>89865-000 a 89867-999</t>
  </si>
  <si>
    <t>Nova Itaberaba</t>
  </si>
  <si>
    <t>89818-000 a 89818-999</t>
  </si>
  <si>
    <t>89998-000 a 89999-999</t>
  </si>
  <si>
    <t>Paial</t>
  </si>
  <si>
    <t>89765-000 a 89769-999</t>
  </si>
  <si>
    <t>Palma Sola</t>
  </si>
  <si>
    <t>89985-000 a 89989-999</t>
  </si>
  <si>
    <t>Palmitos</t>
  </si>
  <si>
    <t>89887-000 a 89887-999</t>
  </si>
  <si>
    <t>Paraíso</t>
  </si>
  <si>
    <t>89906-000 a 89907-999</t>
  </si>
  <si>
    <t>Pinhalzinho</t>
  </si>
  <si>
    <t>89870-000 a 89870-999</t>
  </si>
  <si>
    <t>Planalto Alegre</t>
  </si>
  <si>
    <t>89882-000 a 89882-999</t>
  </si>
  <si>
    <t>Princesa</t>
  </si>
  <si>
    <t>89935-000 a 89939-999</t>
  </si>
  <si>
    <t>Quilombo</t>
  </si>
  <si>
    <t>89850-000 a 89853-999</t>
  </si>
  <si>
    <t>Riqueza</t>
  </si>
  <si>
    <t>89895-000 a 89895-999</t>
  </si>
  <si>
    <t>Romelândia</t>
  </si>
  <si>
    <t>89908-000 a 89908-999</t>
  </si>
  <si>
    <t>Saltinho</t>
  </si>
  <si>
    <t>89981-000 a 89981-999</t>
  </si>
  <si>
    <t>89915-000 a 89919-999</t>
  </si>
  <si>
    <t>Santa Terezinha do Progresso</t>
  </si>
  <si>
    <t>89983-000 a 89984-999</t>
  </si>
  <si>
    <t>Saudades</t>
  </si>
  <si>
    <t>89868-000 a 89869-999</t>
  </si>
  <si>
    <t>Serra Alta</t>
  </si>
  <si>
    <t>89871-000 a 89871-999</t>
  </si>
  <si>
    <t>Sul Brasil</t>
  </si>
  <si>
    <t>89855-000 a 89855-999</t>
  </si>
  <si>
    <t>São Bernardino</t>
  </si>
  <si>
    <t>89982-000 a 89982-999</t>
  </si>
  <si>
    <t>São Carlos</t>
  </si>
  <si>
    <t>89885-000 a 89885-999</t>
  </si>
  <si>
    <t>São João do Oeste</t>
  </si>
  <si>
    <t>89897-000 a 89897-999</t>
  </si>
  <si>
    <t>São Miguel da Boa Vista</t>
  </si>
  <si>
    <t>89879-000 a 89879-999</t>
  </si>
  <si>
    <t>São Miguel do Oeste</t>
  </si>
  <si>
    <t>89900-000 a 89904-999</t>
  </si>
  <si>
    <t>Tigrinhos</t>
  </si>
  <si>
    <t>89875-000 a 89877-999</t>
  </si>
  <si>
    <t>Tunápolis</t>
  </si>
  <si>
    <t>89898-000 a 89898-999</t>
  </si>
  <si>
    <t>União do Oeste</t>
  </si>
  <si>
    <t>89845-000 a 89847-999</t>
  </si>
  <si>
    <t>Águas de Chapecó</t>
  </si>
  <si>
    <t>89883-000 a 89884-999</t>
  </si>
  <si>
    <t>Águas Frias</t>
  </si>
  <si>
    <t>89843-000 a 89844-999</t>
  </si>
  <si>
    <t>49000-001 a 49099-999</t>
  </si>
  <si>
    <t>49580-000 a 49599-999</t>
  </si>
  <si>
    <t>Barra dos Coqueiros</t>
  </si>
  <si>
    <t>49140-000 a 49149-999</t>
  </si>
  <si>
    <t>Divina Pastora</t>
  </si>
  <si>
    <t>49650-000 a 49659-999</t>
  </si>
  <si>
    <t>Itaporanga D'Ajuda</t>
  </si>
  <si>
    <t>49120-000 a 49129-999</t>
  </si>
  <si>
    <t>Laranjeiras</t>
  </si>
  <si>
    <t>49170-000 a 49179-999</t>
  </si>
  <si>
    <t>Maruim</t>
  </si>
  <si>
    <t>49770-000 a 49779-999</t>
  </si>
  <si>
    <t>Nossa Senhora do Socorro</t>
  </si>
  <si>
    <t>49150-000 a 49169-999</t>
  </si>
  <si>
    <t>49130-000 a 49139-999</t>
  </si>
  <si>
    <t>Rosário do Catete</t>
  </si>
  <si>
    <t>49760-000 a 49769-999</t>
  </si>
  <si>
    <t>Santo Amaro das Brotas</t>
  </si>
  <si>
    <t>49180-000 a 49189-999</t>
  </si>
  <si>
    <t>São Cristóvão</t>
  </si>
  <si>
    <t>49100-000 a 49119-999</t>
  </si>
  <si>
    <t>Campo do Brito</t>
  </si>
  <si>
    <t>49520-000 a 49524-999</t>
  </si>
  <si>
    <t>Carmópolis</t>
  </si>
  <si>
    <t>49740-000 a 49749-999</t>
  </si>
  <si>
    <t>General Maynard</t>
  </si>
  <si>
    <t>49750-000 a 49759-999</t>
  </si>
  <si>
    <t>49500-001 a 49511-999</t>
  </si>
  <si>
    <t>Japaratuba</t>
  </si>
  <si>
    <t>49960-000 a 49969-999</t>
  </si>
  <si>
    <t>Malhador</t>
  </si>
  <si>
    <t>49570-000 a 49579-999</t>
  </si>
  <si>
    <t>Pirambu</t>
  </si>
  <si>
    <t>49190-000 a 49199-999</t>
  </si>
  <si>
    <t>Salgado</t>
  </si>
  <si>
    <t>49390-000 a 49399-999</t>
  </si>
  <si>
    <t>49640-000 a 49649-999</t>
  </si>
  <si>
    <t>Siriri</t>
  </si>
  <si>
    <t>49630-000 a 49639-999</t>
  </si>
  <si>
    <t>Amparo do São Francisco</t>
  </si>
  <si>
    <t>49920-000 a 49929-999</t>
  </si>
  <si>
    <t>Aquidabã</t>
  </si>
  <si>
    <t>49790-000 a 49799-999</t>
  </si>
  <si>
    <t>Arauá</t>
  </si>
  <si>
    <t>49220-000 a 49229-999</t>
  </si>
  <si>
    <t>Boquim</t>
  </si>
  <si>
    <t>49360-000 a 49389-999</t>
  </si>
  <si>
    <t>Canhoba</t>
  </si>
  <si>
    <t>49880-000 a 49889-999</t>
  </si>
  <si>
    <t>49700-000 a 49739-999</t>
  </si>
  <si>
    <t>Carira</t>
  </si>
  <si>
    <t>49550-000 a 49559-999</t>
  </si>
  <si>
    <t>Cedro de São João</t>
  </si>
  <si>
    <t>49930-000 a 49939-999</t>
  </si>
  <si>
    <t>Cristinápolis</t>
  </si>
  <si>
    <t>49270-000 a 49279-999</t>
  </si>
  <si>
    <t>Cumbe</t>
  </si>
  <si>
    <t>49660-000 a 49669-999</t>
  </si>
  <si>
    <t>Estância</t>
  </si>
  <si>
    <t>49200-000 a 49219-999</t>
  </si>
  <si>
    <t>49670-000 a 49679-999</t>
  </si>
  <si>
    <t>Frei Paulo</t>
  </si>
  <si>
    <t>49514-000 a 49516-999</t>
  </si>
  <si>
    <t>Gracho Cardoso</t>
  </si>
  <si>
    <t>49860-000 a 49869-999</t>
  </si>
  <si>
    <t>Indiaroba</t>
  </si>
  <si>
    <t>49250-000 a 49259-999</t>
  </si>
  <si>
    <t>Itabaianinha</t>
  </si>
  <si>
    <t>49290-000 a 49299-999</t>
  </si>
  <si>
    <t>Japoatã</t>
  </si>
  <si>
    <t>49950-000 a 49959-999</t>
  </si>
  <si>
    <t>Lagarto</t>
  </si>
  <si>
    <t>49400-000 a 49479-999</t>
  </si>
  <si>
    <t>Macambira</t>
  </si>
  <si>
    <t>49565-000 a 49569-999</t>
  </si>
  <si>
    <t>Malhada dos Bois</t>
  </si>
  <si>
    <t>49940-000 a 49944-999</t>
  </si>
  <si>
    <t>Moita Bonita</t>
  </si>
  <si>
    <t>49560-000 a 49564-999</t>
  </si>
  <si>
    <t>Muribeca</t>
  </si>
  <si>
    <t>49780-000 a 49789-999</t>
  </si>
  <si>
    <t>Neópolis</t>
  </si>
  <si>
    <t>49980-000 a 49984-999</t>
  </si>
  <si>
    <t>Nossa Senhora Aparecida</t>
  </si>
  <si>
    <t>49540-000 a 49549-999</t>
  </si>
  <si>
    <t>Nossa Senhora da Glória</t>
  </si>
  <si>
    <t>49680-000 a 49689-999</t>
  </si>
  <si>
    <t>Nossa Senhora das Dores</t>
  </si>
  <si>
    <t>49600-000 a 49629-999</t>
  </si>
  <si>
    <t>49970-000 a 49979-999</t>
  </si>
  <si>
    <t>Pedra Mole</t>
  </si>
  <si>
    <t>49512-000 a 49513-999</t>
  </si>
  <si>
    <t>Pedrinhas</t>
  </si>
  <si>
    <t>49350-000 a 49359-999</t>
  </si>
  <si>
    <t>49517-000 a 49519-999</t>
  </si>
  <si>
    <t>Propriá</t>
  </si>
  <si>
    <t>49900-000 a 49909-999</t>
  </si>
  <si>
    <t>Riachão do Dantas</t>
  </si>
  <si>
    <t>49320-000 a 49349-999</t>
  </si>
  <si>
    <t>Ribeirópolis</t>
  </si>
  <si>
    <t>49530-000 a 49534-999</t>
  </si>
  <si>
    <t>Santa Luzia do Itanhy</t>
  </si>
  <si>
    <t>49230-000 a 49249-999</t>
  </si>
  <si>
    <t>Santana do São Francisco</t>
  </si>
  <si>
    <t>49985-000 a 49989-999</t>
  </si>
  <si>
    <t>Simão Dias</t>
  </si>
  <si>
    <t>49480-000 a 49489-999</t>
  </si>
  <si>
    <t>49525-000 a 49529-999</t>
  </si>
  <si>
    <t>49945-000 a 49949-999</t>
  </si>
  <si>
    <t>São Miguel do Aleixo</t>
  </si>
  <si>
    <t>49535-000 a 49539-999</t>
  </si>
  <si>
    <t>Telha</t>
  </si>
  <si>
    <t>49910-000 a 49919-999</t>
  </si>
  <si>
    <t>Tobias Barreto</t>
  </si>
  <si>
    <t>49300-000 a 49319-999</t>
  </si>
  <si>
    <t>Umbaúba</t>
  </si>
  <si>
    <t>49260-000 a 49269-999</t>
  </si>
  <si>
    <t>Brejo Grande</t>
  </si>
  <si>
    <t>49995-000 a 49999-999</t>
  </si>
  <si>
    <t>Canindé de São Francisco</t>
  </si>
  <si>
    <t>49820-000 a 49829-999</t>
  </si>
  <si>
    <t>Gararu</t>
  </si>
  <si>
    <t>49830-000 a 49859-999</t>
  </si>
  <si>
    <t>Ilha das Flores</t>
  </si>
  <si>
    <t>49990-000 a 49994-999</t>
  </si>
  <si>
    <t>Itabi</t>
  </si>
  <si>
    <t>49870-000 a 49879-999</t>
  </si>
  <si>
    <t>Monte Alegre de Sergipe</t>
  </si>
  <si>
    <t>49690-000 a 49699-999</t>
  </si>
  <si>
    <t>Nossa Senhora de Lourdes</t>
  </si>
  <si>
    <t>49890-000 a 49899-999</t>
  </si>
  <si>
    <t>Porto da Folha</t>
  </si>
  <si>
    <t>49800-000 a 49809-999</t>
  </si>
  <si>
    <t>Poço Redondo</t>
  </si>
  <si>
    <t>49810-000 a 49819-999</t>
  </si>
  <si>
    <t>Poço Verde</t>
  </si>
  <si>
    <t>49490-000 a 49499-999</t>
  </si>
  <si>
    <t>Tomar do Geru</t>
  </si>
  <si>
    <t>49280-000 a 49289-999</t>
  </si>
  <si>
    <t>01000-001 a 05999-999</t>
  </si>
  <si>
    <t>08000-000 a 08499-999</t>
  </si>
  <si>
    <t>Arujá</t>
  </si>
  <si>
    <t>07400-001 a 07499-999</t>
  </si>
  <si>
    <t>Barueri</t>
  </si>
  <si>
    <t>06400-001 a 06499-999</t>
  </si>
  <si>
    <t>Caieiras</t>
  </si>
  <si>
    <t>07700-001 a 07749-999</t>
  </si>
  <si>
    <t>Carapicuíba</t>
  </si>
  <si>
    <t>06300-001 a 06399-999</t>
  </si>
  <si>
    <t>Diadema</t>
  </si>
  <si>
    <t>09900-001 a 09999-999</t>
  </si>
  <si>
    <t>Embu das Artes</t>
  </si>
  <si>
    <t>06800-001 a 06849-999</t>
  </si>
  <si>
    <t>Ferraz de Vasconcelos</t>
  </si>
  <si>
    <t>08500-001 a 08549-999</t>
  </si>
  <si>
    <t>Guarulhos</t>
  </si>
  <si>
    <t>07000-001 a 07399-999</t>
  </si>
  <si>
    <t>Itaquaquecetuba</t>
  </si>
  <si>
    <t>08570-001 a 08599-999</t>
  </si>
  <si>
    <t>Jandira</t>
  </si>
  <si>
    <t>06600-001 a 06649-999</t>
  </si>
  <si>
    <t>Mairiporã</t>
  </si>
  <si>
    <t>07600-000 a 07699-999</t>
  </si>
  <si>
    <t>Mauá</t>
  </si>
  <si>
    <t>09300-001 a 09399-999</t>
  </si>
  <si>
    <t>Osasco</t>
  </si>
  <si>
    <t>06000-001 a 06299-999</t>
  </si>
  <si>
    <t>09000-001 a 09299-999</t>
  </si>
  <si>
    <t>São Bernardo do Campo</t>
  </si>
  <si>
    <t>09600-001 a 09899-999</t>
  </si>
  <si>
    <t>São Caetano do Sul</t>
  </si>
  <si>
    <t>09500-001 a 09599-999</t>
  </si>
  <si>
    <t>Taboão da Serra</t>
  </si>
  <si>
    <t>06750-001 a 06799-999</t>
  </si>
  <si>
    <t>Aguaí</t>
  </si>
  <si>
    <t>13860-000 a 13869-999</t>
  </si>
  <si>
    <t>Alambari</t>
  </si>
  <si>
    <t>18220-000 a 18224-999</t>
  </si>
  <si>
    <t>Alumínio</t>
  </si>
  <si>
    <t>18125-000 a 18129-999</t>
  </si>
  <si>
    <t>Americana</t>
  </si>
  <si>
    <t>13465-001 a 13479-999</t>
  </si>
  <si>
    <t>13900-001 a 13909-999</t>
  </si>
  <si>
    <t>Analândia</t>
  </si>
  <si>
    <t>13550-000 a 13559-999</t>
  </si>
  <si>
    <t>Angatuba</t>
  </si>
  <si>
    <t>18240-000 a 18244-999</t>
  </si>
  <si>
    <t>Anhembi</t>
  </si>
  <si>
    <t>18620-000 a 18639-999</t>
  </si>
  <si>
    <t>12570-000 a 12579-999</t>
  </si>
  <si>
    <t>Araras</t>
  </si>
  <si>
    <t>13600-001 a 13609-999</t>
  </si>
  <si>
    <t>Araçariguama</t>
  </si>
  <si>
    <t>18147-000 a 18149-999</t>
  </si>
  <si>
    <t>Araçoiaba da Serra</t>
  </si>
  <si>
    <t>18190-000 a 18194-999</t>
  </si>
  <si>
    <t>Arco-Íris</t>
  </si>
  <si>
    <t>17630-000 a 17649-999</t>
  </si>
  <si>
    <t>Areias</t>
  </si>
  <si>
    <t>12820-000 a 12829-999</t>
  </si>
  <si>
    <t>Artur Nogueira</t>
  </si>
  <si>
    <t>13160-000 a 13164-999</t>
  </si>
  <si>
    <t>Atibaia</t>
  </si>
  <si>
    <t>12940-001 a 12954-999</t>
  </si>
  <si>
    <t>Avaré</t>
  </si>
  <si>
    <t>18700-001 a 18709-999</t>
  </si>
  <si>
    <t>Bertioga</t>
  </si>
  <si>
    <t>11250-000 a 11299-999</t>
  </si>
  <si>
    <t>Biritiba Mirim</t>
  </si>
  <si>
    <t>08940-000 a 08969-999</t>
  </si>
  <si>
    <t>Bofete</t>
  </si>
  <si>
    <t>18590-000 a 18599-999</t>
  </si>
  <si>
    <t>Boituva</t>
  </si>
  <si>
    <t>18550-000 a 18559-999</t>
  </si>
  <si>
    <t>Bom Jesus dos Perdões</t>
  </si>
  <si>
    <t>12955-000 a 12959-999</t>
  </si>
  <si>
    <t>Botucatu</t>
  </si>
  <si>
    <t>18600-001 a 18619-999</t>
  </si>
  <si>
    <t>Bragança Paulista</t>
  </si>
  <si>
    <t>12900-001 a 12929-999</t>
  </si>
  <si>
    <t>Brotas</t>
  </si>
  <si>
    <t>17380-000 a 17399-999</t>
  </si>
  <si>
    <t>Buri</t>
  </si>
  <si>
    <t>18290-000 a 18299-999</t>
  </si>
  <si>
    <t>Cabreúva</t>
  </si>
  <si>
    <t>13315-000 a 13319-999</t>
  </si>
  <si>
    <t>Cachoeira Paulista</t>
  </si>
  <si>
    <t>12630-000 a 12689-999</t>
  </si>
  <si>
    <t>Cajamar</t>
  </si>
  <si>
    <t>07750-001 a 07799-999</t>
  </si>
  <si>
    <t>Cajati</t>
  </si>
  <si>
    <t>11950-000 a 11954-999</t>
  </si>
  <si>
    <t>Campina do Monte Alegre</t>
  </si>
  <si>
    <t>18245-000 a 18249-999</t>
  </si>
  <si>
    <t>Campinas</t>
  </si>
  <si>
    <t>13000-001 a 13139-999</t>
  </si>
  <si>
    <t>Campo Limpo Paulista</t>
  </si>
  <si>
    <t>13230-001 a 13239-999</t>
  </si>
  <si>
    <t>Campos do Jordão</t>
  </si>
  <si>
    <t>12460-000 a 12489-999</t>
  </si>
  <si>
    <t>Canas</t>
  </si>
  <si>
    <t>12615-000 a 12619-999</t>
  </si>
  <si>
    <t>Capela do Alto</t>
  </si>
  <si>
    <t>18195-000 a 18199-999</t>
  </si>
  <si>
    <t>Capivari</t>
  </si>
  <si>
    <t>13360-000 a 13369-999</t>
  </si>
  <si>
    <t>Capão Bonito</t>
  </si>
  <si>
    <t>18300-001 a 18309-999</t>
  </si>
  <si>
    <t>Caraguatatuba</t>
  </si>
  <si>
    <t>11660-001 a 11679-999</t>
  </si>
  <si>
    <t>Casa Branca</t>
  </si>
  <si>
    <t>13700-000 a 13709-999</t>
  </si>
  <si>
    <t>Caçapava</t>
  </si>
  <si>
    <t>12280-001 a 12299-999</t>
  </si>
  <si>
    <t>Cerquilho</t>
  </si>
  <si>
    <t>18520-000 a 18529-999</t>
  </si>
  <si>
    <t>Cesário Lange</t>
  </si>
  <si>
    <t>18285-000 a 18289-999</t>
  </si>
  <si>
    <t>Charqueada</t>
  </si>
  <si>
    <t>13515-000 a 13519-999</t>
  </si>
  <si>
    <t>Conchal</t>
  </si>
  <si>
    <t>13835-000 a 13839-999</t>
  </si>
  <si>
    <t>Conchas</t>
  </si>
  <si>
    <t>18570-000 a 18579-999</t>
  </si>
  <si>
    <t>Corumbataí</t>
  </si>
  <si>
    <t>13540-000 a 13549-999</t>
  </si>
  <si>
    <t>Cosmópolis</t>
  </si>
  <si>
    <t>13150-001 a 13159-999</t>
  </si>
  <si>
    <t>Cotia</t>
  </si>
  <si>
    <t>06700-001 a 06729-999</t>
  </si>
  <si>
    <t>12700-001 a 12759-999</t>
  </si>
  <si>
    <t>Cubatão</t>
  </si>
  <si>
    <t>11500-001 a 11599-999</t>
  </si>
  <si>
    <t>Cunha</t>
  </si>
  <si>
    <t>12530-000 a 12569-999</t>
  </si>
  <si>
    <t>Descalvado</t>
  </si>
  <si>
    <t>13690-000 a 13699-999</t>
  </si>
  <si>
    <t>Elias Fausto</t>
  </si>
  <si>
    <t>13350-000 a 13359-999</t>
  </si>
  <si>
    <t>Embu-Guaçu</t>
  </si>
  <si>
    <t>06900-000 a 06949-999</t>
  </si>
  <si>
    <t>Engenheiro Coelho</t>
  </si>
  <si>
    <t>13165-000 a 13169-999</t>
  </si>
  <si>
    <t>Espírito Santo do Pinhal</t>
  </si>
  <si>
    <t>13990-000 a 13994-999</t>
  </si>
  <si>
    <t>Estiva Gerbi</t>
  </si>
  <si>
    <t>13857-000 a 13859-999</t>
  </si>
  <si>
    <t>Francisco Morato</t>
  </si>
  <si>
    <t>07900-001 a 07999-999</t>
  </si>
  <si>
    <t>Franco da Rocha</t>
  </si>
  <si>
    <t>07800-001 a 07899-999</t>
  </si>
  <si>
    <t>Guapiara</t>
  </si>
  <si>
    <t>18310-000 a 18314-999</t>
  </si>
  <si>
    <t>Guararema</t>
  </si>
  <si>
    <t>08900-000 a 08939-999</t>
  </si>
  <si>
    <t>Guaratinguetá</t>
  </si>
  <si>
    <t>12500-001 a 12524-999</t>
  </si>
  <si>
    <t>Guareí</t>
  </si>
  <si>
    <t>18250-000 a 18254-999</t>
  </si>
  <si>
    <t>Guarujá</t>
  </si>
  <si>
    <t>11400-001 a 11499-999</t>
  </si>
  <si>
    <t>14580-000 a 14599-999</t>
  </si>
  <si>
    <t>Holambra</t>
  </si>
  <si>
    <t>13825-000 a 13829-999</t>
  </si>
  <si>
    <t>Hortolândia</t>
  </si>
  <si>
    <t>13183-001 a 13189-999</t>
  </si>
  <si>
    <t>Iaras</t>
  </si>
  <si>
    <t>18775-000 a 18779-999</t>
  </si>
  <si>
    <t>Ibaté</t>
  </si>
  <si>
    <t>14815-000 a 14819-999</t>
  </si>
  <si>
    <t>Ibiúna</t>
  </si>
  <si>
    <t>18150-000 a 18159-999</t>
  </si>
  <si>
    <t>Igaratá</t>
  </si>
  <si>
    <t>12350-000 a 12379-999</t>
  </si>
  <si>
    <t>Iguape</t>
  </si>
  <si>
    <t>11920-000 a 11924-999</t>
  </si>
  <si>
    <t>Ilha Comprida</t>
  </si>
  <si>
    <t>11925-000 a 11929-999</t>
  </si>
  <si>
    <t>Ilhabela</t>
  </si>
  <si>
    <t>11630-000 a 11659-999</t>
  </si>
  <si>
    <t>Indaiatuba</t>
  </si>
  <si>
    <t>13330-001 a 13349-999</t>
  </si>
  <si>
    <t>Iperó</t>
  </si>
  <si>
    <t>18560-000 a 18569-999</t>
  </si>
  <si>
    <t>Ipeúna</t>
  </si>
  <si>
    <t>13537-000 a 13539-999</t>
  </si>
  <si>
    <t>Iracemápolis</t>
  </si>
  <si>
    <t>13495-000 a 13499-999</t>
  </si>
  <si>
    <t>Itanhaém</t>
  </si>
  <si>
    <t>11740-000 a 11749-999</t>
  </si>
  <si>
    <t>Itapecerica da Serra</t>
  </si>
  <si>
    <t>06850-001 a 06889-999</t>
  </si>
  <si>
    <t>Itapetininga</t>
  </si>
  <si>
    <t>18200-001 a 18219-999</t>
  </si>
  <si>
    <t>Itapevi</t>
  </si>
  <si>
    <t>06650-001 a 06699-999</t>
  </si>
  <si>
    <t>Itapira</t>
  </si>
  <si>
    <t>13970-001 a 13989-999</t>
  </si>
  <si>
    <t>Itariri</t>
  </si>
  <si>
    <t>11760-000 a 11789-999</t>
  </si>
  <si>
    <t>Itatiba</t>
  </si>
  <si>
    <t>13250-001 a 13259-999</t>
  </si>
  <si>
    <t>Itatinga</t>
  </si>
  <si>
    <t>18690-000 a 18699-999</t>
  </si>
  <si>
    <t>Itirapina</t>
  </si>
  <si>
    <t>13530-000 a 13536-999</t>
  </si>
  <si>
    <t>Itobi</t>
  </si>
  <si>
    <t>13715-000 a 13719-999</t>
  </si>
  <si>
    <t>Itu</t>
  </si>
  <si>
    <t>13300-001 a 13314-999</t>
  </si>
  <si>
    <t>Itupeva</t>
  </si>
  <si>
    <t>13295-000 a 13299-999</t>
  </si>
  <si>
    <t>Jacareí</t>
  </si>
  <si>
    <t>12300-001 a 12349-999</t>
  </si>
  <si>
    <t>Jacupiranga</t>
  </si>
  <si>
    <t>11940-000 a 11949-999</t>
  </si>
  <si>
    <t>Jaguariúna</t>
  </si>
  <si>
    <t>13910-001 a 13919-999</t>
  </si>
  <si>
    <t>Jambeiro</t>
  </si>
  <si>
    <t>12270-000 a 12279-999</t>
  </si>
  <si>
    <t>Jarinu</t>
  </si>
  <si>
    <t>13240-000 a 13249-999</t>
  </si>
  <si>
    <t>Joanópolis</t>
  </si>
  <si>
    <t>12980-000 a 12989-999</t>
  </si>
  <si>
    <t>Jumirim</t>
  </si>
  <si>
    <t>18535-000 a 18539-999</t>
  </si>
  <si>
    <t>Jundiaí</t>
  </si>
  <si>
    <t>13200-001 a 13219-999</t>
  </si>
  <si>
    <t>Juquitiba</t>
  </si>
  <si>
    <t>06950-000 a 06999-999</t>
  </si>
  <si>
    <t>Juquiá</t>
  </si>
  <si>
    <t>11800-000 a 11849-999</t>
  </si>
  <si>
    <t>Lagoinha</t>
  </si>
  <si>
    <t>12130-000 a 12139-999</t>
  </si>
  <si>
    <t>Laranjal Paulista</t>
  </si>
  <si>
    <t>18500-000 a 18519-999</t>
  </si>
  <si>
    <t>Lavrinhas</t>
  </si>
  <si>
    <t>12760-000 a 12799-999</t>
  </si>
  <si>
    <t>Leme</t>
  </si>
  <si>
    <t>13610-001 a 13624-999</t>
  </si>
  <si>
    <t>Limeira</t>
  </si>
  <si>
    <t>13480-001 a 13489-999</t>
  </si>
  <si>
    <t>Lindóia</t>
  </si>
  <si>
    <t>13950-000 a 13959-999</t>
  </si>
  <si>
    <t>Lorena</t>
  </si>
  <si>
    <t>12600-001 a 12614-999</t>
  </si>
  <si>
    <t>Louveira</t>
  </si>
  <si>
    <t>13290-000 a 13294-999</t>
  </si>
  <si>
    <t>Mairinque</t>
  </si>
  <si>
    <t>18120-000 a 18124-999</t>
  </si>
  <si>
    <t>Miracatu</t>
  </si>
  <si>
    <t>11850-000 a 11899-999</t>
  </si>
  <si>
    <t>Mococa</t>
  </si>
  <si>
    <t>13730-001 a 13759-999</t>
  </si>
  <si>
    <t>Mogi das Cruzes</t>
  </si>
  <si>
    <t>08700-001 a 08899-999</t>
  </si>
  <si>
    <t>Mogi Guaçu</t>
  </si>
  <si>
    <t>13840-001 a 13856-999</t>
  </si>
  <si>
    <t>Mogi Mirim</t>
  </si>
  <si>
    <t>13800-001 a 13819-999</t>
  </si>
  <si>
    <t>Mombuca</t>
  </si>
  <si>
    <t>13375-000 a 13379-999</t>
  </si>
  <si>
    <t>Mongaguá</t>
  </si>
  <si>
    <t>11730-000 a 11739-999</t>
  </si>
  <si>
    <t>Monte Alegre do Sul</t>
  </si>
  <si>
    <t>13820-000 a 13824-999</t>
  </si>
  <si>
    <t>Monte Mor</t>
  </si>
  <si>
    <t>13190-000 a 13199-999</t>
  </si>
  <si>
    <t>Monteiro Lobato</t>
  </si>
  <si>
    <t>12250-000 a 12259-999</t>
  </si>
  <si>
    <t>Morungaba</t>
  </si>
  <si>
    <t>13260-000 a 13269-999</t>
  </si>
  <si>
    <t>Natividade da Serra</t>
  </si>
  <si>
    <t>12180-000 a 12199-999</t>
  </si>
  <si>
    <t>Nazaré Paulista</t>
  </si>
  <si>
    <t>12960-000 a 12969-999</t>
  </si>
  <si>
    <t>Nova Odessa</t>
  </si>
  <si>
    <t>13380-001 a 13389-999</t>
  </si>
  <si>
    <t>Paraibuna</t>
  </si>
  <si>
    <t>12260-000 a 12269-999</t>
  </si>
  <si>
    <t>Paranapanema</t>
  </si>
  <si>
    <t>18720-000 a 18729-999</t>
  </si>
  <si>
    <t>Pardinho</t>
  </si>
  <si>
    <t>18640-000 a 18649-999</t>
  </si>
  <si>
    <t>Pariquera-Açu</t>
  </si>
  <si>
    <t>11930-000 a 11939-999</t>
  </si>
  <si>
    <t>Paulínia</t>
  </si>
  <si>
    <t>13140-001 a 13149-999</t>
  </si>
  <si>
    <t>Pedra Bela</t>
  </si>
  <si>
    <t>12990-000 a 12994-999</t>
  </si>
  <si>
    <t>Pedreira</t>
  </si>
  <si>
    <t>13920-000 a 13929-999</t>
  </si>
  <si>
    <t>Pedro de Toledo</t>
  </si>
  <si>
    <t>11790-000 a 11799-999</t>
  </si>
  <si>
    <t>Pereiras</t>
  </si>
  <si>
    <t>18580-000 a 18589-999</t>
  </si>
  <si>
    <t>Peruíbe</t>
  </si>
  <si>
    <t>11750-000 a 11759-999</t>
  </si>
  <si>
    <t>Pilar do Sul</t>
  </si>
  <si>
    <t>18185-000 a 18189-999</t>
  </si>
  <si>
    <t>Pindamonhangaba</t>
  </si>
  <si>
    <t>12400-001 a 12449-999</t>
  </si>
  <si>
    <t>12995-000 a 12999-999</t>
  </si>
  <si>
    <t>Piquete</t>
  </si>
  <si>
    <t>12620-000 a 12629-999</t>
  </si>
  <si>
    <t>Piracaia</t>
  </si>
  <si>
    <t>12970-000 a 12979-999</t>
  </si>
  <si>
    <t>Piracicaba</t>
  </si>
  <si>
    <t>13400-001 a 13439-999</t>
  </si>
  <si>
    <t>Pirapora do Bom Jesus</t>
  </si>
  <si>
    <t>06550-000 a 06599-999</t>
  </si>
  <si>
    <t>Pirassununga</t>
  </si>
  <si>
    <t>13630-001 a 13649-999</t>
  </si>
  <si>
    <t>Porangaba</t>
  </si>
  <si>
    <t>18260-000 a 18264-999</t>
  </si>
  <si>
    <t>Porto Feliz</t>
  </si>
  <si>
    <t>18540-000 a 18549-999</t>
  </si>
  <si>
    <t>Porto Ferreira</t>
  </si>
  <si>
    <t>13660-000 a 13669-999</t>
  </si>
  <si>
    <t>Potim</t>
  </si>
  <si>
    <t>12525-000 a 12529-999</t>
  </si>
  <si>
    <t>Poá</t>
  </si>
  <si>
    <t>08550-001 a 08569-999</t>
  </si>
  <si>
    <t>11700-001 a 11729-999</t>
  </si>
  <si>
    <t>Pratânia</t>
  </si>
  <si>
    <t>18660-000 a 18669-999</t>
  </si>
  <si>
    <t>Quadra</t>
  </si>
  <si>
    <t>18255-000 a 18259-999</t>
  </si>
  <si>
    <t>Queluz</t>
  </si>
  <si>
    <t>12800-000 a 12819-999</t>
  </si>
  <si>
    <t>Rafard</t>
  </si>
  <si>
    <t>13370-000 a 13374-999</t>
  </si>
  <si>
    <t>Redenção da Serra</t>
  </si>
  <si>
    <t>12170-000 a 12179-999</t>
  </si>
  <si>
    <t>Registro</t>
  </si>
  <si>
    <t>11900-000 a 11909-999</t>
  </si>
  <si>
    <t>Ribeirão Bonito</t>
  </si>
  <si>
    <t>13580-000 a 13589-999</t>
  </si>
  <si>
    <t>Ribeirão Grande</t>
  </si>
  <si>
    <t>18315-000 a 18319-999</t>
  </si>
  <si>
    <t>Ribeirão Pires</t>
  </si>
  <si>
    <t>09400-001 a 09449-999</t>
  </si>
  <si>
    <t>13500-001 a 13509-999</t>
  </si>
  <si>
    <t>Rio das Pedras</t>
  </si>
  <si>
    <t>13390-000 a 13399-999</t>
  </si>
  <si>
    <t>Rio Grande da Serra</t>
  </si>
  <si>
    <t>09450-000 a 09499-999</t>
  </si>
  <si>
    <t>Roseira</t>
  </si>
  <si>
    <t>12580-000 a 12599-999</t>
  </si>
  <si>
    <t>Salesópolis</t>
  </si>
  <si>
    <t>08970-000 a 08999-999</t>
  </si>
  <si>
    <t>13440-000 a 13449-999</t>
  </si>
  <si>
    <t>Salto</t>
  </si>
  <si>
    <t>13320-001 a 13329-999</t>
  </si>
  <si>
    <t>Salto de Pirapora</t>
  </si>
  <si>
    <t>18160-000 a 18169-999</t>
  </si>
  <si>
    <t>Santa Branca</t>
  </si>
  <si>
    <t>12380-000 a 12399-999</t>
  </si>
  <si>
    <t>Santa Bárbara D'Oeste</t>
  </si>
  <si>
    <t>13450-001 a 13464-999</t>
  </si>
  <si>
    <t>Santa Cruz da Conceição</t>
  </si>
  <si>
    <t>13625-000 a 13629-999</t>
  </si>
  <si>
    <t>Santa Cruz das Palmeiras</t>
  </si>
  <si>
    <t>13650-000 a 13659-999</t>
  </si>
  <si>
    <t>Santa Gertrudes</t>
  </si>
  <si>
    <t>13510-000 a 13514-999</t>
  </si>
  <si>
    <t>07500-000 a 07599-999</t>
  </si>
  <si>
    <t>Santa Maria da Serra</t>
  </si>
  <si>
    <t>17370-000 a 17379-999</t>
  </si>
  <si>
    <t>Santa Rita do Passa Quatro</t>
  </si>
  <si>
    <t>13670-000 a 13689-999</t>
  </si>
  <si>
    <t>Santana de Parnaíba</t>
  </si>
  <si>
    <t>06500-001 a 06549-999</t>
  </si>
  <si>
    <t>Santo Antônio de Posse</t>
  </si>
  <si>
    <t>13830-000 a 13834-999</t>
  </si>
  <si>
    <t>Santo Antônio do Jardim</t>
  </si>
  <si>
    <t>13995-000 a 13999-999</t>
  </si>
  <si>
    <t>Santo Antônio do Pinhal</t>
  </si>
  <si>
    <t>12450-000 a 12459-999</t>
  </si>
  <si>
    <t>Santos</t>
  </si>
  <si>
    <t>11000-001 a 11249-999</t>
  </si>
  <si>
    <t>Sarapuí</t>
  </si>
  <si>
    <t>18225-000 a 18229-999</t>
  </si>
  <si>
    <t>Serra Negra</t>
  </si>
  <si>
    <t>13930-000 a 13939-999</t>
  </si>
  <si>
    <t>Sete Barras</t>
  </si>
  <si>
    <t>11910-000 a 11919-999</t>
  </si>
  <si>
    <t>Silveiras</t>
  </si>
  <si>
    <t>12690-000 a 12699-999</t>
  </si>
  <si>
    <t>Socorro</t>
  </si>
  <si>
    <t>13960-000 a 13969-999</t>
  </si>
  <si>
    <t>Sorocaba</t>
  </si>
  <si>
    <t>18000-001 a 18109-999</t>
  </si>
  <si>
    <t>Sumaré</t>
  </si>
  <si>
    <t>13170-001 a 13182-999</t>
  </si>
  <si>
    <t>Suzano</t>
  </si>
  <si>
    <t>08600-001 a 08699-999</t>
  </si>
  <si>
    <t>São Bento do Sapucaí</t>
  </si>
  <si>
    <t>12490-000 a 12499-999</t>
  </si>
  <si>
    <t>13560-001 a 13579-999</t>
  </si>
  <si>
    <t>São José da Bela Vista</t>
  </si>
  <si>
    <t>14440-000 a 14444-999</t>
  </si>
  <si>
    <t>São José do Rio Pardo</t>
  </si>
  <si>
    <t>13720-000 a 13729-999</t>
  </si>
  <si>
    <t>São José dos Campos</t>
  </si>
  <si>
    <t>12200-001 a 12249-999</t>
  </si>
  <si>
    <t>São João da Boa Vista</t>
  </si>
  <si>
    <t>13870-001 a 13879-999</t>
  </si>
  <si>
    <t>São Lourenço da Serra</t>
  </si>
  <si>
    <t>06890-000 a 06899-999</t>
  </si>
  <si>
    <t>São Luiz do Paraitinga</t>
  </si>
  <si>
    <t>12140-000 a 12169-999</t>
  </si>
  <si>
    <t>São Manuel</t>
  </si>
  <si>
    <t>18650-000 a 18659-999</t>
  </si>
  <si>
    <t>São Miguel Arcanjo</t>
  </si>
  <si>
    <t>18230-000 a 18239-999</t>
  </si>
  <si>
    <t>13520-000 a 13524-999</t>
  </si>
  <si>
    <t>São Roque</t>
  </si>
  <si>
    <t>18130-001 a 18146-999</t>
  </si>
  <si>
    <t>11600-001 a 11629-999</t>
  </si>
  <si>
    <t>São Sebastião da Grama</t>
  </si>
  <si>
    <t>13790-000 a 13799-999</t>
  </si>
  <si>
    <t>11300-001 a 11399-999</t>
  </si>
  <si>
    <t>18180-000 a 18184-999</t>
  </si>
  <si>
    <t>Taquaral</t>
  </si>
  <si>
    <t>14765-000 a 14769-999</t>
  </si>
  <si>
    <t>Taquarivaí</t>
  </si>
  <si>
    <t>18425-000 a 18429-999</t>
  </si>
  <si>
    <t>Tatuí</t>
  </si>
  <si>
    <t>18270-001 a 18284-999</t>
  </si>
  <si>
    <t>Taubaté</t>
  </si>
  <si>
    <t>12000-001 a 12119-999</t>
  </si>
  <si>
    <t>Tietê</t>
  </si>
  <si>
    <t>18530-000 a 18534-999</t>
  </si>
  <si>
    <t>Torre de Pedra</t>
  </si>
  <si>
    <t>18265-000 a 18269-999</t>
  </si>
  <si>
    <t>Torrinha</t>
  </si>
  <si>
    <t>17360-000 a 17369-999</t>
  </si>
  <si>
    <t>Tremembé</t>
  </si>
  <si>
    <t>12120-000 a 12129-999</t>
  </si>
  <si>
    <t>Tuiuti</t>
  </si>
  <si>
    <t>12930-000 a 12934-999</t>
  </si>
  <si>
    <t>Ubatuba</t>
  </si>
  <si>
    <t>11680-000 a 11699-999</t>
  </si>
  <si>
    <t>Valinhos</t>
  </si>
  <si>
    <t>13270-001 a 13279-999</t>
  </si>
  <si>
    <t>12935-000 a 12939-999</t>
  </si>
  <si>
    <t>Vargem Grande do Sul</t>
  </si>
  <si>
    <t>13880-000 a 13889-999</t>
  </si>
  <si>
    <t>Vargem Grande Paulista</t>
  </si>
  <si>
    <t>06730-000 a 06749-999</t>
  </si>
  <si>
    <t>Vinhedo</t>
  </si>
  <si>
    <t>13280-001 a 13289-999</t>
  </si>
  <si>
    <t>Votorantim</t>
  </si>
  <si>
    <t>18110-001 a 18119-999</t>
  </si>
  <si>
    <t>Várzea Paulista</t>
  </si>
  <si>
    <t>13220-001 a 13229-999</t>
  </si>
  <si>
    <t>Águas da Prata</t>
  </si>
  <si>
    <t>13890-000 a 13899-999</t>
  </si>
  <si>
    <t>Águas de Lindóia</t>
  </si>
  <si>
    <t>13940-000 a 13949-999</t>
  </si>
  <si>
    <t>Águas de São Pedro</t>
  </si>
  <si>
    <t>13525-000 a 13529-999</t>
  </si>
  <si>
    <t>Adolfo</t>
  </si>
  <si>
    <t>15230-000 a 15239-999</t>
  </si>
  <si>
    <t>Agudos</t>
  </si>
  <si>
    <t>17120-001 a 17149-999</t>
  </si>
  <si>
    <t>Altair</t>
  </si>
  <si>
    <t>15430-000 a 15439-999</t>
  </si>
  <si>
    <t>Altinópolis</t>
  </si>
  <si>
    <t>14350-000 a 14389-999</t>
  </si>
  <si>
    <t>16310-000 a 16339-999</t>
  </si>
  <si>
    <t>Alvinlândia</t>
  </si>
  <si>
    <t>17430-000 a 17439-999</t>
  </si>
  <si>
    <t>Américo Brasiliense</t>
  </si>
  <si>
    <t>14820-000 a 14824-999</t>
  </si>
  <si>
    <t>Apiaí</t>
  </si>
  <si>
    <t>18320-000 a 18324-999</t>
  </si>
  <si>
    <t>Aramina</t>
  </si>
  <si>
    <t>14550-000 a 14569-999</t>
  </si>
  <si>
    <t>Arandu</t>
  </si>
  <si>
    <t>18710-000 a 18719-999</t>
  </si>
  <si>
    <t>Arapeí</t>
  </si>
  <si>
    <t>12870-000 a 12899-999</t>
  </si>
  <si>
    <t>Araraquara</t>
  </si>
  <si>
    <t>14800-001 a 14812-999</t>
  </si>
  <si>
    <t>Arealva</t>
  </si>
  <si>
    <t>17160-000 a 17179-999</t>
  </si>
  <si>
    <t>Areiópolis</t>
  </si>
  <si>
    <t>18670-000 a 18674-999</t>
  </si>
  <si>
    <t>Ariranha</t>
  </si>
  <si>
    <t>15960-000 a 15969-999</t>
  </si>
  <si>
    <t>Assis</t>
  </si>
  <si>
    <t>19800-001 a 19819-999</t>
  </si>
  <si>
    <t>Avanhandava</t>
  </si>
  <si>
    <t>16360-000 a 16369-999</t>
  </si>
  <si>
    <t>Avaí</t>
  </si>
  <si>
    <t>16680-000 a 16699-999</t>
  </si>
  <si>
    <t>Bady Bassitt</t>
  </si>
  <si>
    <t>15115-000 a 15119-999</t>
  </si>
  <si>
    <t>Balbinos</t>
  </si>
  <si>
    <t>16640-000 a 16649-999</t>
  </si>
  <si>
    <t>Bananal</t>
  </si>
  <si>
    <t>12850-000 a 12869-999</t>
  </si>
  <si>
    <t>Bariri</t>
  </si>
  <si>
    <t>17250-000 a 17259-999</t>
  </si>
  <si>
    <t>17340-000 a 17349-999</t>
  </si>
  <si>
    <t>Barra do Chapéu</t>
  </si>
  <si>
    <t>18325-000 a 18329-999</t>
  </si>
  <si>
    <t>Barra do Turvo</t>
  </si>
  <si>
    <t>11955-000 a 11959-999</t>
  </si>
  <si>
    <t>Barretos</t>
  </si>
  <si>
    <t>14780-001 a 14789-999</t>
  </si>
  <si>
    <t>Barrinha</t>
  </si>
  <si>
    <t>14860-000 a 14869-999</t>
  </si>
  <si>
    <t>Barão de Antonina</t>
  </si>
  <si>
    <t>18490-000 a 18499-999</t>
  </si>
  <si>
    <t>Batatais</t>
  </si>
  <si>
    <t>14300-001 a 14339-999</t>
  </si>
  <si>
    <t>Bauru</t>
  </si>
  <si>
    <t>17000-001 a 17119-999</t>
  </si>
  <si>
    <t>Bebedouro</t>
  </si>
  <si>
    <t>14700-001 a 14719-999</t>
  </si>
  <si>
    <t>Bernardino de Campos</t>
  </si>
  <si>
    <t>18960-000 a 18969-999</t>
  </si>
  <si>
    <t>Boa Esperança do Sul</t>
  </si>
  <si>
    <t>14930-000 a 14934-999</t>
  </si>
  <si>
    <t>17240-000 a 17249-999</t>
  </si>
  <si>
    <t>Bom Sucesso de Itararé</t>
  </si>
  <si>
    <t>18475-000 a 18479-999</t>
  </si>
  <si>
    <t>Boracéia</t>
  </si>
  <si>
    <t>17270-000 a 17279-999</t>
  </si>
  <si>
    <t>14955-000 a 14959-999</t>
  </si>
  <si>
    <t>Borebi</t>
  </si>
  <si>
    <t>18675-000 a 18679-999</t>
  </si>
  <si>
    <t>Borá</t>
  </si>
  <si>
    <t>19740-000 a 19749-999</t>
  </si>
  <si>
    <t>Brodowski</t>
  </si>
  <si>
    <t>14340-000 a 14349-999</t>
  </si>
  <si>
    <t>Buritizal</t>
  </si>
  <si>
    <t>14570-000 a 14579-999</t>
  </si>
  <si>
    <t>Bálsamo</t>
  </si>
  <si>
    <t>15140-000 a 15144-999</t>
  </si>
  <si>
    <t>Cabrália Paulista</t>
  </si>
  <si>
    <t>17480-000 a 17489-999</t>
  </si>
  <si>
    <t>Caconde</t>
  </si>
  <si>
    <t>13770-000 a 13779-999</t>
  </si>
  <si>
    <t>16500-000 a 16569-999</t>
  </si>
  <si>
    <t>Cajobi</t>
  </si>
  <si>
    <t>15410-000 a 15419-999</t>
  </si>
  <si>
    <t>Cajuru</t>
  </si>
  <si>
    <t>14240-000 a 14249-999</t>
  </si>
  <si>
    <t>Campos Novos Paulista</t>
  </si>
  <si>
    <t>19960-000 a 19969-999</t>
  </si>
  <si>
    <t>Cananéia</t>
  </si>
  <si>
    <t>11990-000 a 11999-999</t>
  </si>
  <si>
    <t>Canitar</t>
  </si>
  <si>
    <t>18990-000 a 18999-999</t>
  </si>
  <si>
    <t>Catanduva</t>
  </si>
  <si>
    <t>15800-001 a 15819-999</t>
  </si>
  <si>
    <t>Catiguá</t>
  </si>
  <si>
    <t>15870-000 a 15879-999</t>
  </si>
  <si>
    <t>15895-000 a 15899-999</t>
  </si>
  <si>
    <t>Cerqueira César</t>
  </si>
  <si>
    <t>18760-000 a 18769-999</t>
  </si>
  <si>
    <t>Chavantes</t>
  </si>
  <si>
    <t>18970-000 a 18989-999</t>
  </si>
  <si>
    <t>Colina</t>
  </si>
  <si>
    <t>14770-000 a 14774-999</t>
  </si>
  <si>
    <t>Colômbia</t>
  </si>
  <si>
    <t>14795-000 a 14799-999</t>
  </si>
  <si>
    <t>Cordeirópolis</t>
  </si>
  <si>
    <t>13490-000 a 13494-999</t>
  </si>
  <si>
    <t>Coroados</t>
  </si>
  <si>
    <t>16260-000 a 16264-999</t>
  </si>
  <si>
    <t>Coronel Macedo</t>
  </si>
  <si>
    <t>18745-000 a 18759-999</t>
  </si>
  <si>
    <t>Cravinhos</t>
  </si>
  <si>
    <t>14140-000 a 14149-999</t>
  </si>
  <si>
    <t>Cristais Paulista</t>
  </si>
  <si>
    <t>14460-000 a 14469-999</t>
  </si>
  <si>
    <t>Cruzália</t>
  </si>
  <si>
    <t>19860-000 a 19864-999</t>
  </si>
  <si>
    <t>Cândido Mota</t>
  </si>
  <si>
    <t>19880-000 a 19899-999</t>
  </si>
  <si>
    <t>Cândido Rodrigues</t>
  </si>
  <si>
    <t>15930-000 a 15939-999</t>
  </si>
  <si>
    <t>Cássia dos Coqueiros</t>
  </si>
  <si>
    <t>14260-000 a 14269-999</t>
  </si>
  <si>
    <t>Divinolândia</t>
  </si>
  <si>
    <t>13780-000 a 13789-999</t>
  </si>
  <si>
    <t>Dobrada</t>
  </si>
  <si>
    <t>15980-000 a 15989-999</t>
  </si>
  <si>
    <t>Dois Córregos</t>
  </si>
  <si>
    <t>17300-000 a 17319-999</t>
  </si>
  <si>
    <t>Dourado</t>
  </si>
  <si>
    <t>13590-000 a 13599-999</t>
  </si>
  <si>
    <t>Duartina</t>
  </si>
  <si>
    <t>17470-000 a 17474-999</t>
  </si>
  <si>
    <t>Dumont</t>
  </si>
  <si>
    <t>14120-000 a 14139-999</t>
  </si>
  <si>
    <t>Echaporã</t>
  </si>
  <si>
    <t>19830-000 a 19839-999</t>
  </si>
  <si>
    <t>11960-000 a 11989-999</t>
  </si>
  <si>
    <t>Elisiário</t>
  </si>
  <si>
    <t>15823-000 a 15824-999</t>
  </si>
  <si>
    <t>Embaúba</t>
  </si>
  <si>
    <t>15425-000 a 15429-999</t>
  </si>
  <si>
    <t>Espírito Santo do Turvo</t>
  </si>
  <si>
    <t>18935-000 a 18939-999</t>
  </si>
  <si>
    <t>Fartura</t>
  </si>
  <si>
    <t>18870-000 a 18889-999</t>
  </si>
  <si>
    <t>Fernando Prestes</t>
  </si>
  <si>
    <t>15940-000 a 15949-999</t>
  </si>
  <si>
    <t>Fernão</t>
  </si>
  <si>
    <t>17455-000 a 17469-999</t>
  </si>
  <si>
    <t>Florínea</t>
  </si>
  <si>
    <t>19870-000 a 19879-999</t>
  </si>
  <si>
    <t>Franca</t>
  </si>
  <si>
    <t>14400-001 a 14414-999</t>
  </si>
  <si>
    <t>Garça</t>
  </si>
  <si>
    <t>17400-000 a 17409-999</t>
  </si>
  <si>
    <t>Gavião Peixoto</t>
  </si>
  <si>
    <t>14813-000 a 14814-999</t>
  </si>
  <si>
    <t>Getulina</t>
  </si>
  <si>
    <t>16450-000 a 16479-999</t>
  </si>
  <si>
    <t>Glicério</t>
  </si>
  <si>
    <t>16270-000 a 16289-999</t>
  </si>
  <si>
    <t>Guaimbê</t>
  </si>
  <si>
    <t>16480-000 a 16499-999</t>
  </si>
  <si>
    <t>Guaiçara</t>
  </si>
  <si>
    <t>16430-000 a 16439-999</t>
  </si>
  <si>
    <t>Guapiaçu</t>
  </si>
  <si>
    <t>15110-000 a 15114-999</t>
  </si>
  <si>
    <t>15420-000 a 15424-999</t>
  </si>
  <si>
    <t>Guarantã</t>
  </si>
  <si>
    <t>16570-000 a 16599-999</t>
  </si>
  <si>
    <t>Guariba</t>
  </si>
  <si>
    <t>14840-000 a 14849-999</t>
  </si>
  <si>
    <t>Guatapará</t>
  </si>
  <si>
    <t>14115-000 a 14119-999</t>
  </si>
  <si>
    <t>14790-000 a 14794-999</t>
  </si>
  <si>
    <t>Gália</t>
  </si>
  <si>
    <t>17450-000 a 17454-999</t>
  </si>
  <si>
    <t>Iacanga</t>
  </si>
  <si>
    <t>17180-000 a 17189-999</t>
  </si>
  <si>
    <t>Ibirarema</t>
  </si>
  <si>
    <t>19940-000 a 19959-999</t>
  </si>
  <si>
    <t>Ibirá</t>
  </si>
  <si>
    <t>15860-000 a 15869-999</t>
  </si>
  <si>
    <t>Ibitinga</t>
  </si>
  <si>
    <t>14940-000 a 14954-999</t>
  </si>
  <si>
    <t>Icém</t>
  </si>
  <si>
    <t>15460-000 a 15469-999</t>
  </si>
  <si>
    <t>Igarapava</t>
  </si>
  <si>
    <t>14540-000 a 14549-999</t>
  </si>
  <si>
    <t>Igaraçu do Tietê</t>
  </si>
  <si>
    <t>17350-000 a 17359-999</t>
  </si>
  <si>
    <t>Ipaussu</t>
  </si>
  <si>
    <t>18950-000 a 18959-999</t>
  </si>
  <si>
    <t>Ipiguá</t>
  </si>
  <si>
    <t>15108-000 a 15109-999</t>
  </si>
  <si>
    <t>Iporanga</t>
  </si>
  <si>
    <t>18330-000 a 18359-999</t>
  </si>
  <si>
    <t>Ipuã</t>
  </si>
  <si>
    <t>14610-000 a 14619-999</t>
  </si>
  <si>
    <t>Irapuã</t>
  </si>
  <si>
    <t>14990-000 a 14999-999</t>
  </si>
  <si>
    <t>Itaberá</t>
  </si>
  <si>
    <t>18440-000 a 18459-999</t>
  </si>
  <si>
    <t>Itajobi</t>
  </si>
  <si>
    <t>15840-000 a 15844-999</t>
  </si>
  <si>
    <t>Itaju</t>
  </si>
  <si>
    <t>17260-000 a 17269-999</t>
  </si>
  <si>
    <t>Itaoca</t>
  </si>
  <si>
    <t>18360-000 a 18379-999</t>
  </si>
  <si>
    <t>18400-001 a 18424-999</t>
  </si>
  <si>
    <t>Itapirapuã Paulista</t>
  </si>
  <si>
    <t>18385-000 a 18399-999</t>
  </si>
  <si>
    <t>18480-000 a 18489-999</t>
  </si>
  <si>
    <t>Itapuí</t>
  </si>
  <si>
    <t>17230-000 a 17239-999</t>
  </si>
  <si>
    <t>Itararé</t>
  </si>
  <si>
    <t>18460-000 a 18469-999</t>
  </si>
  <si>
    <t>Itaí</t>
  </si>
  <si>
    <t>18730-000 a 18739-999</t>
  </si>
  <si>
    <t>Itirapuã</t>
  </si>
  <si>
    <t>14420-000 a 14429-999</t>
  </si>
  <si>
    <t>Ituverava</t>
  </si>
  <si>
    <t>14500-000 a 14529-999</t>
  </si>
  <si>
    <t>Itápolis</t>
  </si>
  <si>
    <t>14900-000 a 14909-999</t>
  </si>
  <si>
    <t>14775-000 a 14779-999</t>
  </si>
  <si>
    <t>Jaboticabal</t>
  </si>
  <si>
    <t>14870-001 a 14899-999</t>
  </si>
  <si>
    <t>Jaci</t>
  </si>
  <si>
    <t>15155-000 a 15159-999</t>
  </si>
  <si>
    <t>14680-000 a 14699-999</t>
  </si>
  <si>
    <t>Jaú</t>
  </si>
  <si>
    <t>17200-001 a 17229-999</t>
  </si>
  <si>
    <t>Jeriquara</t>
  </si>
  <si>
    <t>14450-000 a 14459-999</t>
  </si>
  <si>
    <t>José Bonifácio</t>
  </si>
  <si>
    <t>15200-000 a 15209-999</t>
  </si>
  <si>
    <t>João Ramalho</t>
  </si>
  <si>
    <t>19680-000 a 19699-999</t>
  </si>
  <si>
    <t>Júlio Mesquita</t>
  </si>
  <si>
    <t>17550-000 a 17559-999</t>
  </si>
  <si>
    <t>Lençóis Paulista</t>
  </si>
  <si>
    <t>18680-001 a 18689-999</t>
  </si>
  <si>
    <t>Lins</t>
  </si>
  <si>
    <t>16400-001 a 16429-999</t>
  </si>
  <si>
    <t>Lucianópolis</t>
  </si>
  <si>
    <t>17475-000 a 17479-999</t>
  </si>
  <si>
    <t>Lupércio</t>
  </si>
  <si>
    <t>17420-000 a 17429-999</t>
  </si>
  <si>
    <t>Lutécia</t>
  </si>
  <si>
    <t>19750-000 a 19769-999</t>
  </si>
  <si>
    <t>Luís Antônio</t>
  </si>
  <si>
    <t>14210-000 a 14229-999</t>
  </si>
  <si>
    <t>Macatuba</t>
  </si>
  <si>
    <t>17290-000 a 17299-999</t>
  </si>
  <si>
    <t>Manduri</t>
  </si>
  <si>
    <t>18780-000 a 18789-999</t>
  </si>
  <si>
    <t>Maracaí</t>
  </si>
  <si>
    <t>19840-000 a 19859-999</t>
  </si>
  <si>
    <t>Marapoama</t>
  </si>
  <si>
    <t>15845-000 a 15849-999</t>
  </si>
  <si>
    <t>Marília</t>
  </si>
  <si>
    <t>17500-001 a 17539-999</t>
  </si>
  <si>
    <t>Matão</t>
  </si>
  <si>
    <t>15990-001 a 15999-999</t>
  </si>
  <si>
    <t>Mendonça</t>
  </si>
  <si>
    <t>15220-000 a 15224-999</t>
  </si>
  <si>
    <t>Miguelópolis</t>
  </si>
  <si>
    <t>14530-000 a 14539-999</t>
  </si>
  <si>
    <t>Mineiros do Tietê</t>
  </si>
  <si>
    <t>17320-000 a 17339-999</t>
  </si>
  <si>
    <t>Mirassol</t>
  </si>
  <si>
    <t>15130-001 a 15139-999</t>
  </si>
  <si>
    <t>Mirassolândia</t>
  </si>
  <si>
    <t>15145-000 a 15149-999</t>
  </si>
  <si>
    <t>Monte Alto</t>
  </si>
  <si>
    <t>15910-000 a 15919-999</t>
  </si>
  <si>
    <t>Monte Aprazível</t>
  </si>
  <si>
    <t>15150-000 a 15154-999</t>
  </si>
  <si>
    <t>Monte Azul Paulista</t>
  </si>
  <si>
    <t>14730-000 a 14734-999</t>
  </si>
  <si>
    <t>Morro Agudo</t>
  </si>
  <si>
    <t>14640-000 a 14659-999</t>
  </si>
  <si>
    <t>Motuca</t>
  </si>
  <si>
    <t>14835-000 a 14839-999</t>
  </si>
  <si>
    <t>Neves Paulista</t>
  </si>
  <si>
    <t>15120-000 a 15129-999</t>
  </si>
  <si>
    <t>Nova Aliança</t>
  </si>
  <si>
    <t>15210-000 a 15219-999</t>
  </si>
  <si>
    <t>Nova Campina</t>
  </si>
  <si>
    <t>18435-000 a 18439-999</t>
  </si>
  <si>
    <t>Nova Europa</t>
  </si>
  <si>
    <t>14920-000 a 14929-999</t>
  </si>
  <si>
    <t>Nova Granada</t>
  </si>
  <si>
    <t>15440-000 a 15449-999</t>
  </si>
  <si>
    <t>Novais</t>
  </si>
  <si>
    <t>15885-000 a 15889-999</t>
  </si>
  <si>
    <t>14960-000 a 14979-999</t>
  </si>
  <si>
    <t>Nuporanga</t>
  </si>
  <si>
    <t>14670-000 a 14679-999</t>
  </si>
  <si>
    <t>Ocauçu</t>
  </si>
  <si>
    <t>17540-000 a 17549-999</t>
  </si>
  <si>
    <t>Olímpia</t>
  </si>
  <si>
    <t>15400-000 a 15409-999</t>
  </si>
  <si>
    <t>Onda Verde</t>
  </si>
  <si>
    <t>15450-000 a 15459-999</t>
  </si>
  <si>
    <t>Oriente</t>
  </si>
  <si>
    <t>17570-000 a 17579-999</t>
  </si>
  <si>
    <t>Orlândia</t>
  </si>
  <si>
    <t>14620-000 a 14639-999</t>
  </si>
  <si>
    <t>Oscar Bressane</t>
  </si>
  <si>
    <t>19770-000 a 19779-999</t>
  </si>
  <si>
    <t>Ourinhos</t>
  </si>
  <si>
    <t>19900-001 a 19919-999</t>
  </si>
  <si>
    <t>Palmares Paulista</t>
  </si>
  <si>
    <t>15828-000 a 15829-999</t>
  </si>
  <si>
    <t>19970-000 a 19989-999</t>
  </si>
  <si>
    <t>Paraguaçu Paulista</t>
  </si>
  <si>
    <t>19700-000 a 19739-999</t>
  </si>
  <si>
    <t>15825-000 a 15827-999</t>
  </si>
  <si>
    <t>Patrocínio Paulista</t>
  </si>
  <si>
    <t>14415-000 a 14419-999</t>
  </si>
  <si>
    <t>Paulistânia</t>
  </si>
  <si>
    <t>17150-000 a 17159-999</t>
  </si>
  <si>
    <t>Pederneiras</t>
  </si>
  <si>
    <t>17280-000 a 17289-999</t>
  </si>
  <si>
    <t>Pedregulho</t>
  </si>
  <si>
    <t>14470-000 a 14489-999</t>
  </si>
  <si>
    <t>Pedrinhas Paulista</t>
  </si>
  <si>
    <t>19865-000 a 19869-999</t>
  </si>
  <si>
    <t>Penápolis</t>
  </si>
  <si>
    <t>16300-001 a 16309-999</t>
  </si>
  <si>
    <t>Piedade</t>
  </si>
  <si>
    <t>18170-000 a 18179-999</t>
  </si>
  <si>
    <t>Pindorama</t>
  </si>
  <si>
    <t>15830-000 a 15839-999</t>
  </si>
  <si>
    <t>Piraju</t>
  </si>
  <si>
    <t>18800-000 a 18829-999</t>
  </si>
  <si>
    <t>Pirajuí</t>
  </si>
  <si>
    <t>16600-000 a 16639-999</t>
  </si>
  <si>
    <t>Pirangi</t>
  </si>
  <si>
    <t>15820-000 a 15822-999</t>
  </si>
  <si>
    <t>Piratininga</t>
  </si>
  <si>
    <t>17490-001 a 17499-999</t>
  </si>
  <si>
    <t>14750-000 a 14764-999</t>
  </si>
  <si>
    <t>Platina</t>
  </si>
  <si>
    <t>19990-000 a 19999-999</t>
  </si>
  <si>
    <t>Poloni</t>
  </si>
  <si>
    <t>15160-000 a 15169-999</t>
  </si>
  <si>
    <t>Pompéia</t>
  </si>
  <si>
    <t>17580-000 a 17589-999</t>
  </si>
  <si>
    <t>Pongaí</t>
  </si>
  <si>
    <t>16660-000 a 16669-999</t>
  </si>
  <si>
    <t>Pontal</t>
  </si>
  <si>
    <t>14180-000 a 14199-999</t>
  </si>
  <si>
    <t>Potirendaba</t>
  </si>
  <si>
    <t>15105-000 a 15107-999</t>
  </si>
  <si>
    <t>Pradópolis</t>
  </si>
  <si>
    <t>14850-000 a 14859-999</t>
  </si>
  <si>
    <t>Presidente Alves</t>
  </si>
  <si>
    <t>16670-000 a 16679-999</t>
  </si>
  <si>
    <t>Promissão</t>
  </si>
  <si>
    <t>16370-000 a 16399-999</t>
  </si>
  <si>
    <t>Quatá</t>
  </si>
  <si>
    <t>19780-000 a 19799-999</t>
  </si>
  <si>
    <t>Queiroz</t>
  </si>
  <si>
    <t>17590-000 a 17599-999</t>
  </si>
  <si>
    <t>Quintana</t>
  </si>
  <si>
    <t>17670-000 a 17679-999</t>
  </si>
  <si>
    <t>Reginópolis</t>
  </si>
  <si>
    <t>17190-000 a 17199-999</t>
  </si>
  <si>
    <t>Restinga</t>
  </si>
  <si>
    <t>14430-000 a 14439-999</t>
  </si>
  <si>
    <t>Ribeira</t>
  </si>
  <si>
    <t>18380-000 a 18384-999</t>
  </si>
  <si>
    <t>Ribeirão Branco</t>
  </si>
  <si>
    <t>18430-000 a 18434-999</t>
  </si>
  <si>
    <t>Ribeirão Corrente</t>
  </si>
  <si>
    <t>14445-000 a 14449-999</t>
  </si>
  <si>
    <t>Ribeirão do Sul</t>
  </si>
  <si>
    <t>19930-000 a 19939-999</t>
  </si>
  <si>
    <t>Ribeirão dos Índios</t>
  </si>
  <si>
    <t>19380-000 a 19399-999</t>
  </si>
  <si>
    <t>Ribeirão Preto</t>
  </si>
  <si>
    <t>14000-001 a 14114-999</t>
  </si>
  <si>
    <t>Rifaina</t>
  </si>
  <si>
    <t>14490-000 a 14499-999</t>
  </si>
  <si>
    <t>Rincão</t>
  </si>
  <si>
    <t>14830-000 a 14834-999</t>
  </si>
  <si>
    <t>Riversul</t>
  </si>
  <si>
    <t>18470-000 a 18474-999</t>
  </si>
  <si>
    <t>Sabino</t>
  </si>
  <si>
    <t>16440-000 a 16449-999</t>
  </si>
  <si>
    <t>Sales</t>
  </si>
  <si>
    <t>14980-000 a 14989-999</t>
  </si>
  <si>
    <t>Sales Oliveira</t>
  </si>
  <si>
    <t>14660-000 a 14669-999</t>
  </si>
  <si>
    <t>Salto Grande</t>
  </si>
  <si>
    <t>19920-000 a 19929-999</t>
  </si>
  <si>
    <t>Santa Adélia</t>
  </si>
  <si>
    <t>15950-000 a 15959-999</t>
  </si>
  <si>
    <t>Santa Cruz da Esperança</t>
  </si>
  <si>
    <t>14250-000 a 14259-999</t>
  </si>
  <si>
    <t>Santa Cruz do Rio Pardo</t>
  </si>
  <si>
    <t>18900-000 a 18934-999</t>
  </si>
  <si>
    <t>Santa Ernestina</t>
  </si>
  <si>
    <t>15970-000 a 15979-999</t>
  </si>
  <si>
    <t>14825-000 a 14829-999</t>
  </si>
  <si>
    <t>Santa Rosa de Viterbo</t>
  </si>
  <si>
    <t>14270-000 a 14299-999</t>
  </si>
  <si>
    <t>Santo Antônio da Alegria</t>
  </si>
  <si>
    <t>14390-000 a 14399-999</t>
  </si>
  <si>
    <t>Sarutaiá</t>
  </si>
  <si>
    <t>18840-000 a 18859-999</t>
  </si>
  <si>
    <t>Serra Azul</t>
  </si>
  <si>
    <t>14230-000 a 14239-999</t>
  </si>
  <si>
    <t>Serrana</t>
  </si>
  <si>
    <t>14150-000 a 14159-999</t>
  </si>
  <si>
    <t>14160-001 a 14179-999</t>
  </si>
  <si>
    <t>Severínia</t>
  </si>
  <si>
    <t>14735-000 a 14739-999</t>
  </si>
  <si>
    <t>São Joaquim da Barra</t>
  </si>
  <si>
    <t>14600-000 a 14609-999</t>
  </si>
  <si>
    <t>São José do Rio Preto</t>
  </si>
  <si>
    <t>15000-001 a 15104-999</t>
  </si>
  <si>
    <t>São Pedro do Turvo</t>
  </si>
  <si>
    <t>18940-000 a 18949-999</t>
  </si>
  <si>
    <t>14200-000 a 14209-999</t>
  </si>
  <si>
    <t>Tabapuã</t>
  </si>
  <si>
    <t>15880-000 a 15884-999</t>
  </si>
  <si>
    <t>14910-000 a 14919-999</t>
  </si>
  <si>
    <t>Taguaí</t>
  </si>
  <si>
    <t>18890-000 a 18899-999</t>
  </si>
  <si>
    <t>Taiaçu</t>
  </si>
  <si>
    <t>14725-000 a 14729-999</t>
  </si>
  <si>
    <t>Taiúva</t>
  </si>
  <si>
    <t>14720-000 a 14724-999</t>
  </si>
  <si>
    <t>Tambaú</t>
  </si>
  <si>
    <t>13710-000 a 13714-999</t>
  </si>
  <si>
    <t>Tanabi</t>
  </si>
  <si>
    <t>15170-000 a 15179-999</t>
  </si>
  <si>
    <t>Tapiratiba</t>
  </si>
  <si>
    <t>13760-000 a 13769-999</t>
  </si>
  <si>
    <t>Taquaritinga</t>
  </si>
  <si>
    <t>15900-000 a 15909-999</t>
  </si>
  <si>
    <t>Taquarituba</t>
  </si>
  <si>
    <t>18740-000 a 18744-999</t>
  </si>
  <si>
    <t>Tarumã</t>
  </si>
  <si>
    <t>19820-000 a 19829-999</t>
  </si>
  <si>
    <t>Tejupá</t>
  </si>
  <si>
    <t>18830-000 a 18839-999</t>
  </si>
  <si>
    <t>14745-000 a 14749-999</t>
  </si>
  <si>
    <t>Timburi</t>
  </si>
  <si>
    <t>18860-000 a 18869-999</t>
  </si>
  <si>
    <t>Trabiju</t>
  </si>
  <si>
    <t>14935-000 a 14939-999</t>
  </si>
  <si>
    <t>Ubarana</t>
  </si>
  <si>
    <t>15225-000 a 15229-999</t>
  </si>
  <si>
    <t>Ubirajara</t>
  </si>
  <si>
    <t>17440-000 a 17449-999</t>
  </si>
  <si>
    <t>Uchoa</t>
  </si>
  <si>
    <t>15890-000 a 15894-999</t>
  </si>
  <si>
    <t>Uru</t>
  </si>
  <si>
    <t>16650-000 a 16659-999</t>
  </si>
  <si>
    <t>Urupês</t>
  </si>
  <si>
    <t>15850-000 a 15859-999</t>
  </si>
  <si>
    <t>17560-000 a 17569-999</t>
  </si>
  <si>
    <t>Viradouro</t>
  </si>
  <si>
    <t>14740-000 a 14744-999</t>
  </si>
  <si>
    <t>Vista Alegre do Alto</t>
  </si>
  <si>
    <t>15920-000 a 15929-999</t>
  </si>
  <si>
    <t>Águas de Santa Bárbara</t>
  </si>
  <si>
    <t>18770-000 a 18774-999</t>
  </si>
  <si>
    <t>Álvaro de Carvalho</t>
  </si>
  <si>
    <t>17410-000 a 17419-999</t>
  </si>
  <si>
    <t>Óleo</t>
  </si>
  <si>
    <t>18790-000 a 18799-999</t>
  </si>
  <si>
    <t>Adamantina</t>
  </si>
  <si>
    <t>17800-000 a 17809-999</t>
  </si>
  <si>
    <t>Alfredo Marcondes</t>
  </si>
  <si>
    <t>19180-000 a 19189-999</t>
  </si>
  <si>
    <t>Américo de Campos</t>
  </si>
  <si>
    <t>15550-000 a 15559-999</t>
  </si>
  <si>
    <t>Andradina</t>
  </si>
  <si>
    <t>16900-001 a 16919-999</t>
  </si>
  <si>
    <t>Anhumas</t>
  </si>
  <si>
    <t>19580-000 a 19589-999</t>
  </si>
  <si>
    <t>Aparecida D'Oeste</t>
  </si>
  <si>
    <t>15735-000 a 15739-999</t>
  </si>
  <si>
    <t>Araçatuba</t>
  </si>
  <si>
    <t>16000-001 a 16129-999</t>
  </si>
  <si>
    <t>Aspásia</t>
  </si>
  <si>
    <t>15763-000 a 15764-999</t>
  </si>
  <si>
    <t>Auriflama</t>
  </si>
  <si>
    <t>15350-000 a 15354-999</t>
  </si>
  <si>
    <t>Barbosa</t>
  </si>
  <si>
    <t>16350-000 a 16359-999</t>
  </si>
  <si>
    <t>Bastos</t>
  </si>
  <si>
    <t>17690-000 a 17699-999</t>
  </si>
  <si>
    <t>Bento de Abreu</t>
  </si>
  <si>
    <t>16790-000 a 16799-999</t>
  </si>
  <si>
    <t>Bilac</t>
  </si>
  <si>
    <t>16210-000 a 16219-999</t>
  </si>
  <si>
    <t>Birigui</t>
  </si>
  <si>
    <t>16200-001 a 16209-999</t>
  </si>
  <si>
    <t>Braúna</t>
  </si>
  <si>
    <t>16290-000 a 16299-999</t>
  </si>
  <si>
    <t>Brejo Alegre</t>
  </si>
  <si>
    <t>16265-000 a 16269-999</t>
  </si>
  <si>
    <t>Buritama</t>
  </si>
  <si>
    <t>15290-000 a 15299-999</t>
  </si>
  <si>
    <t>Caiabu</t>
  </si>
  <si>
    <t>19530-000 a 19559-999</t>
  </si>
  <si>
    <t>Caiuá</t>
  </si>
  <si>
    <t>19450-000 a 19469-999</t>
  </si>
  <si>
    <t>Cardoso</t>
  </si>
  <si>
    <t>15570-000 a 15579-999</t>
  </si>
  <si>
    <t>Castilho</t>
  </si>
  <si>
    <t>16920-000 a 16939-999</t>
  </si>
  <si>
    <t>Clementina</t>
  </si>
  <si>
    <t>16250-000 a 16259-999</t>
  </si>
  <si>
    <t>Cosmorama</t>
  </si>
  <si>
    <t>15530-000 a 15539-999</t>
  </si>
  <si>
    <t>Dirce Reis</t>
  </si>
  <si>
    <t>15715-000 a 15717-999</t>
  </si>
  <si>
    <t>Dolcinópolis</t>
  </si>
  <si>
    <t>15740-000 a 15744-999</t>
  </si>
  <si>
    <t>Dracena</t>
  </si>
  <si>
    <t>17900-000 a 17919-999</t>
  </si>
  <si>
    <t>Emilianópolis</t>
  </si>
  <si>
    <t>19350-000 a 19359-999</t>
  </si>
  <si>
    <t>19230-000 a 19249-999</t>
  </si>
  <si>
    <t>Estrela D'Oeste</t>
  </si>
  <si>
    <t>15650-000 a 15669-999</t>
  </si>
  <si>
    <t>Euclides da Cunha Paulista</t>
  </si>
  <si>
    <t>19275-000 a 19279-999</t>
  </si>
  <si>
    <t>Fernandópolis</t>
  </si>
  <si>
    <t>15600-001 a 15619-999</t>
  </si>
  <si>
    <t>Flora Rica</t>
  </si>
  <si>
    <t>17870-000 a 17879-999</t>
  </si>
  <si>
    <t>Floreal</t>
  </si>
  <si>
    <t>15320-000 a 15329-999</t>
  </si>
  <si>
    <t>Flórida Paulista</t>
  </si>
  <si>
    <t>17830-000 a 17859-999</t>
  </si>
  <si>
    <t>Gabriel Monteiro</t>
  </si>
  <si>
    <t>16220-000 a 16229-999</t>
  </si>
  <si>
    <t>Gastão Vidigal</t>
  </si>
  <si>
    <t>15330-000 a 15339-999</t>
  </si>
  <si>
    <t>General Salgado</t>
  </si>
  <si>
    <t>15300-000 a 15309-999</t>
  </si>
  <si>
    <t>Guarani D'Oeste</t>
  </si>
  <si>
    <t>15680-000 a 15684-999</t>
  </si>
  <si>
    <t>Guararapes</t>
  </si>
  <si>
    <t>16700-000 a 16749-999</t>
  </si>
  <si>
    <t>Guaraçaí</t>
  </si>
  <si>
    <t>16980-000 a 16999-999</t>
  </si>
  <si>
    <t>Guzolândia</t>
  </si>
  <si>
    <t>15355-000 a 15359-999</t>
  </si>
  <si>
    <t>Herculândia</t>
  </si>
  <si>
    <t>17650-000 a 17669-999</t>
  </si>
  <si>
    <t>Iacri</t>
  </si>
  <si>
    <t>17680-000 a 17689-999</t>
  </si>
  <si>
    <t>Iepê</t>
  </si>
  <si>
    <t>19640-000 a 19644-999</t>
  </si>
  <si>
    <t>Ilha Solteira</t>
  </si>
  <si>
    <t>15385-000 a 15389-999</t>
  </si>
  <si>
    <t>Indiana</t>
  </si>
  <si>
    <t>19560-000 a 19569-999</t>
  </si>
  <si>
    <t>Indiaporã</t>
  </si>
  <si>
    <t>15690-000 a 15699-999</t>
  </si>
  <si>
    <t>Inúbia Paulista</t>
  </si>
  <si>
    <t>17760-000 a 17779-999</t>
  </si>
  <si>
    <t>Irapuru</t>
  </si>
  <si>
    <t>17880-000 a 17889-999</t>
  </si>
  <si>
    <t>Itapura</t>
  </si>
  <si>
    <t>15390-000 a 15399-999</t>
  </si>
  <si>
    <t>Jales</t>
  </si>
  <si>
    <t>15700-001 a 15709-999</t>
  </si>
  <si>
    <t>Junqueirópolis</t>
  </si>
  <si>
    <t>17890-000 a 17899-999</t>
  </si>
  <si>
    <t>Lavínia</t>
  </si>
  <si>
    <t>16850-000 a 16879-999</t>
  </si>
  <si>
    <t>Lourdes</t>
  </si>
  <si>
    <t>15285-000 a 15289-999</t>
  </si>
  <si>
    <t>Lucélia</t>
  </si>
  <si>
    <t>17780-000 a 17789-999</t>
  </si>
  <si>
    <t>Luiziânia</t>
  </si>
  <si>
    <t>16340-000 a 16349-999</t>
  </si>
  <si>
    <t>Macaubal</t>
  </si>
  <si>
    <t>15270-000 a 15274-999</t>
  </si>
  <si>
    <t>Macedônia</t>
  </si>
  <si>
    <t>15620-000 a 15624-999</t>
  </si>
  <si>
    <t>Magda</t>
  </si>
  <si>
    <t>15310-000 a 15312-999</t>
  </si>
  <si>
    <t>Marabá Paulista</t>
  </si>
  <si>
    <t>19430-000 a 19449-999</t>
  </si>
  <si>
    <t>Marinópolis</t>
  </si>
  <si>
    <t>15730-000 a 15734-999</t>
  </si>
  <si>
    <t>Mariápolis</t>
  </si>
  <si>
    <t>17810-000 a 17829-999</t>
  </si>
  <si>
    <t>Martinópolis</t>
  </si>
  <si>
    <t>19500-000 a 19529-999</t>
  </si>
  <si>
    <t>Meridiano</t>
  </si>
  <si>
    <t>15625-000 a 15629-999</t>
  </si>
  <si>
    <t>Mesópolis</t>
  </si>
  <si>
    <t>15748-000 a 15749-999</t>
  </si>
  <si>
    <t>Mira Estrela</t>
  </si>
  <si>
    <t>15580-000 a 15599-999</t>
  </si>
  <si>
    <t>Mirandópolis</t>
  </si>
  <si>
    <t>16800-000 a 16849-999</t>
  </si>
  <si>
    <t>Mirante do Paranapanema</t>
  </si>
  <si>
    <t>19260-000 a 19272-999</t>
  </si>
  <si>
    <t>17960-000 a 17969-999</t>
  </si>
  <si>
    <t>Monções</t>
  </si>
  <si>
    <t>15275-000 a 15279-999</t>
  </si>
  <si>
    <t>Murutinga do Sul</t>
  </si>
  <si>
    <t>16950-000 a 16979-999</t>
  </si>
  <si>
    <t>Nantes</t>
  </si>
  <si>
    <t>19645-000 a 19679-999</t>
  </si>
  <si>
    <t>Narandiba</t>
  </si>
  <si>
    <t>19220-000 a 19229-999</t>
  </si>
  <si>
    <t>Nhandeara</t>
  </si>
  <si>
    <t>15190-000 a 15199-999</t>
  </si>
  <si>
    <t>Nipoã</t>
  </si>
  <si>
    <t>15240-000 a 15249-999</t>
  </si>
  <si>
    <t>Nova Canaã Paulista</t>
  </si>
  <si>
    <t>15773-000 a 15774-999</t>
  </si>
  <si>
    <t>Nova Castilho</t>
  </si>
  <si>
    <t>15313-000 a 15314-999</t>
  </si>
  <si>
    <t>Nova Guataporanga</t>
  </si>
  <si>
    <t>17950-000 a 17959-999</t>
  </si>
  <si>
    <t>Nova Independência</t>
  </si>
  <si>
    <t>16940-000 a 16949-999</t>
  </si>
  <si>
    <t>Nova Luzitânia</t>
  </si>
  <si>
    <t>15340-000 a 15349-999</t>
  </si>
  <si>
    <t>Orindiúva</t>
  </si>
  <si>
    <t>15480-000 a 15489-999</t>
  </si>
  <si>
    <t>Osvaldo Cruz</t>
  </si>
  <si>
    <t>17700-000 a 17709-999</t>
  </si>
  <si>
    <t>17920-000 a 17929-999</t>
  </si>
  <si>
    <t>Ouroeste</t>
  </si>
  <si>
    <t>15685-000 a 15689-999</t>
  </si>
  <si>
    <t>Pacaembu</t>
  </si>
  <si>
    <t>17860-000 a 17869-999</t>
  </si>
  <si>
    <t>15470-000 a 15479-999</t>
  </si>
  <si>
    <t>Palmeira D'Oeste</t>
  </si>
  <si>
    <t>15720-000 a 15729-999</t>
  </si>
  <si>
    <t>Panorama</t>
  </si>
  <si>
    <t>17980-000 a 17989-999</t>
  </si>
  <si>
    <t>Paranapuã</t>
  </si>
  <si>
    <t>15745-000 a 15747-999</t>
  </si>
  <si>
    <t>Parapuã</t>
  </si>
  <si>
    <t>17730-000 a 17739-999</t>
  </si>
  <si>
    <t>Parisi</t>
  </si>
  <si>
    <t>15525-000 a 15529-999</t>
  </si>
  <si>
    <t>Paulicéia</t>
  </si>
  <si>
    <t>17990-000 a 17999-999</t>
  </si>
  <si>
    <t>Paulo de Faria</t>
  </si>
  <si>
    <t>15490-000 a 15494-999</t>
  </si>
  <si>
    <t>Pedranópolis</t>
  </si>
  <si>
    <t>15630-000 a 15639-999</t>
  </si>
  <si>
    <t>Pereira Barreto</t>
  </si>
  <si>
    <t>15370-000 a 15379-999</t>
  </si>
  <si>
    <t>Piacatu</t>
  </si>
  <si>
    <t>16230-000 a 16239-999</t>
  </si>
  <si>
    <t>Piquerobi</t>
  </si>
  <si>
    <t>19410-000 a 19429-999</t>
  </si>
  <si>
    <t>Pirapozinho</t>
  </si>
  <si>
    <t>19200-000 a 19209-999</t>
  </si>
  <si>
    <t>15260-000 a 15264-999</t>
  </si>
  <si>
    <t>Pontalinda</t>
  </si>
  <si>
    <t>15718-000 a 15719-999</t>
  </si>
  <si>
    <t>Pontes Gestal</t>
  </si>
  <si>
    <t>15560-000 a 15569-999</t>
  </si>
  <si>
    <t>Populina</t>
  </si>
  <si>
    <t>15670-000 a 15679-999</t>
  </si>
  <si>
    <t>Pracinha</t>
  </si>
  <si>
    <t>17790-000 a 17799-999</t>
  </si>
  <si>
    <t>19300-000 a 19349-999</t>
  </si>
  <si>
    <t>Presidente Epitácio</t>
  </si>
  <si>
    <t>19470-000 a 19499-999</t>
  </si>
  <si>
    <t>Presidente Prudente</t>
  </si>
  <si>
    <t>19000-001 a 19159-999</t>
  </si>
  <si>
    <t>Presidente Venceslau</t>
  </si>
  <si>
    <t>19400-000 a 19409-999</t>
  </si>
  <si>
    <t>Rancharia</t>
  </si>
  <si>
    <t>19600-000 a 19639-999</t>
  </si>
  <si>
    <t>Regente Feijó</t>
  </si>
  <si>
    <t>19570-000 a 19579-999</t>
  </si>
  <si>
    <t>Rinópolis</t>
  </si>
  <si>
    <t>17740-000 a 17759-999</t>
  </si>
  <si>
    <t>Riolândia</t>
  </si>
  <si>
    <t>15495-000 a 15499-999</t>
  </si>
  <si>
    <t>Rosana</t>
  </si>
  <si>
    <t>19273-000 a 19274-999</t>
  </si>
  <si>
    <t>Rubinéia</t>
  </si>
  <si>
    <t>15790-000 a 15799-999</t>
  </si>
  <si>
    <t>Rubiácea</t>
  </si>
  <si>
    <t>16750-000 a 16789-999</t>
  </si>
  <si>
    <t>Sagres</t>
  </si>
  <si>
    <t>17710-000 a 17719-999</t>
  </si>
  <si>
    <t>Salmourão</t>
  </si>
  <si>
    <t>17720-000 a 17729-999</t>
  </si>
  <si>
    <t>Sandovalina</t>
  </si>
  <si>
    <t>19250-000 a 19259-999</t>
  </si>
  <si>
    <t>Santa Albertina</t>
  </si>
  <si>
    <t>15750-000 a 15754-999</t>
  </si>
  <si>
    <t>Santa Clara D'Oeste</t>
  </si>
  <si>
    <t>15785-000 a 15789-999</t>
  </si>
  <si>
    <t>Santa Fé do Sul</t>
  </si>
  <si>
    <t>15775-000 a 15779-999</t>
  </si>
  <si>
    <t>Santa Mercedes</t>
  </si>
  <si>
    <t>17940-000 a 17949-999</t>
  </si>
  <si>
    <t>Santa Rita D'Oeste</t>
  </si>
  <si>
    <t>15780-000 a 15784-999</t>
  </si>
  <si>
    <t>Santa Salete</t>
  </si>
  <si>
    <t>15768-000 a 15769-999</t>
  </si>
  <si>
    <t>Santana da Ponte Pensa</t>
  </si>
  <si>
    <t>15765-000 a 15767-999</t>
  </si>
  <si>
    <t>Santo Anastácio</t>
  </si>
  <si>
    <t>19360-000 a 19379-999</t>
  </si>
  <si>
    <t>Santo Antônio do Aracanguá</t>
  </si>
  <si>
    <t>16130-000 a 16199-999</t>
  </si>
  <si>
    <t>Santo Expedito</t>
  </si>
  <si>
    <t>19190-000 a 19199-999</t>
  </si>
  <si>
    <t>Santópolis do Aguapeí</t>
  </si>
  <si>
    <t>16240-000 a 16249-999</t>
  </si>
  <si>
    <t>Sebastianópolis do Sul</t>
  </si>
  <si>
    <t>15180-000 a 15189-999</t>
  </si>
  <si>
    <t>Sud Mennucci</t>
  </si>
  <si>
    <t>15360-000 a 15369-999</t>
  </si>
  <si>
    <t>Suzanápolis</t>
  </si>
  <si>
    <t>15380-000 a 15384-999</t>
  </si>
  <si>
    <t>15710-000 a 15712-999</t>
  </si>
  <si>
    <t>São José do Barreiro</t>
  </si>
  <si>
    <t>12830-000 a 12849-999</t>
  </si>
  <si>
    <t>São João das Duas Pontes</t>
  </si>
  <si>
    <t>15640-000 a 15649-999</t>
  </si>
  <si>
    <t>São João de Iracema</t>
  </si>
  <si>
    <t>15315-000 a 15319-999</t>
  </si>
  <si>
    <t>São João do Pau d'Alho</t>
  </si>
  <si>
    <t>17970-000 a 17979-999</t>
  </si>
  <si>
    <t>Taciba</t>
  </si>
  <si>
    <t>19590-000 a 19599-999</t>
  </si>
  <si>
    <t>Tarabai</t>
  </si>
  <si>
    <t>19210-000 a 19219-999</t>
  </si>
  <si>
    <t>19280-000 a 19299-999</t>
  </si>
  <si>
    <t>Três Fronteiras</t>
  </si>
  <si>
    <t>15770-000 a 15772-999</t>
  </si>
  <si>
    <t>Tupi Paulista</t>
  </si>
  <si>
    <t>17930-000 a 17939-999</t>
  </si>
  <si>
    <t>Tupã</t>
  </si>
  <si>
    <t>17600-001 a 17629-999</t>
  </si>
  <si>
    <t>Turiúba</t>
  </si>
  <si>
    <t>15280-000 a 15284-999</t>
  </si>
  <si>
    <t>15755-000 a 15759-999</t>
  </si>
  <si>
    <t>União Paulista</t>
  </si>
  <si>
    <t>15250-000 a 15259-999</t>
  </si>
  <si>
    <t>Urânia</t>
  </si>
  <si>
    <t>15760-000 a 15762-999</t>
  </si>
  <si>
    <t>Valentim Gentil</t>
  </si>
  <si>
    <t>15520-000 a 15524-999</t>
  </si>
  <si>
    <t>Valparaíso</t>
  </si>
  <si>
    <t>16880-000 a 16899-999</t>
  </si>
  <si>
    <t>Vitória Brasil</t>
  </si>
  <si>
    <t>15713-000 a 15714-999</t>
  </si>
  <si>
    <t>Votuporanga</t>
  </si>
  <si>
    <t>15500-001 a 15519-999</t>
  </si>
  <si>
    <t>Zacarias</t>
  </si>
  <si>
    <t>15265-000 a 15269-999</t>
  </si>
  <si>
    <t>Álvares Florence</t>
  </si>
  <si>
    <t>15540-000 a 15549-999</t>
  </si>
  <si>
    <t>Álvares Machado</t>
  </si>
  <si>
    <t>19160-000 a 19179-999</t>
  </si>
  <si>
    <t>77000-001 a 77299-999</t>
  </si>
  <si>
    <t>Abreulândia</t>
  </si>
  <si>
    <t>77693-000 a 77694-999</t>
  </si>
  <si>
    <t>Aliança do Tocantins</t>
  </si>
  <si>
    <t>77455-000 a 77457-999</t>
  </si>
  <si>
    <t>Aparecida do Rio Negro</t>
  </si>
  <si>
    <t>77620-000 a 77629-999</t>
  </si>
  <si>
    <t>Barrolândia</t>
  </si>
  <si>
    <t>77665-000 a 77669-999</t>
  </si>
  <si>
    <t>77714-000 a 77715-999</t>
  </si>
  <si>
    <t>Brejinho de Nazaré</t>
  </si>
  <si>
    <t>77560-000 a 77564-999</t>
  </si>
  <si>
    <t>Chapada da Natividade</t>
  </si>
  <si>
    <t>77378-000 a 77379-999</t>
  </si>
  <si>
    <t>Chapada de Areia</t>
  </si>
  <si>
    <t>77575-000 a 77579-999</t>
  </si>
  <si>
    <t>Colméia</t>
  </si>
  <si>
    <t>77725-000 a 77729-999</t>
  </si>
  <si>
    <t>Cristalândia</t>
  </si>
  <si>
    <t>77490-000 a 77492-999</t>
  </si>
  <si>
    <t>Crixás do Tocantins</t>
  </si>
  <si>
    <t>77463-000 a 77464-999</t>
  </si>
  <si>
    <t>Divinópolis do Tocantins</t>
  </si>
  <si>
    <t>77670-000 a 77672-999</t>
  </si>
  <si>
    <t>Dois Irmãos do Tocantins</t>
  </si>
  <si>
    <t>77685-000 a 77689-999</t>
  </si>
  <si>
    <t>77555-000 a 77557-999</t>
  </si>
  <si>
    <t>Guaraí</t>
  </si>
  <si>
    <t>77700-000 a 77703-999</t>
  </si>
  <si>
    <t>77553-000 a 77554-999</t>
  </si>
  <si>
    <t>Lagoa da Confusão</t>
  </si>
  <si>
    <t>77493-000 a 77494-999</t>
  </si>
  <si>
    <t>Lagoa do Tocantins</t>
  </si>
  <si>
    <t>77613-000 a 77614-999</t>
  </si>
  <si>
    <t>77645-000 a 77649-999</t>
  </si>
  <si>
    <t>Marianópolis do Tocantins</t>
  </si>
  <si>
    <t>77675-000 a 77679-999</t>
  </si>
  <si>
    <t>Miracema do Tocantins</t>
  </si>
  <si>
    <t>77650-000 a 77654-999</t>
  </si>
  <si>
    <t>Miranorte</t>
  </si>
  <si>
    <t>77660-000 a 77664-999</t>
  </si>
  <si>
    <t>Monte do Carmo</t>
  </si>
  <si>
    <t>77585-000 a 77589-999</t>
  </si>
  <si>
    <t>Monte Santo do Tocantins</t>
  </si>
  <si>
    <t>77673-000 a 77674-999</t>
  </si>
  <si>
    <t>77370-000 a 77374-999</t>
  </si>
  <si>
    <t>Nova Rosalândia</t>
  </si>
  <si>
    <t>77495-000 a 77499-999</t>
  </si>
  <si>
    <t>Novo Acordo</t>
  </si>
  <si>
    <t>77610-000 a 77612-999</t>
  </si>
  <si>
    <t>Oliveira de Fátima</t>
  </si>
  <si>
    <t>77558-000 a 77559-999</t>
  </si>
  <si>
    <t>Paraíso do Tocantins</t>
  </si>
  <si>
    <t>77600-000 a 77602-999</t>
  </si>
  <si>
    <t>Pedro Afonso</t>
  </si>
  <si>
    <t>77710-000 a 77713-999</t>
  </si>
  <si>
    <t>Pindorama do Tocantins</t>
  </si>
  <si>
    <t>77380-000 a 77389-999</t>
  </si>
  <si>
    <t>Pium</t>
  </si>
  <si>
    <t>77570-000 a 77574-999</t>
  </si>
  <si>
    <t>Ponte Alta do Tocantins</t>
  </si>
  <si>
    <t>77590-000 a 77592-999</t>
  </si>
  <si>
    <t>Porto Nacional</t>
  </si>
  <si>
    <t>77500-000 a 77552-999</t>
  </si>
  <si>
    <t>77745-000 a 77749-999</t>
  </si>
  <si>
    <t>Pugmil</t>
  </si>
  <si>
    <t>77603-000 a 77604-999</t>
  </si>
  <si>
    <t>Rio dos Bois</t>
  </si>
  <si>
    <t>77655-000 a 77659-999</t>
  </si>
  <si>
    <t>Rio Sono</t>
  </si>
  <si>
    <t>77635-000 a 77639-999</t>
  </si>
  <si>
    <t>Santa Maria do Tocantins</t>
  </si>
  <si>
    <t>77716-000 a 77717-999</t>
  </si>
  <si>
    <t>Santa Rita do Tocantins</t>
  </si>
  <si>
    <t>77565-000 a 77569-999</t>
  </si>
  <si>
    <t>Santa Rosa do Tocantins</t>
  </si>
  <si>
    <t>77375-000 a 77377-999</t>
  </si>
  <si>
    <t>Santa Tereza do Tocantins</t>
  </si>
  <si>
    <t>77615-000 a 77619-999</t>
  </si>
  <si>
    <t>Silvanópolis</t>
  </si>
  <si>
    <t>77580-000 a 77584-999</t>
  </si>
  <si>
    <t>Tabocão</t>
  </si>
  <si>
    <t>77708-000 a 77709-999</t>
  </si>
  <si>
    <t>Tocantínia</t>
  </si>
  <si>
    <t>77640-000 a 77644-999</t>
  </si>
  <si>
    <t>Tupirama</t>
  </si>
  <si>
    <t>77704-000 a 77707-999</t>
  </si>
  <si>
    <t>Almas</t>
  </si>
  <si>
    <t>77310-000 a 77314-999</t>
  </si>
  <si>
    <t>77480-000 a 77482-999</t>
  </si>
  <si>
    <t>Aragominas</t>
  </si>
  <si>
    <t>77845-000 a 77847-999</t>
  </si>
  <si>
    <t>Araguacema</t>
  </si>
  <si>
    <t>77690-000 a 77692-999</t>
  </si>
  <si>
    <t>77855-000 a 77859-999</t>
  </si>
  <si>
    <t>Araguaçu</t>
  </si>
  <si>
    <t>77475-000 a 77477-999</t>
  </si>
  <si>
    <t>Araguaína</t>
  </si>
  <si>
    <t>77800-001 a 77839-999</t>
  </si>
  <si>
    <t>Arapoema</t>
  </si>
  <si>
    <t>77780-000 a 77782-999</t>
  </si>
  <si>
    <t>Arraias</t>
  </si>
  <si>
    <t>77330-000 a 77349-999</t>
  </si>
  <si>
    <t>Babaçulândia</t>
  </si>
  <si>
    <t>77870-000 a 77879-999</t>
  </si>
  <si>
    <t>Bandeirantes do Tocantins</t>
  </si>
  <si>
    <t>77783-000 a 77784-999</t>
  </si>
  <si>
    <t>Barra do Ouro</t>
  </si>
  <si>
    <t>77765-000 a 77769-999</t>
  </si>
  <si>
    <t>Bernardo Sayão</t>
  </si>
  <si>
    <t>77755-000 a 77759-999</t>
  </si>
  <si>
    <t>Brasilândia do Tocantins</t>
  </si>
  <si>
    <t>77735-000 a 77739-999</t>
  </si>
  <si>
    <t>Cariri do Tocantins</t>
  </si>
  <si>
    <t>77453-000 a 77454-999</t>
  </si>
  <si>
    <t>Carmolândia</t>
  </si>
  <si>
    <t>77840-000 a 77844-999</t>
  </si>
  <si>
    <t>Caseara</t>
  </si>
  <si>
    <t>77680-000 a 77684-999</t>
  </si>
  <si>
    <t>77723-000 a 77724-999</t>
  </si>
  <si>
    <t>Colinas do Tocantins</t>
  </si>
  <si>
    <t>77760-000 a 77764-999</t>
  </si>
  <si>
    <t>Conceição do Tocantins</t>
  </si>
  <si>
    <t>77305-000 a 77307-999</t>
  </si>
  <si>
    <t>Couto Magalhães</t>
  </si>
  <si>
    <t>77750-000 a 77752-999</t>
  </si>
  <si>
    <t>Darcinópolis</t>
  </si>
  <si>
    <t>77910-000 a 77912-999</t>
  </si>
  <si>
    <t>Dianópolis</t>
  </si>
  <si>
    <t>77300-000 a 77302-999</t>
  </si>
  <si>
    <t>Dueré</t>
  </si>
  <si>
    <t>77485-000 a 77489-999</t>
  </si>
  <si>
    <t>Figueirópolis</t>
  </si>
  <si>
    <t>77465-000 a 77469-999</t>
  </si>
  <si>
    <t>77795-000 a 77797-999</t>
  </si>
  <si>
    <t>Formoso do Araguaia</t>
  </si>
  <si>
    <t>77470-000 a 77474-999</t>
  </si>
  <si>
    <t>Goianorte</t>
  </si>
  <si>
    <t>77695-000 a 77699-999</t>
  </si>
  <si>
    <t>Goiatins</t>
  </si>
  <si>
    <t>77770-000 a 77776-999</t>
  </si>
  <si>
    <t>Gurupi</t>
  </si>
  <si>
    <t>77400-001 a 77449-999</t>
  </si>
  <si>
    <t>Itacajá</t>
  </si>
  <si>
    <t>77720-000 a 77722-999</t>
  </si>
  <si>
    <t>Itapiratins</t>
  </si>
  <si>
    <t>77718-000 a 77719-999</t>
  </si>
  <si>
    <t>Itaporã do Tocantins</t>
  </si>
  <si>
    <t>77740-000 a 77742-999</t>
  </si>
  <si>
    <t>Jaú do Tocantins</t>
  </si>
  <si>
    <t>77450-000 a 77452-999</t>
  </si>
  <si>
    <t>Juarina</t>
  </si>
  <si>
    <t>77753-000 a 77754-999</t>
  </si>
  <si>
    <t>Lizarda</t>
  </si>
  <si>
    <t>77630-000 a 77634-999</t>
  </si>
  <si>
    <t>Mateiros</t>
  </si>
  <si>
    <t>77593-000 a 77599-999</t>
  </si>
  <si>
    <t>Muricilândia</t>
  </si>
  <si>
    <t>77850-000 a 77854-999</t>
  </si>
  <si>
    <t>77790-000 a 77794-999</t>
  </si>
  <si>
    <t>Novo Alegre</t>
  </si>
  <si>
    <t>77353-000 a 77359-999</t>
  </si>
  <si>
    <t>Novo Jardim</t>
  </si>
  <si>
    <t>77318-000 a 77319-999</t>
  </si>
  <si>
    <t>Palmeirante</t>
  </si>
  <si>
    <t>77798-000 a 77799-999</t>
  </si>
  <si>
    <t>Palmeirópolis</t>
  </si>
  <si>
    <t>77365-000 a 77367-999</t>
  </si>
  <si>
    <t>Paranã</t>
  </si>
  <si>
    <t>77360-000 a 77364-999</t>
  </si>
  <si>
    <t>77785-000 a 77789-999</t>
  </si>
  <si>
    <t>Peixe</t>
  </si>
  <si>
    <t>77460-000 a 77462-999</t>
  </si>
  <si>
    <t>Pequizeiro</t>
  </si>
  <si>
    <t>77730-000 a 77732-999</t>
  </si>
  <si>
    <t>Piraquê</t>
  </si>
  <si>
    <t>77888-000 a 77889-999</t>
  </si>
  <si>
    <t>Ponte Alta do Bom Jesus</t>
  </si>
  <si>
    <t>77315-000 a 77317-999</t>
  </si>
  <si>
    <t>Porto Alegre do Tocantins</t>
  </si>
  <si>
    <t>77395-000 a 77399-999</t>
  </si>
  <si>
    <t>Recursolândia</t>
  </si>
  <si>
    <t>77733-000 a 77734-999</t>
  </si>
  <si>
    <t>Rio da Conceição</t>
  </si>
  <si>
    <t>77303-000 a 77304-999</t>
  </si>
  <si>
    <t>Sandolândia</t>
  </si>
  <si>
    <t>77478-000 a 77479-999</t>
  </si>
  <si>
    <t>Santa Fé do Araguaia</t>
  </si>
  <si>
    <t>77848-000 a 77849-999</t>
  </si>
  <si>
    <t>Sucupira</t>
  </si>
  <si>
    <t>77458-000 a 77459-999</t>
  </si>
  <si>
    <t>São Félix do Tocantins</t>
  </si>
  <si>
    <t>77605-000 a 77609-999</t>
  </si>
  <si>
    <t>São Salvador do Tocantins</t>
  </si>
  <si>
    <t>77368-000 a 77369-999</t>
  </si>
  <si>
    <t>São Valério da Natividade</t>
  </si>
  <si>
    <t>77390-000 a 77394-999</t>
  </si>
  <si>
    <t>77320-000 a 77324-999</t>
  </si>
  <si>
    <t>Taipas do Tocantins</t>
  </si>
  <si>
    <t>77308-000 a 77309-999</t>
  </si>
  <si>
    <t>Talismã</t>
  </si>
  <si>
    <t>77483-000 a 77484-999</t>
  </si>
  <si>
    <t>Tupiratins</t>
  </si>
  <si>
    <t>77743-000 a 77744-999</t>
  </si>
  <si>
    <t>Wanderlândia</t>
  </si>
  <si>
    <t>77860-000 a 77869-999</t>
  </si>
  <si>
    <t>Aguiarnópolis</t>
  </si>
  <si>
    <t>77908-000 a 77909-999</t>
  </si>
  <si>
    <t>Ananás</t>
  </si>
  <si>
    <t>77890-000 a 77892-999</t>
  </si>
  <si>
    <t>Angico</t>
  </si>
  <si>
    <t>77905-000 a 77907-999</t>
  </si>
  <si>
    <t>Araguatins</t>
  </si>
  <si>
    <t>77950-000 a 77957-999</t>
  </si>
  <si>
    <t>Augustinópolis</t>
  </si>
  <si>
    <t>77960-000 a 77969-999</t>
  </si>
  <si>
    <t>Aurora do Tocantins</t>
  </si>
  <si>
    <t>77325-000 a 77327-999</t>
  </si>
  <si>
    <t>Axixá do Tocantins</t>
  </si>
  <si>
    <t>77930-000 a 77939-999</t>
  </si>
  <si>
    <t>Buriti do Tocantins</t>
  </si>
  <si>
    <t>77995-000 a 77999-999</t>
  </si>
  <si>
    <t>77915-000 a 77917-999</t>
  </si>
  <si>
    <t>Campos Lindos</t>
  </si>
  <si>
    <t>77777-000 a 77779-999</t>
  </si>
  <si>
    <t>Carrasco Bonito</t>
  </si>
  <si>
    <t>77985-000 a 77989-999</t>
  </si>
  <si>
    <t>Combinado</t>
  </si>
  <si>
    <t>77350-000 a 77352-999</t>
  </si>
  <si>
    <t>77993-000 a 77994-999</t>
  </si>
  <si>
    <t>Itaguatins</t>
  </si>
  <si>
    <t>77920-000 a 77924-999</t>
  </si>
  <si>
    <t>Lavandeira</t>
  </si>
  <si>
    <t>77328-000 a 77329-999</t>
  </si>
  <si>
    <t>Luzinópolis</t>
  </si>
  <si>
    <t>77903-000 a 77904-999</t>
  </si>
  <si>
    <t>Maurilândia do Tocantins</t>
  </si>
  <si>
    <t>77918-000 a 77919-999</t>
  </si>
  <si>
    <t>77895-000 a 77899-999</t>
  </si>
  <si>
    <t>Palmeiras do Tocantins</t>
  </si>
  <si>
    <t>77913-000 a 77914-999</t>
  </si>
  <si>
    <t>Praia Norte</t>
  </si>
  <si>
    <t>77970-000 a 77979-999</t>
  </si>
  <si>
    <t>77893-000 a 77894-999</t>
  </si>
  <si>
    <t>Sampaio</t>
  </si>
  <si>
    <t>77980-000 a 77984-999</t>
  </si>
  <si>
    <t>Santa Terezinha do Tocantins</t>
  </si>
  <si>
    <t>77885-000 a 77887-999</t>
  </si>
  <si>
    <t>São Bento do Tocantins</t>
  </si>
  <si>
    <t>77958-000 a 77959-999</t>
  </si>
  <si>
    <t>São Miguel do Tocantins</t>
  </si>
  <si>
    <t>77925-000 a 77929-999</t>
  </si>
  <si>
    <t>São Sebastião do Tocantins</t>
  </si>
  <si>
    <t>77990-000 a 77992-999</t>
  </si>
  <si>
    <t>Sítio Novo do Tocantins</t>
  </si>
  <si>
    <t>77940-000 a 77949-999</t>
  </si>
  <si>
    <t>Tocantinópolis</t>
  </si>
  <si>
    <t>77900-000 a 77902-999</t>
  </si>
  <si>
    <t>Xambioá</t>
  </si>
  <si>
    <t>77880-000 a 77884-999</t>
  </si>
</sst>
</file>

<file path=xl/styles.xml><?xml version="1.0" encoding="utf-8"?>
<styleSheet xmlns="http://schemas.openxmlformats.org/spreadsheetml/2006/main">
  <numFmts count="12">
    <numFmt numFmtId="176" formatCode="#,##0.00;[Red]#,##0.00"/>
    <numFmt numFmtId="177" formatCode="#,##0.000;[Red]#,##0.000"/>
    <numFmt numFmtId="178" formatCode="_-&quot;R$&quot;\ * #,##0.00_-;\-&quot;R$&quot;\ * #,##0.00_-;_-&quot;R$&quot;\ * &quot;-&quot;??_-;_-@_-"/>
    <numFmt numFmtId="179" formatCode="#,##0.00_ "/>
    <numFmt numFmtId="180" formatCode="_-&quot;R$&quot;\ * #,##0_-;\-&quot;R$&quot;\ * #,##0_-;_-&quot;R$&quot;\ * &quot;-&quot;_-;_-@_-"/>
    <numFmt numFmtId="181" formatCode="_-* #,##0.00_-;\-* #,##0.00_-;_-* &quot;-&quot;??_-;_-@_-"/>
    <numFmt numFmtId="182" formatCode="#,##0.000"/>
    <numFmt numFmtId="183" formatCode="_(* #,##0.00_);_(* \(#,##0.00\);_(* \-??_);_(@_)"/>
    <numFmt numFmtId="184" formatCode="0_ "/>
    <numFmt numFmtId="185" formatCode="0.00_ "/>
    <numFmt numFmtId="186" formatCode="0000"/>
    <numFmt numFmtId="187" formatCode="_-* #,##0_-;\-* #,##0_-;_-* &quot;-&quot;_-;_-@_-"/>
  </numFmts>
  <fonts count="47"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9"/>
      <name val="Arial"/>
      <charset val="0"/>
    </font>
    <font>
      <sz val="9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8"/>
      <name val="Times New Roman"/>
      <charset val="1"/>
    </font>
    <font>
      <sz val="18"/>
      <name val="Arial Narrow"/>
      <charset val="0"/>
    </font>
    <font>
      <sz val="18"/>
      <name val="Arial"/>
      <charset val="0"/>
    </font>
    <font>
      <sz val="18"/>
      <color theme="1"/>
      <name val="Calibri"/>
      <charset val="134"/>
      <scheme val="minor"/>
    </font>
    <font>
      <sz val="18"/>
      <name val="Times New Roman"/>
      <charset val="134"/>
    </font>
    <font>
      <b/>
      <sz val="18"/>
      <color theme="0"/>
      <name val="Arial"/>
      <charset val="0"/>
    </font>
    <font>
      <sz val="18"/>
      <color theme="0"/>
      <name val="Arial"/>
      <charset val="0"/>
    </font>
    <font>
      <sz val="18"/>
      <color theme="1"/>
      <name val="Arial"/>
      <charset val="0"/>
    </font>
    <font>
      <b/>
      <sz val="18"/>
      <name val="Arial"/>
      <charset val="0"/>
    </font>
    <font>
      <b/>
      <sz val="18"/>
      <color rgb="FF1F2DA8"/>
      <name val="Arial"/>
      <charset val="0"/>
    </font>
    <font>
      <b/>
      <sz val="18"/>
      <color rgb="FFFFFFFF"/>
      <name val="Calibri"/>
      <charset val="134"/>
    </font>
    <font>
      <b/>
      <sz val="18"/>
      <color rgb="FFFF0000"/>
      <name val="Calibri"/>
      <charset val="134"/>
      <scheme val="minor"/>
    </font>
    <font>
      <b/>
      <sz val="18"/>
      <name val="Calibri"/>
      <charset val="134"/>
      <scheme val="minor"/>
    </font>
    <font>
      <b/>
      <sz val="18"/>
      <color rgb="FF1F2DA8"/>
      <name val="Calibri"/>
      <charset val="134"/>
      <scheme val="minor"/>
    </font>
    <font>
      <b/>
      <sz val="18"/>
      <color rgb="FF1F2DA8"/>
      <name val="Calibri"/>
      <charset val="134"/>
    </font>
    <font>
      <b/>
      <sz val="18"/>
      <color rgb="FF1F2DA8"/>
      <name val="Arial"/>
      <charset val="134"/>
    </font>
    <font>
      <sz val="18"/>
      <color theme="0"/>
      <name val="Arial"/>
      <charset val="134"/>
    </font>
    <font>
      <sz val="18"/>
      <name val="Arial"/>
      <charset val="134"/>
    </font>
    <font>
      <u/>
      <sz val="18"/>
      <color rgb="FF0000FF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0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8"/>
      <color indexed="62"/>
      <name val="Calibri"/>
      <charset val="134"/>
    </font>
    <font>
      <sz val="18"/>
      <color indexed="62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58402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rgb="FFF9FBFA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24AA14"/>
        <bgColor indexed="64"/>
      </patternFill>
    </fill>
    <fill>
      <patternFill patternType="solid">
        <fgColor rgb="FF24AA14"/>
        <bgColor indexed="31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002060"/>
        <bgColor rgb="FF00008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auto="1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auto="1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83" fontId="39" fillId="0" borderId="0" applyFill="0" applyBorder="0" applyAlignment="0" applyProtection="0"/>
    <xf numFmtId="0" fontId="30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33" fillId="22" borderId="25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/>
    <xf numFmtId="0" fontId="44" fillId="22" borderId="23" applyNumberFormat="0" applyAlignment="0" applyProtection="0">
      <alignment vertical="center"/>
    </xf>
    <xf numFmtId="0" fontId="31" fillId="18" borderId="2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0" borderId="24" applyNumberFormat="0" applyFon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1" fontId="2" fillId="2" borderId="0" xfId="0" applyNumberFormat="1" applyFont="1" applyFill="1" applyBorder="1" applyAlignment="1">
      <alignment horizontal="center" vertical="center" wrapText="1"/>
    </xf>
    <xf numFmtId="1" fontId="2" fillId="3" borderId="0" xfId="43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33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 applyProtection="1">
      <protection hidden="1"/>
    </xf>
    <xf numFmtId="0" fontId="6" fillId="0" borderId="0" xfId="0" applyFont="1" applyFill="1" applyBorder="1" applyAlignment="1" applyProtection="1">
      <alignment horizontal="left" vertical="center"/>
      <protection hidden="1"/>
    </xf>
    <xf numFmtId="0" fontId="6" fillId="0" borderId="0" xfId="0" applyFont="1" applyFill="1" applyBorder="1" applyAlignment="1" applyProtection="1">
      <alignment horizontal="center"/>
      <protection hidden="1"/>
    </xf>
    <xf numFmtId="0" fontId="7" fillId="0" borderId="0" xfId="0" applyFont="1" applyFill="1" applyBorder="1" applyAlignment="1" applyProtection="1">
      <protection hidden="1"/>
    </xf>
    <xf numFmtId="0" fontId="6" fillId="5" borderId="0" xfId="0" applyFont="1" applyFill="1" applyBorder="1" applyAlignment="1" applyProtection="1">
      <protection hidden="1"/>
    </xf>
    <xf numFmtId="0" fontId="8" fillId="5" borderId="0" xfId="0" applyFont="1" applyFill="1" applyBorder="1" applyAlignment="1" applyProtection="1">
      <protection hidden="1"/>
    </xf>
    <xf numFmtId="0" fontId="6" fillId="5" borderId="0" xfId="0" applyFont="1" applyFill="1" applyAlignment="1" applyProtection="1">
      <protection hidden="1"/>
    </xf>
    <xf numFmtId="0" fontId="9" fillId="0" borderId="0" xfId="0" applyFont="1" applyFill="1" applyAlignment="1" applyProtection="1">
      <alignment vertical="center"/>
      <protection hidden="1"/>
    </xf>
    <xf numFmtId="0" fontId="10" fillId="0" borderId="0" xfId="0" applyFont="1" applyAlignment="1" applyProtection="1">
      <protection hidden="1"/>
    </xf>
    <xf numFmtId="0" fontId="10" fillId="0" borderId="0" xfId="0" applyFont="1" applyAlignment="1" applyProtection="1">
      <alignment vertical="top"/>
      <protection hidden="1"/>
    </xf>
    <xf numFmtId="0" fontId="10" fillId="6" borderId="0" xfId="0" applyFont="1" applyFill="1" applyAlignment="1" applyProtection="1">
      <protection hidden="1"/>
    </xf>
    <xf numFmtId="0" fontId="9" fillId="0" borderId="0" xfId="0" applyFont="1" applyProtection="1">
      <alignment vertical="center"/>
      <protection hidden="1"/>
    </xf>
    <xf numFmtId="0" fontId="8" fillId="0" borderId="0" xfId="0" applyFont="1" applyFill="1" applyBorder="1" applyAlignment="1" applyProtection="1">
      <protection hidden="1"/>
    </xf>
    <xf numFmtId="182" fontId="8" fillId="0" borderId="0" xfId="0" applyNumberFormat="1" applyFont="1" applyFill="1" applyBorder="1" applyAlignment="1" applyProtection="1">
      <protection hidden="1"/>
    </xf>
    <xf numFmtId="10" fontId="8" fillId="0" borderId="0" xfId="0" applyNumberFormat="1" applyFont="1" applyFill="1" applyBorder="1" applyAlignment="1" applyProtection="1">
      <protection hidden="1"/>
    </xf>
    <xf numFmtId="0" fontId="11" fillId="2" borderId="1" xfId="0" applyNumberFormat="1" applyFont="1" applyFill="1" applyBorder="1" applyAlignment="1" applyProtection="1">
      <alignment horizontal="center"/>
      <protection hidden="1"/>
    </xf>
    <xf numFmtId="0" fontId="11" fillId="2" borderId="2" xfId="0" applyNumberFormat="1" applyFont="1" applyFill="1" applyBorder="1" applyAlignment="1" applyProtection="1">
      <alignment horizontal="center"/>
      <protection hidden="1"/>
    </xf>
    <xf numFmtId="0" fontId="11" fillId="2" borderId="2" xfId="0" applyNumberFormat="1" applyFont="1" applyFill="1" applyBorder="1" applyAlignment="1" applyProtection="1">
      <protection hidden="1"/>
    </xf>
    <xf numFmtId="0" fontId="11" fillId="2" borderId="3" xfId="0" applyNumberFormat="1" applyFont="1" applyFill="1" applyBorder="1" applyAlignment="1" applyProtection="1">
      <alignment horizontal="center"/>
      <protection hidden="1"/>
    </xf>
    <xf numFmtId="0" fontId="11" fillId="2" borderId="0" xfId="0" applyNumberFormat="1" applyFont="1" applyFill="1" applyBorder="1" applyAlignment="1" applyProtection="1">
      <alignment horizontal="center"/>
      <protection hidden="1"/>
    </xf>
    <xf numFmtId="0" fontId="12" fillId="2" borderId="0" xfId="0" applyNumberFormat="1" applyFont="1" applyFill="1" applyBorder="1" applyAlignment="1" applyProtection="1">
      <protection locked="0" hidden="1"/>
    </xf>
    <xf numFmtId="0" fontId="12" fillId="2" borderId="3" xfId="0" applyNumberFormat="1" applyFont="1" applyFill="1" applyBorder="1" applyAlignment="1" applyProtection="1">
      <protection locked="0" hidden="1"/>
    </xf>
    <xf numFmtId="0" fontId="13" fillId="0" borderId="4" xfId="0" applyFont="1" applyFill="1" applyBorder="1" applyAlignment="1" applyProtection="1">
      <alignment horizontal="left" vertical="center"/>
      <protection hidden="1"/>
    </xf>
    <xf numFmtId="0" fontId="13" fillId="0" borderId="5" xfId="0" applyFont="1" applyFill="1" applyBorder="1" applyAlignment="1" applyProtection="1">
      <alignment horizontal="left" vertical="center"/>
      <protection hidden="1"/>
    </xf>
    <xf numFmtId="0" fontId="14" fillId="0" borderId="6" xfId="0" applyNumberFormat="1" applyFont="1" applyFill="1" applyBorder="1" applyAlignment="1" applyProtection="1">
      <alignment horizontal="left" vertical="center"/>
      <protection hidden="1"/>
    </xf>
    <xf numFmtId="0" fontId="14" fillId="0" borderId="4" xfId="0" applyFont="1" applyFill="1" applyBorder="1" applyAlignment="1" applyProtection="1">
      <alignment horizontal="center" vertical="center" wrapText="1"/>
      <protection hidden="1"/>
    </xf>
    <xf numFmtId="0" fontId="14" fillId="0" borderId="4" xfId="0" applyFont="1" applyFill="1" applyBorder="1" applyAlignment="1" applyProtection="1">
      <alignment horizontal="center" vertical="center"/>
      <protection hidden="1"/>
    </xf>
    <xf numFmtId="0" fontId="14" fillId="0" borderId="5" xfId="0" applyFont="1" applyFill="1" applyBorder="1" applyAlignment="1" applyProtection="1">
      <alignment horizontal="center" vertical="center"/>
      <protection hidden="1"/>
    </xf>
    <xf numFmtId="0" fontId="14" fillId="0" borderId="7" xfId="0" applyFont="1" applyFill="1" applyBorder="1" applyAlignment="1" applyProtection="1">
      <alignment horizontal="center" vertical="center"/>
      <protection hidden="1"/>
    </xf>
    <xf numFmtId="0" fontId="11" fillId="2" borderId="5" xfId="0" applyFont="1" applyFill="1" applyBorder="1" applyAlignment="1" applyProtection="1">
      <alignment horizontal="center" vertical="center" wrapText="1"/>
      <protection locked="0" hidden="1"/>
    </xf>
    <xf numFmtId="0" fontId="11" fillId="7" borderId="4" xfId="0" applyFont="1" applyFill="1" applyBorder="1" applyAlignment="1" applyProtection="1">
      <alignment horizontal="center" vertical="center" wrapText="1"/>
      <protection hidden="1"/>
    </xf>
    <xf numFmtId="0" fontId="11" fillId="8" borderId="4" xfId="0" applyFont="1" applyFill="1" applyBorder="1" applyAlignment="1" applyProtection="1">
      <alignment horizontal="center" vertical="center" wrapText="1"/>
      <protection hidden="1"/>
    </xf>
    <xf numFmtId="0" fontId="11" fillId="7" borderId="5" xfId="0" applyFont="1" applyFill="1" applyBorder="1" applyAlignment="1" applyProtection="1">
      <alignment horizontal="center" vertical="center" wrapText="1"/>
      <protection hidden="1"/>
    </xf>
    <xf numFmtId="0" fontId="11" fillId="8" borderId="5" xfId="0" applyFont="1" applyFill="1" applyBorder="1" applyAlignment="1" applyProtection="1">
      <alignment horizontal="center" vertical="center" wrapText="1"/>
      <protection hidden="1"/>
    </xf>
    <xf numFmtId="0" fontId="11" fillId="2" borderId="5" xfId="0" applyFont="1" applyFill="1" applyBorder="1" applyAlignment="1" applyProtection="1">
      <alignment horizontal="center" vertical="center" textRotation="90"/>
      <protection hidden="1"/>
    </xf>
    <xf numFmtId="0" fontId="14" fillId="9" borderId="5" xfId="0" applyFont="1" applyFill="1" applyBorder="1" applyAlignment="1" applyProtection="1">
      <alignment horizontal="center" vertical="center"/>
      <protection hidden="1"/>
    </xf>
    <xf numFmtId="0" fontId="14" fillId="10" borderId="0" xfId="43" applyFont="1" applyFill="1" applyAlignment="1" applyProtection="1">
      <alignment horizontal="left" vertical="center"/>
      <protection hidden="1"/>
    </xf>
    <xf numFmtId="0" fontId="11" fillId="5" borderId="5" xfId="0" applyFont="1" applyFill="1" applyBorder="1" applyAlignment="1" applyProtection="1">
      <alignment horizontal="center" vertical="center" textRotation="90"/>
      <protection hidden="1"/>
    </xf>
    <xf numFmtId="0" fontId="14" fillId="5" borderId="5" xfId="0" applyFont="1" applyFill="1" applyBorder="1" applyAlignment="1" applyProtection="1">
      <alignment horizontal="center" vertical="center"/>
      <protection hidden="1"/>
    </xf>
    <xf numFmtId="0" fontId="15" fillId="5" borderId="5" xfId="43" applyFont="1" applyFill="1" applyBorder="1" applyAlignment="1" applyProtection="1">
      <alignment horizontal="left" vertical="center"/>
      <protection hidden="1"/>
    </xf>
    <xf numFmtId="0" fontId="14" fillId="9" borderId="7" xfId="0" applyFont="1" applyFill="1" applyBorder="1" applyAlignment="1" applyProtection="1">
      <alignment horizontal="center" vertical="center"/>
      <protection hidden="1"/>
    </xf>
    <xf numFmtId="0" fontId="14" fillId="9" borderId="5" xfId="43" applyFont="1" applyFill="1" applyBorder="1" applyAlignment="1" applyProtection="1">
      <alignment horizontal="left" vertical="center"/>
      <protection hidden="1"/>
    </xf>
    <xf numFmtId="0" fontId="14" fillId="5" borderId="6" xfId="0" applyFont="1" applyFill="1" applyBorder="1" applyAlignment="1" applyProtection="1">
      <alignment horizontal="center" vertical="center"/>
      <protection hidden="1"/>
    </xf>
    <xf numFmtId="0" fontId="14" fillId="5" borderId="4" xfId="0" applyFont="1" applyFill="1" applyBorder="1" applyAlignment="1" applyProtection="1">
      <alignment horizontal="center" vertical="center"/>
      <protection hidden="1"/>
    </xf>
    <xf numFmtId="0" fontId="14" fillId="5" borderId="5" xfId="0" applyFont="1" applyFill="1" applyBorder="1" applyAlignment="1" applyProtection="1">
      <alignment horizontal="center" vertical="center" textRotation="90"/>
      <protection hidden="1"/>
    </xf>
    <xf numFmtId="0" fontId="14" fillId="10" borderId="7" xfId="43" applyFont="1" applyFill="1" applyBorder="1" applyAlignment="1" applyProtection="1">
      <alignment horizontal="left" vertical="center"/>
      <protection hidden="1"/>
    </xf>
    <xf numFmtId="0" fontId="14" fillId="5" borderId="8" xfId="0" applyFont="1" applyFill="1" applyBorder="1" applyAlignment="1" applyProtection="1">
      <alignment horizontal="center" vertical="center"/>
      <protection hidden="1"/>
    </xf>
    <xf numFmtId="0" fontId="14" fillId="10" borderId="4" xfId="43" applyFont="1" applyFill="1" applyBorder="1" applyAlignment="1" applyProtection="1">
      <alignment horizontal="left" vertical="center"/>
      <protection hidden="1"/>
    </xf>
    <xf numFmtId="0" fontId="14" fillId="10" borderId="5" xfId="43" applyFont="1" applyFill="1" applyBorder="1" applyAlignment="1" applyProtection="1">
      <alignment horizontal="left" vertical="center"/>
      <protection hidden="1"/>
    </xf>
    <xf numFmtId="0" fontId="11" fillId="2" borderId="7" xfId="0" applyFont="1" applyFill="1" applyBorder="1" applyAlignment="1" applyProtection="1">
      <alignment horizontal="center" vertical="center" textRotation="90"/>
      <protection hidden="1"/>
    </xf>
    <xf numFmtId="0" fontId="11" fillId="2" borderId="6" xfId="0" applyFont="1" applyFill="1" applyBorder="1" applyAlignment="1" applyProtection="1">
      <alignment horizontal="center" vertical="center" textRotation="90"/>
      <protection hidden="1"/>
    </xf>
    <xf numFmtId="0" fontId="11" fillId="2" borderId="2" xfId="0" applyNumberFormat="1" applyFont="1" applyFill="1" applyBorder="1" applyAlignment="1" applyProtection="1">
      <alignment horizontal="center" vertical="center"/>
      <protection locked="0" hidden="1"/>
    </xf>
    <xf numFmtId="0" fontId="11" fillId="2" borderId="0" xfId="0" applyNumberFormat="1" applyFont="1" applyFill="1" applyBorder="1" applyAlignment="1" applyProtection="1">
      <alignment horizontal="center" vertical="center"/>
      <protection locked="0" hidden="1"/>
    </xf>
    <xf numFmtId="0" fontId="11" fillId="7" borderId="9" xfId="0" applyFont="1" applyFill="1" applyBorder="1" applyAlignment="1" applyProtection="1">
      <alignment horizontal="center" vertical="center" wrapText="1"/>
      <protection hidden="1"/>
    </xf>
    <xf numFmtId="0" fontId="11" fillId="7" borderId="10" xfId="0" applyFont="1" applyFill="1" applyBorder="1" applyAlignment="1" applyProtection="1">
      <alignment horizontal="center" vertical="center" wrapText="1"/>
      <protection hidden="1"/>
    </xf>
    <xf numFmtId="179" fontId="8" fillId="10" borderId="5" xfId="0" applyNumberFormat="1" applyFont="1" applyFill="1" applyBorder="1" applyAlignment="1" applyProtection="1">
      <alignment horizontal="center" vertical="center"/>
      <protection hidden="1"/>
    </xf>
    <xf numFmtId="179" fontId="8" fillId="0" borderId="5" xfId="0" applyNumberFormat="1" applyFont="1" applyFill="1" applyBorder="1" applyAlignment="1" applyProtection="1">
      <alignment horizontal="center" vertical="center"/>
      <protection hidden="1"/>
    </xf>
    <xf numFmtId="179" fontId="8" fillId="5" borderId="5" xfId="0" applyNumberFormat="1" applyFont="1" applyFill="1" applyBorder="1" applyAlignment="1" applyProtection="1">
      <alignment horizontal="center" vertical="center"/>
      <protection hidden="1"/>
    </xf>
    <xf numFmtId="0" fontId="14" fillId="2" borderId="2" xfId="0" applyNumberFormat="1" applyFont="1" applyFill="1" applyBorder="1" applyAlignment="1" applyProtection="1">
      <alignment horizontal="center" vertical="center"/>
      <protection locked="0" hidden="1"/>
    </xf>
    <xf numFmtId="0" fontId="11" fillId="2" borderId="2" xfId="0" applyNumberFormat="1" applyFont="1" applyFill="1" applyBorder="1" applyAlignment="1" applyProtection="1">
      <alignment horizontal="center" vertical="center"/>
      <protection hidden="1"/>
    </xf>
    <xf numFmtId="0" fontId="14" fillId="2" borderId="0" xfId="0" applyNumberFormat="1" applyFont="1" applyFill="1" applyBorder="1" applyAlignment="1" applyProtection="1">
      <alignment horizontal="center" vertical="center"/>
      <protection locked="0" hidden="1"/>
    </xf>
    <xf numFmtId="0" fontId="11" fillId="2" borderId="0" xfId="0" applyNumberFormat="1" applyFont="1" applyFill="1" applyBorder="1" applyAlignment="1" applyProtection="1">
      <alignment horizontal="center" vertical="center"/>
      <protection hidden="1"/>
    </xf>
    <xf numFmtId="0" fontId="8" fillId="0" borderId="4" xfId="0" applyFont="1" applyFill="1" applyBorder="1" applyAlignment="1" applyProtection="1">
      <alignment horizontal="left" vertical="center"/>
      <protection hidden="1"/>
    </xf>
    <xf numFmtId="0" fontId="8" fillId="0" borderId="5" xfId="0" applyFont="1" applyFill="1" applyBorder="1" applyAlignment="1" applyProtection="1">
      <alignment horizontal="left" vertical="center"/>
      <protection hidden="1"/>
    </xf>
    <xf numFmtId="0" fontId="8" fillId="0" borderId="6" xfId="0" applyNumberFormat="1" applyFont="1" applyFill="1" applyBorder="1" applyAlignment="1" applyProtection="1">
      <alignment horizontal="left" vertical="center"/>
      <protection hidden="1"/>
    </xf>
    <xf numFmtId="0" fontId="14" fillId="0" borderId="4" xfId="0" applyFont="1" applyFill="1" applyBorder="1" applyAlignment="1" applyProtection="1">
      <alignment horizontal="left" vertical="center"/>
      <protection hidden="1"/>
    </xf>
    <xf numFmtId="0" fontId="8" fillId="2" borderId="5" xfId="0" applyFont="1" applyFill="1" applyBorder="1" applyAlignment="1" applyProtection="1">
      <alignment horizontal="center" vertical="center" wrapText="1"/>
      <protection locked="0" hidden="1"/>
    </xf>
    <xf numFmtId="0" fontId="11" fillId="2" borderId="5" xfId="0" applyFont="1" applyFill="1" applyBorder="1" applyAlignment="1" applyProtection="1">
      <alignment horizontal="center" vertical="center" wrapText="1"/>
      <protection hidden="1"/>
    </xf>
    <xf numFmtId="0" fontId="14" fillId="7" borderId="10" xfId="0" applyFont="1" applyFill="1" applyBorder="1" applyAlignment="1" applyProtection="1">
      <alignment horizontal="center" vertical="center" wrapText="1"/>
      <protection hidden="1"/>
    </xf>
    <xf numFmtId="10" fontId="11" fillId="7" borderId="4" xfId="0" applyNumberFormat="1" applyFont="1" applyFill="1" applyBorder="1" applyAlignment="1" applyProtection="1">
      <alignment horizontal="center" vertical="center" wrapText="1"/>
      <protection hidden="1"/>
    </xf>
    <xf numFmtId="10" fontId="11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11" fillId="7" borderId="6" xfId="0" applyFont="1" applyFill="1" applyBorder="1" applyAlignment="1" applyProtection="1">
      <alignment horizontal="center" vertical="center" wrapText="1"/>
      <protection hidden="1"/>
    </xf>
    <xf numFmtId="182" fontId="11" fillId="7" borderId="4" xfId="0" applyNumberFormat="1" applyFont="1" applyFill="1" applyBorder="1" applyAlignment="1" applyProtection="1">
      <alignment horizontal="center" vertical="center" wrapText="1"/>
      <protection hidden="1"/>
    </xf>
    <xf numFmtId="10" fontId="11" fillId="7" borderId="5" xfId="0" applyNumberFormat="1" applyFont="1" applyFill="1" applyBorder="1" applyAlignment="1" applyProtection="1">
      <alignment horizontal="center" vertical="center" wrapText="1"/>
      <protection hidden="1"/>
    </xf>
    <xf numFmtId="179" fontId="13" fillId="9" borderId="4" xfId="0" applyNumberFormat="1" applyFont="1" applyFill="1" applyBorder="1" applyAlignment="1" applyProtection="1">
      <alignment horizontal="center" vertical="center"/>
      <protection hidden="1"/>
    </xf>
    <xf numFmtId="10" fontId="8" fillId="11" borderId="5" xfId="0" applyNumberFormat="1" applyFont="1" applyFill="1" applyBorder="1" applyAlignment="1" applyProtection="1">
      <alignment horizontal="center" vertical="center"/>
      <protection hidden="1"/>
    </xf>
    <xf numFmtId="179" fontId="13" fillId="5" borderId="5" xfId="0" applyNumberFormat="1" applyFont="1" applyFill="1" applyBorder="1" applyAlignment="1" applyProtection="1">
      <alignment horizontal="center" vertical="center"/>
      <protection hidden="1"/>
    </xf>
    <xf numFmtId="10" fontId="8" fillId="5" borderId="5" xfId="0" applyNumberFormat="1" applyFont="1" applyFill="1" applyBorder="1" applyAlignment="1" applyProtection="1">
      <alignment horizontal="center" vertical="center"/>
      <protection hidden="1"/>
    </xf>
    <xf numFmtId="179" fontId="13" fillId="0" borderId="5" xfId="0" applyNumberFormat="1" applyFont="1" applyFill="1" applyBorder="1" applyAlignment="1" applyProtection="1">
      <alignment horizontal="center" vertical="center"/>
      <protection hidden="1"/>
    </xf>
    <xf numFmtId="0" fontId="16" fillId="12" borderId="11" xfId="0" applyFont="1" applyFill="1" applyBorder="1" applyAlignment="1" applyProtection="1">
      <alignment horizontal="left" vertical="center"/>
      <protection hidden="1"/>
    </xf>
    <xf numFmtId="0" fontId="11" fillId="2" borderId="0" xfId="0" applyNumberFormat="1" applyFont="1" applyFill="1" applyAlignment="1" applyProtection="1">
      <alignment horizontal="left" vertical="center"/>
      <protection locked="0" hidden="1"/>
    </xf>
    <xf numFmtId="0" fontId="11" fillId="2" borderId="0" xfId="43" applyNumberFormat="1" applyFont="1" applyFill="1" applyBorder="1" applyAlignment="1" applyProtection="1">
      <alignment horizontal="left" vertical="center"/>
      <protection hidden="1"/>
    </xf>
    <xf numFmtId="0" fontId="13" fillId="0" borderId="7" xfId="0" applyFont="1" applyFill="1" applyBorder="1" applyAlignment="1" applyProtection="1">
      <alignment horizontal="left" vertical="center"/>
      <protection hidden="1"/>
    </xf>
    <xf numFmtId="0" fontId="14" fillId="0" borderId="9" xfId="0" applyFont="1" applyFill="1" applyBorder="1" applyAlignment="1" applyProtection="1">
      <alignment horizontal="left" vertical="center"/>
      <protection hidden="1"/>
    </xf>
    <xf numFmtId="0" fontId="14" fillId="0" borderId="1" xfId="0" applyFont="1" applyFill="1" applyBorder="1" applyAlignment="1" applyProtection="1">
      <alignment vertical="center"/>
      <protection hidden="1"/>
    </xf>
    <xf numFmtId="186" fontId="14" fillId="0" borderId="3" xfId="0" applyNumberFormat="1" applyFont="1" applyFill="1" applyBorder="1" applyAlignment="1" applyProtection="1">
      <alignment horizontal="center" vertical="center"/>
      <protection hidden="1"/>
    </xf>
    <xf numFmtId="0" fontId="14" fillId="0" borderId="9" xfId="0" applyFont="1" applyFill="1" applyBorder="1" applyAlignment="1" applyProtection="1">
      <alignment vertical="center"/>
      <protection hidden="1"/>
    </xf>
    <xf numFmtId="0" fontId="11" fillId="2" borderId="4" xfId="0" applyFont="1" applyFill="1" applyBorder="1" applyAlignment="1" applyProtection="1">
      <alignment horizontal="center" vertical="center" wrapText="1"/>
      <protection locked="0" hidden="1"/>
    </xf>
    <xf numFmtId="0" fontId="11" fillId="7" borderId="5" xfId="0" applyFont="1" applyFill="1" applyBorder="1" applyAlignment="1" applyProtection="1">
      <alignment horizontal="center" vertical="center"/>
      <protection hidden="1"/>
    </xf>
    <xf numFmtId="177" fontId="8" fillId="11" borderId="5" xfId="0" applyNumberFormat="1" applyFont="1" applyFill="1" applyBorder="1" applyAlignment="1" applyProtection="1">
      <alignment horizontal="center" vertical="center"/>
      <protection hidden="1"/>
    </xf>
    <xf numFmtId="176" fontId="8" fillId="11" borderId="5" xfId="0" applyNumberFormat="1" applyFont="1" applyFill="1" applyBorder="1" applyAlignment="1" applyProtection="1">
      <alignment horizontal="center" vertical="center"/>
      <protection hidden="1"/>
    </xf>
    <xf numFmtId="185" fontId="8" fillId="11" borderId="5" xfId="1" applyNumberFormat="1" applyFont="1" applyFill="1" applyBorder="1" applyAlignment="1" applyProtection="1">
      <alignment horizontal="center" vertical="center"/>
      <protection hidden="1"/>
    </xf>
    <xf numFmtId="179" fontId="8" fillId="11" borderId="5" xfId="0" applyNumberFormat="1" applyFont="1" applyFill="1" applyBorder="1" applyAlignment="1" applyProtection="1">
      <alignment horizontal="center" vertical="center"/>
      <protection hidden="1"/>
    </xf>
    <xf numFmtId="177" fontId="8" fillId="5" borderId="5" xfId="0" applyNumberFormat="1" applyFont="1" applyFill="1" applyBorder="1" applyAlignment="1" applyProtection="1">
      <alignment horizontal="center" vertical="center"/>
      <protection hidden="1"/>
    </xf>
    <xf numFmtId="176" fontId="8" fillId="5" borderId="5" xfId="0" applyNumberFormat="1" applyFont="1" applyFill="1" applyBorder="1" applyAlignment="1" applyProtection="1">
      <alignment horizontal="center" vertical="center"/>
      <protection hidden="1"/>
    </xf>
    <xf numFmtId="185" fontId="8" fillId="5" borderId="5" xfId="1" applyNumberFormat="1" applyFont="1" applyFill="1" applyBorder="1" applyAlignment="1" applyProtection="1">
      <alignment horizontal="center" vertical="center"/>
      <protection hidden="1"/>
    </xf>
    <xf numFmtId="185" fontId="8" fillId="10" borderId="5" xfId="1" applyNumberFormat="1" applyFont="1" applyFill="1" applyBorder="1" applyAlignment="1" applyProtection="1">
      <alignment horizontal="center" vertical="center"/>
      <protection hidden="1"/>
    </xf>
    <xf numFmtId="185" fontId="8" fillId="5" borderId="5" xfId="0" applyNumberFormat="1" applyFont="1" applyFill="1" applyBorder="1" applyAlignment="1" applyProtection="1">
      <alignment horizontal="center" vertical="center"/>
      <protection hidden="1"/>
    </xf>
    <xf numFmtId="185" fontId="8" fillId="11" borderId="5" xfId="0" applyNumberFormat="1" applyFont="1" applyFill="1" applyBorder="1" applyAlignment="1" applyProtection="1">
      <alignment horizontal="center" vertical="center"/>
      <protection hidden="1"/>
    </xf>
    <xf numFmtId="0" fontId="11" fillId="2" borderId="2" xfId="0" applyNumberFormat="1" applyFont="1" applyFill="1" applyBorder="1" applyAlignment="1" applyProtection="1">
      <alignment horizontal="left" vertical="center"/>
      <protection hidden="1"/>
    </xf>
    <xf numFmtId="0" fontId="11" fillId="2" borderId="11" xfId="0" applyNumberFormat="1" applyFont="1" applyFill="1" applyBorder="1" applyAlignment="1" applyProtection="1">
      <alignment horizontal="left" vertical="center"/>
      <protection hidden="1"/>
    </xf>
    <xf numFmtId="0" fontId="11" fillId="2" borderId="12" xfId="0" applyNumberFormat="1" applyFont="1" applyFill="1" applyBorder="1" applyAlignment="1" applyProtection="1">
      <alignment horizontal="left" vertical="center"/>
      <protection locked="0" hidden="1"/>
    </xf>
    <xf numFmtId="0" fontId="11" fillId="2" borderId="12" xfId="43" applyNumberFormat="1" applyFont="1" applyFill="1" applyBorder="1" applyAlignment="1" applyProtection="1">
      <alignment horizontal="left" vertical="center"/>
      <protection hidden="1"/>
    </xf>
    <xf numFmtId="0" fontId="14" fillId="0" borderId="2" xfId="0" applyFont="1" applyFill="1" applyBorder="1" applyAlignment="1" applyProtection="1">
      <alignment vertical="center"/>
      <protection hidden="1"/>
    </xf>
    <xf numFmtId="0" fontId="14" fillId="0" borderId="11" xfId="0" applyFont="1" applyFill="1" applyBorder="1" applyAlignment="1" applyProtection="1">
      <alignment vertical="center"/>
      <protection hidden="1"/>
    </xf>
    <xf numFmtId="186" fontId="14" fillId="0" borderId="0" xfId="0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Fill="1" applyBorder="1" applyAlignment="1" applyProtection="1">
      <alignment horizontal="left" vertical="center"/>
      <protection hidden="1"/>
    </xf>
    <xf numFmtId="0" fontId="14" fillId="0" borderId="12" xfId="0" applyFont="1" applyFill="1" applyBorder="1" applyAlignment="1" applyProtection="1">
      <alignment horizontal="left" vertical="center"/>
      <protection hidden="1"/>
    </xf>
    <xf numFmtId="0" fontId="14" fillId="0" borderId="10" xfId="0" applyFont="1" applyFill="1" applyBorder="1" applyAlignment="1" applyProtection="1">
      <alignment vertical="center"/>
      <protection hidden="1"/>
    </xf>
    <xf numFmtId="0" fontId="14" fillId="0" borderId="13" xfId="0" applyFont="1" applyFill="1" applyBorder="1" applyAlignment="1" applyProtection="1">
      <alignment vertical="center"/>
      <protection hidden="1"/>
    </xf>
    <xf numFmtId="0" fontId="11" fillId="2" borderId="6" xfId="0" applyFont="1" applyFill="1" applyBorder="1" applyAlignment="1" applyProtection="1">
      <alignment horizontal="center" vertical="center" wrapText="1"/>
      <protection locked="0" hidden="1"/>
    </xf>
    <xf numFmtId="0" fontId="11" fillId="7" borderId="3" xfId="0" applyFont="1" applyFill="1" applyBorder="1" applyAlignment="1" applyProtection="1">
      <alignment horizontal="center" vertical="center" wrapText="1"/>
      <protection hidden="1"/>
    </xf>
    <xf numFmtId="0" fontId="11" fillId="7" borderId="0" xfId="0" applyFont="1" applyFill="1" applyAlignment="1" applyProtection="1">
      <alignment horizontal="center" vertical="center" wrapText="1"/>
      <protection hidden="1"/>
    </xf>
    <xf numFmtId="0" fontId="11" fillId="7" borderId="12" xfId="0" applyFont="1" applyFill="1" applyBorder="1" applyAlignment="1" applyProtection="1">
      <alignment horizontal="center" vertical="center" wrapText="1"/>
      <protection hidden="1"/>
    </xf>
    <xf numFmtId="0" fontId="11" fillId="7" borderId="13" xfId="0" applyFont="1" applyFill="1" applyBorder="1" applyAlignment="1" applyProtection="1">
      <alignment horizontal="center" vertical="center" wrapText="1"/>
      <protection hidden="1"/>
    </xf>
    <xf numFmtId="179" fontId="8" fillId="11" borderId="8" xfId="0" applyNumberFormat="1" applyFont="1" applyFill="1" applyBorder="1" applyAlignment="1" applyProtection="1">
      <alignment horizontal="center" vertical="center"/>
      <protection hidden="1"/>
    </xf>
    <xf numFmtId="184" fontId="13" fillId="10" borderId="8" xfId="0" applyNumberFormat="1" applyFont="1" applyFill="1" applyBorder="1" applyAlignment="1" applyProtection="1">
      <alignment horizontal="center" vertical="center"/>
      <protection hidden="1"/>
    </xf>
    <xf numFmtId="0" fontId="13" fillId="10" borderId="14" xfId="0" applyNumberFormat="1" applyFont="1" applyFill="1" applyBorder="1" applyAlignment="1" applyProtection="1">
      <alignment horizontal="center" vertical="center"/>
      <protection hidden="1"/>
    </xf>
    <xf numFmtId="184" fontId="13" fillId="10" borderId="15" xfId="0" applyNumberFormat="1" applyFont="1" applyFill="1" applyBorder="1" applyAlignment="1" applyProtection="1">
      <alignment horizontal="center" vertical="center"/>
      <protection hidden="1"/>
    </xf>
    <xf numFmtId="179" fontId="8" fillId="5" borderId="8" xfId="0" applyNumberFormat="1" applyFont="1" applyFill="1" applyBorder="1" applyAlignment="1" applyProtection="1">
      <alignment horizontal="center" vertical="center"/>
      <protection hidden="1"/>
    </xf>
    <xf numFmtId="184" fontId="13" fillId="0" borderId="8" xfId="0" applyNumberFormat="1" applyFont="1" applyFill="1" applyBorder="1" applyAlignment="1" applyProtection="1">
      <alignment horizontal="center" vertical="center"/>
      <protection hidden="1"/>
    </xf>
    <xf numFmtId="0" fontId="13" fillId="0" borderId="14" xfId="0" applyNumberFormat="1" applyFont="1" applyFill="1" applyBorder="1" applyAlignment="1" applyProtection="1">
      <alignment horizontal="center" vertical="center"/>
      <protection hidden="1"/>
    </xf>
    <xf numFmtId="184" fontId="13" fillId="0" borderId="15" xfId="0" applyNumberFormat="1" applyFont="1" applyFill="1" applyBorder="1" applyAlignment="1" applyProtection="1">
      <alignment horizontal="center" vertical="center"/>
      <protection hidden="1"/>
    </xf>
    <xf numFmtId="0" fontId="15" fillId="0" borderId="5" xfId="43" applyFont="1" applyBorder="1" applyAlignment="1" applyProtection="1">
      <alignment horizontal="left" vertical="center"/>
      <protection hidden="1"/>
    </xf>
    <xf numFmtId="0" fontId="11" fillId="2" borderId="4" xfId="0" applyFont="1" applyFill="1" applyBorder="1" applyAlignment="1" applyProtection="1">
      <alignment horizontal="center" vertical="center" textRotation="90"/>
      <protection hidden="1"/>
    </xf>
    <xf numFmtId="0" fontId="14" fillId="9" borderId="5" xfId="0" applyNumberFormat="1" applyFont="1" applyFill="1" applyBorder="1" applyAlignment="1" applyProtection="1">
      <alignment horizontal="center" vertical="center"/>
      <protection hidden="1"/>
    </xf>
    <xf numFmtId="0" fontId="14" fillId="9" borderId="5" xfId="43" applyNumberFormat="1" applyFont="1" applyFill="1" applyBorder="1" applyAlignment="1" applyProtection="1">
      <alignment horizontal="left" vertical="center"/>
      <protection hidden="1"/>
    </xf>
    <xf numFmtId="0" fontId="14" fillId="5" borderId="5" xfId="0" applyNumberFormat="1" applyFont="1" applyFill="1" applyBorder="1" applyAlignment="1" applyProtection="1">
      <alignment horizontal="center" vertical="center"/>
      <protection hidden="1"/>
    </xf>
    <xf numFmtId="0" fontId="15" fillId="5" borderId="5" xfId="43" applyNumberFormat="1" applyFont="1" applyFill="1" applyBorder="1" applyAlignment="1" applyProtection="1">
      <alignment horizontal="left" vertical="center"/>
      <protection hidden="1"/>
    </xf>
    <xf numFmtId="0" fontId="14" fillId="9" borderId="15" xfId="43" applyFont="1" applyFill="1" applyBorder="1" applyAlignment="1" applyProtection="1">
      <alignment horizontal="left" vertical="center"/>
      <protection locked="0" hidden="1"/>
    </xf>
    <xf numFmtId="0" fontId="14" fillId="9" borderId="5" xfId="43" applyFont="1" applyFill="1" applyBorder="1" applyAlignment="1" applyProtection="1">
      <alignment horizontal="left" vertical="center"/>
      <protection locked="0" hidden="1"/>
    </xf>
    <xf numFmtId="0" fontId="14" fillId="9" borderId="13" xfId="43" applyFont="1" applyFill="1" applyBorder="1" applyAlignment="1" applyProtection="1">
      <alignment horizontal="left" vertical="center"/>
      <protection hidden="1"/>
    </xf>
    <xf numFmtId="0" fontId="14" fillId="9" borderId="4" xfId="43" applyFont="1" applyFill="1" applyBorder="1" applyAlignment="1" applyProtection="1">
      <alignment horizontal="left" vertical="center"/>
      <protection hidden="1"/>
    </xf>
    <xf numFmtId="0" fontId="15" fillId="5" borderId="15" xfId="43" applyFont="1" applyFill="1" applyBorder="1" applyAlignment="1" applyProtection="1">
      <alignment horizontal="left" vertical="center"/>
      <protection hidden="1"/>
    </xf>
    <xf numFmtId="0" fontId="15" fillId="5" borderId="11" xfId="43" applyFont="1" applyFill="1" applyBorder="1" applyAlignment="1" applyProtection="1">
      <alignment horizontal="left" vertical="center"/>
      <protection hidden="1"/>
    </xf>
    <xf numFmtId="0" fontId="15" fillId="5" borderId="7" xfId="43" applyFont="1" applyFill="1" applyBorder="1" applyAlignment="1" applyProtection="1">
      <alignment horizontal="left" vertical="center"/>
      <protection hidden="1"/>
    </xf>
    <xf numFmtId="0" fontId="14" fillId="9" borderId="15" xfId="43" applyFont="1" applyFill="1" applyBorder="1" applyAlignment="1" applyProtection="1">
      <alignment horizontal="left" vertical="center"/>
      <protection hidden="1"/>
    </xf>
    <xf numFmtId="10" fontId="8" fillId="10" borderId="5" xfId="0" applyNumberFormat="1" applyFont="1" applyFill="1" applyBorder="1" applyAlignment="1" applyProtection="1">
      <alignment horizontal="center" vertical="center"/>
      <protection hidden="1"/>
    </xf>
    <xf numFmtId="179" fontId="8" fillId="9" borderId="5" xfId="0" applyNumberFormat="1" applyFont="1" applyFill="1" applyBorder="1" applyAlignment="1" applyProtection="1">
      <alignment horizontal="center" vertical="center"/>
      <protection hidden="1"/>
    </xf>
    <xf numFmtId="177" fontId="8" fillId="13" borderId="5" xfId="0" applyNumberFormat="1" applyFont="1" applyFill="1" applyBorder="1" applyAlignment="1" applyProtection="1">
      <alignment horizontal="center" vertical="center"/>
      <protection hidden="1"/>
    </xf>
    <xf numFmtId="176" fontId="8" fillId="13" borderId="5" xfId="0" applyNumberFormat="1" applyFont="1" applyFill="1" applyBorder="1" applyAlignment="1" applyProtection="1">
      <alignment horizontal="center" vertical="center"/>
      <protection hidden="1"/>
    </xf>
    <xf numFmtId="185" fontId="8" fillId="0" borderId="5" xfId="1" applyNumberFormat="1" applyFont="1" applyFill="1" applyBorder="1" applyAlignment="1" applyProtection="1">
      <alignment horizontal="center" vertical="center"/>
      <protection hidden="1"/>
    </xf>
    <xf numFmtId="179" fontId="8" fillId="13" borderId="5" xfId="0" applyNumberFormat="1" applyFont="1" applyFill="1" applyBorder="1" applyAlignment="1" applyProtection="1">
      <alignment horizontal="center" vertical="center"/>
      <protection hidden="1"/>
    </xf>
    <xf numFmtId="177" fontId="8" fillId="0" borderId="5" xfId="0" applyNumberFormat="1" applyFont="1" applyFill="1" applyBorder="1" applyAlignment="1" applyProtection="1">
      <alignment horizontal="center" vertical="center"/>
      <protection hidden="1"/>
    </xf>
    <xf numFmtId="176" fontId="8" fillId="0" borderId="5" xfId="0" applyNumberFormat="1" applyFont="1" applyFill="1" applyBorder="1" applyAlignment="1" applyProtection="1">
      <alignment horizontal="center" vertical="center"/>
      <protection hidden="1"/>
    </xf>
    <xf numFmtId="177" fontId="8" fillId="10" borderId="5" xfId="0" applyNumberFormat="1" applyFont="1" applyFill="1" applyBorder="1" applyAlignment="1" applyProtection="1">
      <alignment horizontal="center" vertical="center"/>
      <protection hidden="1"/>
    </xf>
    <xf numFmtId="176" fontId="8" fillId="10" borderId="5" xfId="0" applyNumberFormat="1" applyFont="1" applyFill="1" applyBorder="1" applyAlignment="1" applyProtection="1">
      <alignment horizontal="center" vertical="center"/>
      <protection hidden="1"/>
    </xf>
    <xf numFmtId="179" fontId="8" fillId="13" borderId="8" xfId="0" applyNumberFormat="1" applyFont="1" applyFill="1" applyBorder="1" applyAlignment="1" applyProtection="1">
      <alignment horizontal="center" vertical="center"/>
      <protection hidden="1"/>
    </xf>
    <xf numFmtId="0" fontId="11" fillId="2" borderId="5" xfId="0" applyNumberFormat="1" applyFont="1" applyFill="1" applyBorder="1" applyAlignment="1" applyProtection="1">
      <alignment horizontal="center" vertical="center" textRotation="90" wrapText="1"/>
      <protection hidden="1"/>
    </xf>
    <xf numFmtId="0" fontId="14" fillId="9" borderId="4" xfId="0" applyFont="1" applyFill="1" applyBorder="1" applyAlignment="1" applyProtection="1">
      <alignment horizontal="center" vertical="center"/>
      <protection hidden="1"/>
    </xf>
    <xf numFmtId="0" fontId="15" fillId="13" borderId="15" xfId="43" applyFont="1" applyFill="1" applyBorder="1" applyAlignment="1" applyProtection="1">
      <alignment horizontal="left" vertical="center"/>
      <protection hidden="1"/>
    </xf>
    <xf numFmtId="0" fontId="15" fillId="13" borderId="5" xfId="43" applyFont="1" applyFill="1" applyBorder="1" applyAlignment="1" applyProtection="1">
      <alignment horizontal="left" vertical="center"/>
      <protection hidden="1"/>
    </xf>
    <xf numFmtId="0" fontId="11" fillId="5" borderId="5" xfId="0" applyNumberFormat="1" applyFont="1" applyFill="1" applyBorder="1" applyAlignment="1" applyProtection="1">
      <alignment horizontal="center" vertical="center" textRotation="90" wrapText="1"/>
      <protection hidden="1"/>
    </xf>
    <xf numFmtId="0" fontId="12" fillId="7" borderId="3" xfId="0" applyNumberFormat="1" applyFont="1" applyFill="1" applyBorder="1" applyAlignment="1" applyProtection="1">
      <alignment horizontal="left" vertical="center" wrapText="1"/>
      <protection hidden="1"/>
    </xf>
    <xf numFmtId="0" fontId="12" fillId="7" borderId="0" xfId="0" applyNumberFormat="1" applyFont="1" applyFill="1" applyAlignment="1" applyProtection="1">
      <alignment horizontal="left" vertical="center" wrapText="1"/>
      <protection hidden="1"/>
    </xf>
    <xf numFmtId="0" fontId="17" fillId="0" borderId="1" xfId="0" applyFont="1" applyBorder="1" applyAlignment="1" applyProtection="1">
      <alignment horizontal="left" vertical="center" wrapText="1"/>
      <protection hidden="1"/>
    </xf>
    <xf numFmtId="0" fontId="17" fillId="0" borderId="2" xfId="0" applyFont="1" applyBorder="1" applyAlignment="1" applyProtection="1">
      <alignment horizontal="left" vertical="center" wrapText="1"/>
      <protection hidden="1"/>
    </xf>
    <xf numFmtId="0" fontId="18" fillId="14" borderId="16" xfId="0" applyFont="1" applyFill="1" applyBorder="1" applyAlignment="1" applyProtection="1">
      <alignment horizontal="left" vertical="center"/>
      <protection hidden="1"/>
    </xf>
    <xf numFmtId="0" fontId="19" fillId="14" borderId="17" xfId="0" applyFont="1" applyFill="1" applyBorder="1" applyAlignment="1" applyProtection="1">
      <alignment horizontal="left" vertical="center" wrapText="1"/>
      <protection hidden="1"/>
    </xf>
    <xf numFmtId="0" fontId="18" fillId="6" borderId="18" xfId="0" applyFont="1" applyFill="1" applyBorder="1" applyAlignment="1" applyProtection="1">
      <alignment horizontal="left" vertical="center"/>
      <protection hidden="1"/>
    </xf>
    <xf numFmtId="0" fontId="19" fillId="6" borderId="19" xfId="0" applyFont="1" applyFill="1" applyBorder="1" applyAlignment="1" applyProtection="1">
      <alignment horizontal="left" vertical="center"/>
      <protection hidden="1"/>
    </xf>
    <xf numFmtId="0" fontId="19" fillId="6" borderId="19" xfId="0" applyFont="1" applyFill="1" applyBorder="1" applyAlignment="1" applyProtection="1">
      <alignment horizontal="left" vertical="center" wrapText="1"/>
      <protection hidden="1"/>
    </xf>
    <xf numFmtId="0" fontId="17" fillId="6" borderId="19" xfId="0" applyFont="1" applyFill="1" applyBorder="1" applyAlignment="1" applyProtection="1">
      <alignment horizontal="left" vertical="center"/>
      <protection hidden="1"/>
    </xf>
    <xf numFmtId="0" fontId="20" fillId="6" borderId="19" xfId="0" applyFont="1" applyFill="1" applyBorder="1" applyAlignment="1" applyProtection="1">
      <alignment horizontal="left" vertical="center" wrapText="1"/>
      <protection hidden="1"/>
    </xf>
    <xf numFmtId="0" fontId="21" fillId="6" borderId="19" xfId="0" applyFont="1" applyFill="1" applyBorder="1" applyAlignment="1" applyProtection="1">
      <alignment horizontal="left" vertical="center" wrapText="1"/>
      <protection hidden="1"/>
    </xf>
    <xf numFmtId="0" fontId="18" fillId="6" borderId="20" xfId="0" applyFont="1" applyFill="1" applyBorder="1" applyAlignment="1" applyProtection="1">
      <alignment horizontal="left" vertical="center"/>
      <protection hidden="1"/>
    </xf>
    <xf numFmtId="0" fontId="19" fillId="6" borderId="21" xfId="0" applyFont="1" applyFill="1" applyBorder="1" applyAlignment="1" applyProtection="1">
      <alignment horizontal="left" vertical="center"/>
      <protection hidden="1"/>
    </xf>
    <xf numFmtId="0" fontId="22" fillId="7" borderId="3" xfId="0" applyFont="1" applyFill="1" applyBorder="1" applyAlignment="1" applyProtection="1">
      <alignment horizontal="left" vertical="center" wrapText="1"/>
      <protection hidden="1"/>
    </xf>
    <xf numFmtId="0" fontId="22" fillId="7" borderId="0" xfId="0" applyFont="1" applyFill="1" applyAlignment="1" applyProtection="1">
      <alignment horizontal="left" vertical="center" wrapText="1"/>
      <protection hidden="1"/>
    </xf>
    <xf numFmtId="0" fontId="8" fillId="0" borderId="3" xfId="0" applyFont="1" applyFill="1" applyBorder="1" applyAlignment="1" applyProtection="1">
      <protection hidden="1"/>
    </xf>
    <xf numFmtId="0" fontId="9" fillId="14" borderId="17" xfId="49" applyNumberFormat="1" applyFont="1" applyFill="1" applyBorder="1" applyAlignment="1" applyProtection="1">
      <alignment horizontal="left" vertical="center" wrapText="1"/>
      <protection hidden="1"/>
    </xf>
    <xf numFmtId="0" fontId="9" fillId="6" borderId="19" xfId="49" applyNumberFormat="1" applyFont="1" applyFill="1" applyBorder="1" applyAlignment="1" applyProtection="1">
      <alignment horizontal="left" vertical="center" wrapText="1"/>
      <protection hidden="1"/>
    </xf>
    <xf numFmtId="0" fontId="9" fillId="6" borderId="19" xfId="0" applyFont="1" applyFill="1" applyBorder="1" applyAlignment="1" applyProtection="1">
      <alignment horizontal="left" vertical="center" wrapText="1"/>
      <protection hidden="1"/>
    </xf>
    <xf numFmtId="10" fontId="8" fillId="0" borderId="5" xfId="0" applyNumberFormat="1" applyFont="1" applyFill="1" applyBorder="1" applyAlignment="1" applyProtection="1">
      <alignment horizontal="center" vertical="center"/>
      <protection hidden="1"/>
    </xf>
    <xf numFmtId="0" fontId="8" fillId="7" borderId="0" xfId="0" applyNumberFormat="1" applyFont="1" applyFill="1" applyAlignment="1" applyProtection="1">
      <alignment horizontal="left" vertical="center" wrapText="1"/>
      <protection hidden="1"/>
    </xf>
    <xf numFmtId="0" fontId="23" fillId="0" borderId="2" xfId="0" applyFont="1" applyBorder="1" applyAlignment="1" applyProtection="1">
      <protection hidden="1"/>
    </xf>
    <xf numFmtId="0" fontId="10" fillId="0" borderId="2" xfId="0" applyFont="1" applyBorder="1" applyAlignment="1" applyProtection="1">
      <protection hidden="1"/>
    </xf>
    <xf numFmtId="179" fontId="8" fillId="0" borderId="8" xfId="0" applyNumberFormat="1" applyFont="1" applyFill="1" applyBorder="1" applyAlignment="1" applyProtection="1">
      <alignment horizontal="center" vertical="center"/>
      <protection hidden="1"/>
    </xf>
    <xf numFmtId="0" fontId="12" fillId="7" borderId="12" xfId="0" applyNumberFormat="1" applyFont="1" applyFill="1" applyBorder="1" applyAlignment="1" applyProtection="1">
      <alignment horizontal="left" vertical="center" wrapText="1"/>
      <protection hidden="1"/>
    </xf>
    <xf numFmtId="0" fontId="10" fillId="0" borderId="0" xfId="0" applyFont="1" applyBorder="1" applyAlignment="1" applyProtection="1">
      <protection hidden="1"/>
    </xf>
    <xf numFmtId="0" fontId="10" fillId="0" borderId="12" xfId="0" applyFont="1" applyBorder="1" applyAlignment="1" applyProtection="1">
      <protection hidden="1"/>
    </xf>
    <xf numFmtId="0" fontId="10" fillId="0" borderId="12" xfId="0" applyFont="1" applyBorder="1" applyAlignment="1" applyProtection="1">
      <alignment vertical="top"/>
      <protection hidden="1"/>
    </xf>
    <xf numFmtId="0" fontId="9" fillId="0" borderId="12" xfId="0" applyFont="1" applyBorder="1" applyProtection="1">
      <alignment vertical="center"/>
      <protection hidden="1"/>
    </xf>
    <xf numFmtId="0" fontId="6" fillId="0" borderId="12" xfId="0" applyFont="1" applyFill="1" applyBorder="1" applyAlignment="1" applyProtection="1">
      <protection hidden="1"/>
    </xf>
    <xf numFmtId="0" fontId="24" fillId="0" borderId="3" xfId="43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Alignment="1" applyProtection="1">
      <alignment horizontal="center" vertical="center"/>
      <protection hidden="1"/>
    </xf>
    <xf numFmtId="0" fontId="8" fillId="0" borderId="3" xfId="0" applyFont="1" applyFill="1" applyBorder="1" applyAlignment="1" applyProtection="1">
      <alignment horizontal="center" vertical="center"/>
      <protection hidden="1"/>
    </xf>
    <xf numFmtId="0" fontId="8" fillId="0" borderId="9" xfId="0" applyFont="1" applyFill="1" applyBorder="1" applyAlignment="1" applyProtection="1">
      <alignment horizontal="center" vertical="center"/>
      <protection hidden="1"/>
    </xf>
    <xf numFmtId="0" fontId="8" fillId="0" borderId="10" xfId="0" applyFont="1" applyFill="1" applyBorder="1" applyAlignment="1" applyProtection="1">
      <alignment horizontal="center" vertical="center"/>
      <protection hidden="1"/>
    </xf>
    <xf numFmtId="0" fontId="6" fillId="0" borderId="13" xfId="0" applyFont="1" applyFill="1" applyBorder="1" applyAlignment="1" applyProtection="1">
      <protection hidden="1"/>
    </xf>
  </cellXfs>
  <cellStyles count="51">
    <cellStyle name="Normal" xfId="0" builtinId="0"/>
    <cellStyle name="Separador de milhares_Plan1" xfId="1"/>
    <cellStyle name="60% - Ênfase 6" xfId="2" builtinId="52"/>
    <cellStyle name="40% - Ênfase 6" xfId="3" builtinId="51"/>
    <cellStyle name="20% - Ênfase 6" xfId="4" builtinId="50"/>
    <cellStyle name="40% - Ênfase 5" xfId="5" builtinId="47"/>
    <cellStyle name="Ênfase 5" xfId="6" builtinId="45"/>
    <cellStyle name="Ênfase 4" xfId="7" builtinId="41"/>
    <cellStyle name="Título 4" xfId="8" builtinId="19"/>
    <cellStyle name="60% - Ênfase 3" xfId="9" builtinId="40"/>
    <cellStyle name="20% - Ênfase 3" xfId="10" builtinId="38"/>
    <cellStyle name="Ênfase 3" xfId="11" builtinId="37"/>
    <cellStyle name="Título 3" xfId="12" builtinId="18"/>
    <cellStyle name="60% - Ênfase 2" xfId="13" builtinId="36"/>
    <cellStyle name="Célula de Verificação" xfId="14" builtinId="23"/>
    <cellStyle name="40% - Ênfase 2" xfId="15" builtinId="35"/>
    <cellStyle name="60% - Ênfase 5" xfId="16" builtinId="48"/>
    <cellStyle name="Ênfase 2" xfId="17" builtinId="33"/>
    <cellStyle name="Ênfase 6" xfId="18" builtinId="49"/>
    <cellStyle name="40% - Ênfase 1" xfId="19" builtinId="31"/>
    <cellStyle name="20% - Ênfase 1" xfId="20" builtinId="30"/>
    <cellStyle name="60% - Ênfase 4" xfId="21" builtinId="44"/>
    <cellStyle name="Ênfase 1" xfId="22" builtinId="29"/>
    <cellStyle name="40% - Ênfase 4" xfId="23" builtinId="43"/>
    <cellStyle name="Ruim" xfId="24" builtinId="27"/>
    <cellStyle name="20% - Ênfase 4" xfId="25" builtinId="42"/>
    <cellStyle name="Saída" xfId="26" builtinId="21"/>
    <cellStyle name="Hyperlink seguido" xfId="27" builtinId="9"/>
    <cellStyle name="Moeda [0]" xfId="28" builtinId="7"/>
    <cellStyle name="Total" xfId="29" builtinId="25"/>
    <cellStyle name="Bom" xfId="30" builtinId="26"/>
    <cellStyle name="40% - Ênfase 3" xfId="31" builtinId="39"/>
    <cellStyle name="Texto de Aviso" xfId="32" builtinId="11"/>
    <cellStyle name="Normal 12 2" xfId="33"/>
    <cellStyle name="Cálculo" xfId="34" builtinId="22"/>
    <cellStyle name="Entrada" xfId="35" builtinId="20"/>
    <cellStyle name="Texto Explicativo" xfId="36" builtinId="53"/>
    <cellStyle name="Título 1" xfId="37" builtinId="16"/>
    <cellStyle name="Título" xfId="38" builtinId="15"/>
    <cellStyle name="Observação" xfId="39" builtinId="10"/>
    <cellStyle name="20% - Ênfase 2" xfId="40" builtinId="34"/>
    <cellStyle name="60% - Ênfase 1" xfId="41" builtinId="32"/>
    <cellStyle name="Título 2" xfId="42" builtinId="17"/>
    <cellStyle name="Hyperlink" xfId="43" builtinId="8"/>
    <cellStyle name="Célula Vinculada" xfId="44" builtinId="24"/>
    <cellStyle name="Comma" xfId="45" builtinId="3"/>
    <cellStyle name="Porcentagem" xfId="46" builtinId="5"/>
    <cellStyle name="Neutro" xfId="47" builtinId="28"/>
    <cellStyle name="20% - Ênfase 5" xfId="48" builtinId="46"/>
    <cellStyle name="Moeda" xfId="49" builtinId="4"/>
    <cellStyle name="Comma [0]" xfId="50" builtinId="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188</xdr:row>
      <xdr:rowOff>989965</xdr:rowOff>
    </xdr:from>
    <xdr:to>
      <xdr:col>5</xdr:col>
      <xdr:colOff>1184910</xdr:colOff>
      <xdr:row>194</xdr:row>
      <xdr:rowOff>153035</xdr:rowOff>
    </xdr:to>
    <xdr:sp>
      <xdr:nvSpPr>
        <xdr:cNvPr id="2" name="AutoShape 1"/>
        <xdr:cNvSpPr>
          <a:spLocks noChangeArrowheads="1"/>
        </xdr:cNvSpPr>
      </xdr:nvSpPr>
      <xdr:spPr>
        <a:xfrm>
          <a:off x="9525" y="68795265"/>
          <a:ext cx="7435215" cy="271907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chemeClr val="tx1">
              <a:alpha val="93000"/>
            </a:schemeClr>
          </a:solidFill>
          <a:round/>
        </a:ln>
      </xdr:spPr>
      <xdr:txBody>
        <a:bodyPr vertOverflow="clip" wrap="square" lIns="91440" tIns="45720" rIns="91440" bIns="45720" anchor="ctr" anchorCtr="0" upright="1"/>
        <a:lstStyle>
          <a:defPPr>
            <a:defRPr lang="pt-BR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 </a:t>
          </a:r>
          <a:r>
            <a:rPr lang="pt-BR" sz="18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r>
            <a:rPr lang="x-none" altLang="pt-BR" sz="18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Da</a:t>
          </a:r>
          <a:r>
            <a:rPr lang="pt-BR" sz="18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ta do Aceite:</a:t>
          </a:r>
          <a:endParaRPr lang="pt-BR" sz="18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pt-BR" sz="18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 </a:t>
          </a:r>
          <a:endParaRPr lang="pt-BR" sz="18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lnSpc>
              <a:spcPts val="1300"/>
            </a:lnSpc>
            <a:defRPr sz="1000"/>
          </a:pPr>
          <a:endParaRPr lang="pt-BR" sz="18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lnSpc>
              <a:spcPts val="1300"/>
            </a:lnSpc>
            <a:defRPr sz="1000"/>
          </a:pPr>
          <a:r>
            <a:rPr lang="pt-BR" sz="18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        </a:t>
          </a:r>
          <a:r>
            <a:rPr lang="x-none" altLang="pt-BR" sz="18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_</a:t>
          </a:r>
          <a:r>
            <a:rPr lang="pt-BR" sz="18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______/_______/_______</a:t>
          </a:r>
          <a:endParaRPr lang="pt-BR" altLang="pt-BR" sz="1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lnSpc>
              <a:spcPts val="1300"/>
            </a:lnSpc>
            <a:defRPr sz="1000"/>
          </a:pPr>
          <a:endParaRPr lang="en-US" altLang="pt-BR" sz="1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lnSpc>
              <a:spcPts val="1300"/>
            </a:lnSpc>
            <a:defRPr sz="1000"/>
          </a:pPr>
          <a:endParaRPr lang="en-US" altLang="pt-BR" sz="1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lnSpc>
              <a:spcPts val="1300"/>
            </a:lnSpc>
            <a:defRPr sz="1000"/>
          </a:pPr>
          <a:endParaRPr lang="en-US" altLang="pt-BR" sz="1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lnSpc>
              <a:spcPts val="1300"/>
            </a:lnSpc>
            <a:defRPr sz="1000"/>
          </a:pPr>
          <a:endParaRPr lang="en-US" altLang="pt-BR" sz="1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lnSpc>
              <a:spcPts val="1300"/>
            </a:lnSpc>
            <a:defRPr sz="1000"/>
          </a:pPr>
          <a:endParaRPr lang="en-US" altLang="pt-BR" sz="1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lnSpc>
              <a:spcPts val="1300"/>
            </a:lnSpc>
            <a:defRPr sz="1000"/>
          </a:pPr>
          <a:r>
            <a:rPr lang="en-US" altLang="pt-BR" sz="18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________________________________</a:t>
          </a:r>
          <a:endParaRPr lang="en-US" altLang="pt-BR" sz="1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pt-BR" sz="18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 Carimbo e Assinatura do Cliente</a:t>
          </a:r>
          <a:endParaRPr lang="pt-BR" altLang="en-US" sz="18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94615</xdr:colOff>
      <xdr:row>0</xdr:row>
      <xdr:rowOff>58420</xdr:rowOff>
    </xdr:from>
    <xdr:to>
      <xdr:col>3</xdr:col>
      <xdr:colOff>577215</xdr:colOff>
      <xdr:row>2</xdr:row>
      <xdr:rowOff>207010</xdr:rowOff>
    </xdr:to>
    <xdr:pic>
      <xdr:nvPicPr>
        <xdr:cNvPr id="3" name="Imagem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615" y="58420"/>
          <a:ext cx="3818255" cy="7835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11</xdr:col>
      <xdr:colOff>0</xdr:colOff>
      <xdr:row>190</xdr:row>
      <xdr:rowOff>0</xdr:rowOff>
    </xdr:from>
    <xdr:to>
      <xdr:col>11</xdr:col>
      <xdr:colOff>304800</xdr:colOff>
      <xdr:row>190</xdr:row>
      <xdr:rowOff>304800</xdr:rowOff>
    </xdr:to>
    <xdr:pic>
      <xdr:nvPicPr>
        <xdr:cNvPr id="4" name="Imagem 3" descr="Assinatura Todobrasil "/>
        <xdr:cNvPicPr>
          <a:picLocks noChangeAspect="1"/>
        </xdr:cNvPicPr>
      </xdr:nvPicPr>
      <xdr:blipFill>
        <a:stretch>
          <a:fillRect/>
        </a:stretch>
      </xdr:blipFill>
      <xdr:spPr>
        <a:xfrm>
          <a:off x="14165580" y="69329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189</xdr:row>
      <xdr:rowOff>0</xdr:rowOff>
    </xdr:from>
    <xdr:to>
      <xdr:col>13</xdr:col>
      <xdr:colOff>304800</xdr:colOff>
      <xdr:row>189</xdr:row>
      <xdr:rowOff>304800</xdr:rowOff>
    </xdr:to>
    <xdr:pic>
      <xdr:nvPicPr>
        <xdr:cNvPr id="6" name="Imagem 5" descr="Assinatura Todobrasil "/>
        <xdr:cNvPicPr>
          <a:picLocks noChangeAspect="1"/>
        </xdr:cNvPicPr>
      </xdr:nvPicPr>
      <xdr:blipFill>
        <a:stretch>
          <a:fillRect/>
        </a:stretch>
      </xdr:blipFill>
      <xdr:spPr>
        <a:xfrm>
          <a:off x="16927830" y="68821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189</xdr:row>
      <xdr:rowOff>0</xdr:rowOff>
    </xdr:from>
    <xdr:to>
      <xdr:col>9</xdr:col>
      <xdr:colOff>304800</xdr:colOff>
      <xdr:row>189</xdr:row>
      <xdr:rowOff>304800</xdr:rowOff>
    </xdr:to>
    <xdr:pic>
      <xdr:nvPicPr>
        <xdr:cNvPr id="7" name="Imagem 6" descr="Assinatura Todobrasil "/>
        <xdr:cNvPicPr>
          <a:picLocks noChangeAspect="1"/>
        </xdr:cNvPicPr>
      </xdr:nvPicPr>
      <xdr:blipFill>
        <a:stretch>
          <a:fillRect/>
        </a:stretch>
      </xdr:blipFill>
      <xdr:spPr>
        <a:xfrm>
          <a:off x="12784455" y="68821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452755</xdr:colOff>
      <xdr:row>188</xdr:row>
      <xdr:rowOff>991870</xdr:rowOff>
    </xdr:from>
    <xdr:to>
      <xdr:col>18</xdr:col>
      <xdr:colOff>433705</xdr:colOff>
      <xdr:row>194</xdr:row>
      <xdr:rowOff>111125</xdr:rowOff>
    </xdr:to>
    <xdr:pic>
      <xdr:nvPicPr>
        <xdr:cNvPr id="8" name="Imagem 7" descr="Assinatura Todobrasil 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5999460" y="68797170"/>
          <a:ext cx="7334250" cy="26752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todobrasil.log.br/?navegar=sit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A215"/>
  <sheetViews>
    <sheetView tabSelected="1" view="pageBreakPreview" zoomScale="40" zoomScaleNormal="40" workbookViewId="0">
      <selection activeCell="O35" sqref="O35"/>
    </sheetView>
  </sheetViews>
  <sheetFormatPr defaultColWidth="9" defaultRowHeight="22.5"/>
  <cols>
    <col min="1" max="1" width="17.5047619047619" style="26" customWidth="1"/>
    <col min="2" max="2" width="9.38095238095238" style="26" customWidth="1"/>
    <col min="3" max="4" width="23.1428571428571" style="26" customWidth="1"/>
    <col min="5" max="8" width="20.7142857142857" style="26" customWidth="1"/>
    <col min="9" max="9" width="35.7142857142857" style="27" customWidth="1"/>
    <col min="10" max="10" width="20.7142857142857" style="28" customWidth="1"/>
    <col min="11" max="11" width="20.7142857142857" style="28" hidden="1" customWidth="1"/>
    <col min="12" max="17" width="20.7142857142857" style="26" customWidth="1"/>
    <col min="18" max="20" width="6.71428571428571" style="26" customWidth="1"/>
    <col min="21" max="16384" width="9" style="14"/>
  </cols>
  <sheetData>
    <row r="1" s="14" customFormat="1" ht="25" customHeight="1" spans="1:20">
      <c r="A1" s="29"/>
      <c r="B1" s="30"/>
      <c r="C1" s="31"/>
      <c r="D1" s="31"/>
      <c r="E1" s="65" t="s">
        <v>0</v>
      </c>
      <c r="F1" s="65"/>
      <c r="G1" s="65"/>
      <c r="H1" s="65"/>
      <c r="I1" s="72"/>
      <c r="J1" s="65"/>
      <c r="K1" s="65"/>
      <c r="L1" s="73"/>
      <c r="M1" s="93" t="s">
        <v>1</v>
      </c>
      <c r="N1" s="93"/>
      <c r="O1" s="93"/>
      <c r="P1" s="93"/>
      <c r="Q1" s="93"/>
      <c r="R1" s="93"/>
      <c r="S1" s="113"/>
      <c r="T1" s="114"/>
    </row>
    <row r="2" s="14" customFormat="1" ht="25" customHeight="1" spans="1:20">
      <c r="A2" s="32"/>
      <c r="B2" s="33"/>
      <c r="C2" s="34"/>
      <c r="D2" s="34"/>
      <c r="E2" s="66"/>
      <c r="F2" s="66"/>
      <c r="G2" s="66"/>
      <c r="H2" s="66"/>
      <c r="I2" s="74"/>
      <c r="J2" s="66"/>
      <c r="K2" s="66"/>
      <c r="L2" s="75"/>
      <c r="M2" s="94" t="s">
        <v>2</v>
      </c>
      <c r="N2" s="94"/>
      <c r="O2" s="94"/>
      <c r="P2" s="94"/>
      <c r="Q2" s="94"/>
      <c r="R2" s="94"/>
      <c r="S2" s="94"/>
      <c r="T2" s="115"/>
    </row>
    <row r="3" s="14" customFormat="1" ht="25" customHeight="1" spans="1:20">
      <c r="A3" s="35"/>
      <c r="B3" s="34"/>
      <c r="C3" s="34"/>
      <c r="D3" s="34"/>
      <c r="E3" s="66"/>
      <c r="F3" s="66"/>
      <c r="G3" s="66"/>
      <c r="H3" s="66"/>
      <c r="I3" s="74"/>
      <c r="J3" s="66"/>
      <c r="K3" s="66"/>
      <c r="L3" s="75"/>
      <c r="M3" s="95" t="s">
        <v>3</v>
      </c>
      <c r="N3" s="95"/>
      <c r="O3" s="95"/>
      <c r="P3" s="95"/>
      <c r="Q3" s="95"/>
      <c r="R3" s="95"/>
      <c r="S3" s="95"/>
      <c r="T3" s="116"/>
    </row>
    <row r="4" s="14" customFormat="1" ht="15" customHeight="1" spans="1:20">
      <c r="A4" s="36" t="s">
        <v>4</v>
      </c>
      <c r="B4" s="36"/>
      <c r="C4" s="36"/>
      <c r="D4" s="36"/>
      <c r="E4" s="36"/>
      <c r="F4" s="36"/>
      <c r="G4" s="36"/>
      <c r="H4" s="36"/>
      <c r="I4" s="7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="14" customFormat="1" ht="15" customHeight="1" spans="1:20">
      <c r="A5" s="37"/>
      <c r="B5" s="37"/>
      <c r="C5" s="37"/>
      <c r="D5" s="37"/>
      <c r="E5" s="37"/>
      <c r="F5" s="37"/>
      <c r="G5" s="37"/>
      <c r="H5" s="37"/>
      <c r="I5" s="77"/>
      <c r="J5" s="37"/>
      <c r="K5" s="37"/>
      <c r="L5" s="37"/>
      <c r="M5" s="37"/>
      <c r="N5" s="37"/>
      <c r="O5" s="37"/>
      <c r="P5" s="96"/>
      <c r="Q5" s="96"/>
      <c r="R5" s="96"/>
      <c r="S5" s="96"/>
      <c r="T5" s="96"/>
    </row>
    <row r="6" s="15" customFormat="1" ht="25" customHeight="1" spans="1:20">
      <c r="A6" s="38" t="s">
        <v>5</v>
      </c>
      <c r="B6" s="38"/>
      <c r="C6" s="38"/>
      <c r="D6" s="38"/>
      <c r="E6" s="38"/>
      <c r="F6" s="38"/>
      <c r="G6" s="38"/>
      <c r="H6" s="38"/>
      <c r="I6" s="78"/>
      <c r="J6" s="38"/>
      <c r="K6" s="38"/>
      <c r="L6" s="79" t="s">
        <v>6</v>
      </c>
      <c r="M6" s="79"/>
      <c r="N6" s="79"/>
      <c r="O6" s="97"/>
      <c r="P6" s="98" t="s">
        <v>7</v>
      </c>
      <c r="Q6" s="117"/>
      <c r="R6" s="117"/>
      <c r="S6" s="117"/>
      <c r="T6" s="118"/>
    </row>
    <row r="7" s="15" customFormat="1" ht="25" customHeight="1" spans="1:20">
      <c r="A7" s="39" t="s">
        <v>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79" t="s">
        <v>9</v>
      </c>
      <c r="M7" s="79"/>
      <c r="N7" s="79"/>
      <c r="O7" s="97"/>
      <c r="P7" s="99">
        <v>1</v>
      </c>
      <c r="Q7" s="119"/>
      <c r="R7" s="120" t="s">
        <v>10</v>
      </c>
      <c r="S7" s="120"/>
      <c r="T7" s="121"/>
    </row>
    <row r="8" s="15" customFormat="1" ht="25" customHeight="1" spans="1:20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79" t="s">
        <v>11</v>
      </c>
      <c r="M8" s="79"/>
      <c r="N8" s="79"/>
      <c r="O8" s="97"/>
      <c r="P8" s="98" t="s">
        <v>12</v>
      </c>
      <c r="Q8" s="117"/>
      <c r="R8" s="117"/>
      <c r="S8" s="117"/>
      <c r="T8" s="118"/>
    </row>
    <row r="9" s="15" customFormat="1" ht="25" customHeight="1" spans="1:20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79" t="s">
        <v>13</v>
      </c>
      <c r="M9" s="79"/>
      <c r="N9" s="79"/>
      <c r="O9" s="97"/>
      <c r="P9" s="100" t="s">
        <v>14</v>
      </c>
      <c r="Q9" s="122"/>
      <c r="R9" s="122"/>
      <c r="S9" s="122"/>
      <c r="T9" s="123"/>
    </row>
    <row r="10" s="16" customFormat="1" ht="37" customHeight="1" spans="1:20">
      <c r="A10" s="43" t="s">
        <v>15</v>
      </c>
      <c r="B10" s="43"/>
      <c r="C10" s="43"/>
      <c r="D10" s="43"/>
      <c r="E10" s="43"/>
      <c r="F10" s="43"/>
      <c r="G10" s="43"/>
      <c r="H10" s="43"/>
      <c r="I10" s="80"/>
      <c r="J10" s="43"/>
      <c r="K10" s="43"/>
      <c r="L10" s="81"/>
      <c r="M10" s="43"/>
      <c r="N10" s="43"/>
      <c r="O10" s="43"/>
      <c r="P10" s="101"/>
      <c r="Q10" s="124"/>
      <c r="R10" s="124"/>
      <c r="S10" s="124"/>
      <c r="T10" s="124"/>
    </row>
    <row r="11" s="17" customFormat="1" ht="70" customHeight="1" spans="1:20">
      <c r="A11" s="44" t="s">
        <v>16</v>
      </c>
      <c r="B11" s="44" t="s">
        <v>17</v>
      </c>
      <c r="C11" s="45" t="s">
        <v>18</v>
      </c>
      <c r="D11" s="45"/>
      <c r="E11" s="67" t="s">
        <v>19</v>
      </c>
      <c r="F11" s="68"/>
      <c r="G11" s="68"/>
      <c r="H11" s="68"/>
      <c r="I11" s="82"/>
      <c r="J11" s="83" t="s">
        <v>20</v>
      </c>
      <c r="K11" s="84"/>
      <c r="L11" s="85" t="s">
        <v>21</v>
      </c>
      <c r="M11" s="85" t="s">
        <v>22</v>
      </c>
      <c r="N11" s="44" t="s">
        <v>23</v>
      </c>
      <c r="O11" s="44" t="s">
        <v>24</v>
      </c>
      <c r="P11" s="44" t="s">
        <v>25</v>
      </c>
      <c r="Q11" s="46" t="s">
        <v>26</v>
      </c>
      <c r="R11" s="125" t="s">
        <v>27</v>
      </c>
      <c r="S11" s="126"/>
      <c r="T11" s="127"/>
    </row>
    <row r="12" s="17" customFormat="1" ht="70" customHeight="1" spans="1:20">
      <c r="A12" s="46"/>
      <c r="B12" s="46"/>
      <c r="C12" s="47"/>
      <c r="D12" s="47"/>
      <c r="E12" s="46" t="s">
        <v>28</v>
      </c>
      <c r="F12" s="46" t="s">
        <v>29</v>
      </c>
      <c r="G12" s="46" t="s">
        <v>30</v>
      </c>
      <c r="H12" s="46" t="s">
        <v>31</v>
      </c>
      <c r="I12" s="86" t="s">
        <v>32</v>
      </c>
      <c r="J12" s="87"/>
      <c r="K12" s="83"/>
      <c r="L12" s="44"/>
      <c r="M12" s="44"/>
      <c r="N12" s="46"/>
      <c r="O12" s="102"/>
      <c r="P12" s="46"/>
      <c r="Q12" s="46"/>
      <c r="R12" s="67"/>
      <c r="S12" s="68"/>
      <c r="T12" s="128"/>
    </row>
    <row r="13" s="14" customFormat="1" ht="20" customHeight="1" spans="1:20">
      <c r="A13" s="48" t="s">
        <v>33</v>
      </c>
      <c r="B13" s="49" t="s">
        <v>34</v>
      </c>
      <c r="C13" s="50" t="s">
        <v>35</v>
      </c>
      <c r="D13" s="50"/>
      <c r="E13" s="69">
        <f t="shared" ref="E13:G13" si="0">SUM(F13-(F13*15%))</f>
        <v>148.3111875</v>
      </c>
      <c r="F13" s="69">
        <f t="shared" si="0"/>
        <v>174.48375</v>
      </c>
      <c r="G13" s="69">
        <f t="shared" si="0"/>
        <v>205.275</v>
      </c>
      <c r="H13" s="69">
        <f t="shared" ref="H13:H46" si="1">SUM((I13+(I13*15%))*100)</f>
        <v>241.5</v>
      </c>
      <c r="I13" s="88">
        <v>2.1</v>
      </c>
      <c r="J13" s="89">
        <f t="shared" ref="J13:J62" si="2">SUM(K13-(K13*12%))</f>
        <v>0.008008</v>
      </c>
      <c r="K13" s="89">
        <v>0.0091</v>
      </c>
      <c r="L13" s="89">
        <v>0.0018</v>
      </c>
      <c r="M13" s="103"/>
      <c r="N13" s="104"/>
      <c r="O13" s="105">
        <v>7</v>
      </c>
      <c r="P13" s="106">
        <v>20</v>
      </c>
      <c r="Q13" s="129">
        <v>4</v>
      </c>
      <c r="R13" s="130">
        <v>13</v>
      </c>
      <c r="S13" s="131" t="s">
        <v>36</v>
      </c>
      <c r="T13" s="132">
        <f t="shared" ref="T13:T76" si="3">R13+2</f>
        <v>15</v>
      </c>
    </row>
    <row r="14" s="18" customFormat="1" ht="20" customHeight="1" spans="1:20">
      <c r="A14" s="51"/>
      <c r="B14" s="52"/>
      <c r="C14" s="53" t="s">
        <v>37</v>
      </c>
      <c r="D14" s="53"/>
      <c r="E14" s="70">
        <f t="shared" ref="E14:G14" si="4">SUM(F14-(F14*15%))</f>
        <v>163.14230625</v>
      </c>
      <c r="F14" s="70">
        <f t="shared" si="4"/>
        <v>191.932125</v>
      </c>
      <c r="G14" s="70">
        <f t="shared" si="4"/>
        <v>225.8025</v>
      </c>
      <c r="H14" s="70">
        <f t="shared" si="1"/>
        <v>265.65</v>
      </c>
      <c r="I14" s="90">
        <f>SUM(I13+(I13*10%))</f>
        <v>2.31</v>
      </c>
      <c r="J14" s="91">
        <f t="shared" si="2"/>
        <v>0.0088088</v>
      </c>
      <c r="K14" s="91">
        <v>0.01001</v>
      </c>
      <c r="L14" s="91">
        <v>0.0018</v>
      </c>
      <c r="M14" s="107"/>
      <c r="N14" s="108"/>
      <c r="O14" s="109">
        <v>7</v>
      </c>
      <c r="P14" s="71">
        <v>20</v>
      </c>
      <c r="Q14" s="133">
        <v>4</v>
      </c>
      <c r="R14" s="134">
        <v>23</v>
      </c>
      <c r="S14" s="135" t="s">
        <v>36</v>
      </c>
      <c r="T14" s="136">
        <f t="shared" si="3"/>
        <v>25</v>
      </c>
    </row>
    <row r="15" s="18" customFormat="1" ht="20" customHeight="1" spans="1:20">
      <c r="A15" s="51"/>
      <c r="B15" s="52"/>
      <c r="C15" s="53" t="s">
        <v>38</v>
      </c>
      <c r="D15" s="53"/>
      <c r="E15" s="71">
        <f t="shared" ref="E15:G15" si="5">SUM(F15-(F15*15%))</f>
        <v>222.46678125</v>
      </c>
      <c r="F15" s="71">
        <f t="shared" si="5"/>
        <v>261.725625</v>
      </c>
      <c r="G15" s="71">
        <f t="shared" si="5"/>
        <v>307.9125</v>
      </c>
      <c r="H15" s="71">
        <f t="shared" si="1"/>
        <v>362.25</v>
      </c>
      <c r="I15" s="90">
        <f>IF(SUM(I13+(I13*50%))&lt;I13+0.8,I13+0.8,(SUM(I13+(I13*50%))))</f>
        <v>3.15</v>
      </c>
      <c r="J15" s="91">
        <f t="shared" si="2"/>
        <v>0.012012</v>
      </c>
      <c r="K15" s="91">
        <v>0.01365</v>
      </c>
      <c r="L15" s="91">
        <v>0.0018</v>
      </c>
      <c r="M15" s="107"/>
      <c r="N15" s="108"/>
      <c r="O15" s="109">
        <v>7</v>
      </c>
      <c r="P15" s="71">
        <v>20</v>
      </c>
      <c r="Q15" s="133">
        <v>4</v>
      </c>
      <c r="R15" s="134">
        <v>23</v>
      </c>
      <c r="S15" s="135" t="s">
        <v>36</v>
      </c>
      <c r="T15" s="136">
        <f t="shared" si="3"/>
        <v>25</v>
      </c>
    </row>
    <row r="16" s="18" customFormat="1" ht="20" customHeight="1" spans="1:20">
      <c r="A16" s="51"/>
      <c r="B16" s="52"/>
      <c r="C16" s="53" t="s">
        <v>39</v>
      </c>
      <c r="D16" s="53"/>
      <c r="E16" s="71">
        <f t="shared" ref="E16:G16" si="6">SUM(F16-(F16*15%))</f>
        <v>259.544578125</v>
      </c>
      <c r="F16" s="71">
        <f t="shared" si="6"/>
        <v>305.3465625</v>
      </c>
      <c r="G16" s="71">
        <f t="shared" si="6"/>
        <v>359.23125</v>
      </c>
      <c r="H16" s="71">
        <f t="shared" si="1"/>
        <v>422.625</v>
      </c>
      <c r="I16" s="90">
        <f>IF(SUM(I13+(I13*75%))&lt;I13+0.9,I13+0.9,(SUM(I13+(I13*75%))))</f>
        <v>3.675</v>
      </c>
      <c r="J16" s="91">
        <f t="shared" si="2"/>
        <v>0.014014</v>
      </c>
      <c r="K16" s="91">
        <v>0.015925</v>
      </c>
      <c r="L16" s="91">
        <v>0.0018</v>
      </c>
      <c r="M16" s="107"/>
      <c r="N16" s="108"/>
      <c r="O16" s="109">
        <v>7</v>
      </c>
      <c r="P16" s="71">
        <v>20</v>
      </c>
      <c r="Q16" s="133">
        <v>4</v>
      </c>
      <c r="R16" s="134">
        <v>23</v>
      </c>
      <c r="S16" s="135" t="s">
        <v>36</v>
      </c>
      <c r="T16" s="136">
        <f t="shared" si="3"/>
        <v>25</v>
      </c>
    </row>
    <row r="17" s="18" customFormat="1" ht="20" customHeight="1" spans="1:20">
      <c r="A17" s="51"/>
      <c r="B17" s="52"/>
      <c r="C17" s="53" t="s">
        <v>40</v>
      </c>
      <c r="D17" s="53"/>
      <c r="E17" s="71">
        <f t="shared" ref="E17:G17" si="7">SUM(F17-(F17*15%))</f>
        <v>296.622375</v>
      </c>
      <c r="F17" s="71">
        <f t="shared" si="7"/>
        <v>348.9675</v>
      </c>
      <c r="G17" s="71">
        <f t="shared" si="7"/>
        <v>410.55</v>
      </c>
      <c r="H17" s="71">
        <f t="shared" si="1"/>
        <v>483</v>
      </c>
      <c r="I17" s="90">
        <f>IF(SUM(I13+(I13*100%))&lt;I13+1,I13+1,(SUM(I13+(I13*100%))))</f>
        <v>4.2</v>
      </c>
      <c r="J17" s="91">
        <f t="shared" si="2"/>
        <v>0.016016</v>
      </c>
      <c r="K17" s="91">
        <v>0.0182</v>
      </c>
      <c r="L17" s="91">
        <v>0.0018</v>
      </c>
      <c r="M17" s="107"/>
      <c r="N17" s="108"/>
      <c r="O17" s="109">
        <v>7</v>
      </c>
      <c r="P17" s="71">
        <v>20</v>
      </c>
      <c r="Q17" s="133">
        <v>4</v>
      </c>
      <c r="R17" s="134">
        <v>23</v>
      </c>
      <c r="S17" s="135" t="s">
        <v>36</v>
      </c>
      <c r="T17" s="136">
        <f t="shared" si="3"/>
        <v>25</v>
      </c>
    </row>
    <row r="18" s="14" customFormat="1" ht="20" customHeight="1" spans="1:20">
      <c r="A18" s="48"/>
      <c r="B18" s="54" t="s">
        <v>41</v>
      </c>
      <c r="C18" s="55" t="s">
        <v>42</v>
      </c>
      <c r="D18" s="55"/>
      <c r="E18" s="69">
        <f t="shared" ref="E18:G18" si="8">SUM(F18-(F18*15%))</f>
        <v>148.3111875</v>
      </c>
      <c r="F18" s="69">
        <f t="shared" si="8"/>
        <v>174.48375</v>
      </c>
      <c r="G18" s="69">
        <f t="shared" si="8"/>
        <v>205.275</v>
      </c>
      <c r="H18" s="69">
        <f t="shared" si="1"/>
        <v>241.5</v>
      </c>
      <c r="I18" s="88">
        <v>2.1</v>
      </c>
      <c r="J18" s="89">
        <f t="shared" si="2"/>
        <v>0.008008</v>
      </c>
      <c r="K18" s="89">
        <v>0.0091</v>
      </c>
      <c r="L18" s="89">
        <v>0.0018</v>
      </c>
      <c r="M18" s="110">
        <v>0.03</v>
      </c>
      <c r="N18" s="89">
        <v>0.0013</v>
      </c>
      <c r="O18" s="110">
        <v>7</v>
      </c>
      <c r="P18" s="106">
        <v>20</v>
      </c>
      <c r="Q18" s="129">
        <v>4</v>
      </c>
      <c r="R18" s="130">
        <v>15</v>
      </c>
      <c r="S18" s="131" t="s">
        <v>36</v>
      </c>
      <c r="T18" s="132">
        <f t="shared" si="3"/>
        <v>17</v>
      </c>
    </row>
    <row r="19" s="18" customFormat="1" ht="20" customHeight="1" spans="1:20">
      <c r="A19" s="51"/>
      <c r="B19" s="56"/>
      <c r="C19" s="53" t="s">
        <v>37</v>
      </c>
      <c r="D19" s="53"/>
      <c r="E19" s="70">
        <f t="shared" ref="E19:G19" si="9">SUM(F19-(F19*15%))</f>
        <v>163.14230625</v>
      </c>
      <c r="F19" s="70">
        <f t="shared" si="9"/>
        <v>191.932125</v>
      </c>
      <c r="G19" s="70">
        <f t="shared" si="9"/>
        <v>225.8025</v>
      </c>
      <c r="H19" s="70">
        <f t="shared" si="1"/>
        <v>265.65</v>
      </c>
      <c r="I19" s="90">
        <v>2.31</v>
      </c>
      <c r="J19" s="91">
        <f t="shared" si="2"/>
        <v>0.0088088</v>
      </c>
      <c r="K19" s="91">
        <v>0.01001</v>
      </c>
      <c r="L19" s="91">
        <v>0.0018</v>
      </c>
      <c r="M19" s="111">
        <v>0.03</v>
      </c>
      <c r="N19" s="91">
        <v>0.0013</v>
      </c>
      <c r="O19" s="109">
        <v>7</v>
      </c>
      <c r="P19" s="71">
        <v>20</v>
      </c>
      <c r="Q19" s="133">
        <v>4</v>
      </c>
      <c r="R19" s="134">
        <v>15</v>
      </c>
      <c r="S19" s="135" t="s">
        <v>36</v>
      </c>
      <c r="T19" s="136">
        <f t="shared" si="3"/>
        <v>17</v>
      </c>
    </row>
    <row r="20" s="18" customFormat="1" ht="20" customHeight="1" spans="1:20">
      <c r="A20" s="51"/>
      <c r="B20" s="56"/>
      <c r="C20" s="53" t="s">
        <v>38</v>
      </c>
      <c r="D20" s="53"/>
      <c r="E20" s="71">
        <f t="shared" ref="E20:G20" si="10">SUM(F20-(F20*10%))</f>
        <v>264.08025</v>
      </c>
      <c r="F20" s="71">
        <f t="shared" si="10"/>
        <v>293.4225</v>
      </c>
      <c r="G20" s="71">
        <f t="shared" si="10"/>
        <v>326.025</v>
      </c>
      <c r="H20" s="71">
        <f t="shared" si="1"/>
        <v>362.25</v>
      </c>
      <c r="I20" s="90">
        <v>3.15</v>
      </c>
      <c r="J20" s="91">
        <f t="shared" si="2"/>
        <v>0.012012</v>
      </c>
      <c r="K20" s="91">
        <v>0.01365</v>
      </c>
      <c r="L20" s="91">
        <v>0.0018</v>
      </c>
      <c r="M20" s="111">
        <v>0.03</v>
      </c>
      <c r="N20" s="91">
        <v>0.0013</v>
      </c>
      <c r="O20" s="109">
        <v>7</v>
      </c>
      <c r="P20" s="71">
        <v>20</v>
      </c>
      <c r="Q20" s="133">
        <v>4</v>
      </c>
      <c r="R20" s="134">
        <v>23</v>
      </c>
      <c r="S20" s="135" t="s">
        <v>36</v>
      </c>
      <c r="T20" s="136">
        <f t="shared" si="3"/>
        <v>25</v>
      </c>
    </row>
    <row r="21" s="18" customFormat="1" ht="20" customHeight="1" spans="1:20">
      <c r="A21" s="51"/>
      <c r="B21" s="56"/>
      <c r="C21" s="53" t="s">
        <v>39</v>
      </c>
      <c r="D21" s="53"/>
      <c r="E21" s="71">
        <f t="shared" ref="E21:G21" si="11">SUM(F21-(F21*10%))</f>
        <v>308.093625</v>
      </c>
      <c r="F21" s="71">
        <f t="shared" si="11"/>
        <v>342.32625</v>
      </c>
      <c r="G21" s="71">
        <f t="shared" si="11"/>
        <v>380.3625</v>
      </c>
      <c r="H21" s="71">
        <f t="shared" si="1"/>
        <v>422.625</v>
      </c>
      <c r="I21" s="90">
        <v>3.675</v>
      </c>
      <c r="J21" s="91">
        <f t="shared" si="2"/>
        <v>0.014014</v>
      </c>
      <c r="K21" s="91">
        <v>0.015925</v>
      </c>
      <c r="L21" s="91">
        <v>0.0018</v>
      </c>
      <c r="M21" s="111">
        <v>0.03</v>
      </c>
      <c r="N21" s="91">
        <v>0.0013</v>
      </c>
      <c r="O21" s="109">
        <v>7</v>
      </c>
      <c r="P21" s="71">
        <v>20</v>
      </c>
      <c r="Q21" s="133">
        <v>4</v>
      </c>
      <c r="R21" s="134">
        <v>24</v>
      </c>
      <c r="S21" s="135" t="s">
        <v>36</v>
      </c>
      <c r="T21" s="136">
        <f t="shared" si="3"/>
        <v>26</v>
      </c>
    </row>
    <row r="22" s="18" customFormat="1" ht="20" customHeight="1" spans="1:20">
      <c r="A22" s="51"/>
      <c r="B22" s="56"/>
      <c r="C22" s="53" t="s">
        <v>40</v>
      </c>
      <c r="D22" s="53"/>
      <c r="E22" s="71">
        <f t="shared" ref="E22:G22" si="12">SUM(F22-(F22*10%))</f>
        <v>352.107</v>
      </c>
      <c r="F22" s="71">
        <f t="shared" si="12"/>
        <v>391.23</v>
      </c>
      <c r="G22" s="71">
        <f t="shared" si="12"/>
        <v>434.7</v>
      </c>
      <c r="H22" s="71">
        <f t="shared" si="1"/>
        <v>483</v>
      </c>
      <c r="I22" s="90">
        <v>4.2</v>
      </c>
      <c r="J22" s="91">
        <f t="shared" si="2"/>
        <v>0.016016</v>
      </c>
      <c r="K22" s="91">
        <v>0.0182</v>
      </c>
      <c r="L22" s="91">
        <v>0.0018</v>
      </c>
      <c r="M22" s="111">
        <v>0.03</v>
      </c>
      <c r="N22" s="91">
        <v>0.0013</v>
      </c>
      <c r="O22" s="109">
        <v>7</v>
      </c>
      <c r="P22" s="71">
        <v>20</v>
      </c>
      <c r="Q22" s="133">
        <v>4</v>
      </c>
      <c r="R22" s="134">
        <v>25</v>
      </c>
      <c r="S22" s="135" t="s">
        <v>36</v>
      </c>
      <c r="T22" s="136">
        <f t="shared" si="3"/>
        <v>27</v>
      </c>
    </row>
    <row r="23" s="18" customFormat="1" ht="20" customHeight="1" spans="1:20">
      <c r="A23" s="51"/>
      <c r="B23" s="56"/>
      <c r="C23" s="53" t="s">
        <v>43</v>
      </c>
      <c r="D23" s="53"/>
      <c r="E23" s="71">
        <f t="shared" ref="E23:G23" si="13">SUM(F23-(F23*10%))</f>
        <v>387.3177</v>
      </c>
      <c r="F23" s="71">
        <f t="shared" si="13"/>
        <v>430.353</v>
      </c>
      <c r="G23" s="71">
        <f t="shared" si="13"/>
        <v>478.17</v>
      </c>
      <c r="H23" s="70">
        <f t="shared" si="1"/>
        <v>531.3</v>
      </c>
      <c r="I23" s="92">
        <v>4.62</v>
      </c>
      <c r="J23" s="91">
        <f t="shared" ref="J23:J25" si="14">SUM(K23-(K23*0%))</f>
        <v>0.0551</v>
      </c>
      <c r="K23" s="91">
        <v>0.0551</v>
      </c>
      <c r="L23" s="91">
        <v>0.0018</v>
      </c>
      <c r="M23" s="111">
        <v>0.03</v>
      </c>
      <c r="N23" s="91">
        <v>0.0013</v>
      </c>
      <c r="O23" s="109">
        <v>7</v>
      </c>
      <c r="P23" s="71">
        <v>20</v>
      </c>
      <c r="Q23" s="133">
        <v>4</v>
      </c>
      <c r="R23" s="134">
        <v>28</v>
      </c>
      <c r="S23" s="135" t="s">
        <v>36</v>
      </c>
      <c r="T23" s="136">
        <f t="shared" si="3"/>
        <v>30</v>
      </c>
    </row>
    <row r="24" s="18" customFormat="1" ht="20" customHeight="1" spans="1:20">
      <c r="A24" s="51"/>
      <c r="B24" s="56"/>
      <c r="C24" s="53" t="s">
        <v>44</v>
      </c>
      <c r="D24" s="53"/>
      <c r="E24" s="71">
        <f t="shared" ref="E24:G24" si="15">SUM(F24-(F24*10%))</f>
        <v>404.92305</v>
      </c>
      <c r="F24" s="71">
        <f t="shared" si="15"/>
        <v>449.9145</v>
      </c>
      <c r="G24" s="71">
        <f t="shared" si="15"/>
        <v>499.905</v>
      </c>
      <c r="H24" s="70">
        <f t="shared" si="1"/>
        <v>555.45</v>
      </c>
      <c r="I24" s="92">
        <v>4.83</v>
      </c>
      <c r="J24" s="91">
        <f t="shared" si="14"/>
        <v>0.0679</v>
      </c>
      <c r="K24" s="91">
        <v>0.0679</v>
      </c>
      <c r="L24" s="91">
        <v>0.0018</v>
      </c>
      <c r="M24" s="111">
        <v>0.03</v>
      </c>
      <c r="N24" s="91">
        <v>0.0013</v>
      </c>
      <c r="O24" s="109">
        <v>7</v>
      </c>
      <c r="P24" s="71">
        <v>20</v>
      </c>
      <c r="Q24" s="133">
        <v>4</v>
      </c>
      <c r="R24" s="134">
        <v>29</v>
      </c>
      <c r="S24" s="135" t="s">
        <v>36</v>
      </c>
      <c r="T24" s="136">
        <f t="shared" si="3"/>
        <v>31</v>
      </c>
    </row>
    <row r="25" s="18" customFormat="1" ht="20" customHeight="1" spans="1:20">
      <c r="A25" s="51"/>
      <c r="B25" s="57"/>
      <c r="C25" s="53" t="s">
        <v>45</v>
      </c>
      <c r="D25" s="53"/>
      <c r="E25" s="71">
        <f t="shared" ref="E25:G25" si="16">SUM(F25-(F25*10%))</f>
        <v>422.5284</v>
      </c>
      <c r="F25" s="71">
        <f t="shared" si="16"/>
        <v>469.476</v>
      </c>
      <c r="G25" s="71">
        <f t="shared" si="16"/>
        <v>521.64</v>
      </c>
      <c r="H25" s="70">
        <f t="shared" si="1"/>
        <v>579.6</v>
      </c>
      <c r="I25" s="92">
        <v>5.04</v>
      </c>
      <c r="J25" s="91">
        <f t="shared" si="14"/>
        <v>0.0763</v>
      </c>
      <c r="K25" s="91">
        <v>0.0763</v>
      </c>
      <c r="L25" s="91">
        <v>0.0018</v>
      </c>
      <c r="M25" s="111">
        <v>0.03</v>
      </c>
      <c r="N25" s="91">
        <v>0.0013</v>
      </c>
      <c r="O25" s="109">
        <v>7</v>
      </c>
      <c r="P25" s="71">
        <v>20</v>
      </c>
      <c r="Q25" s="133">
        <v>4</v>
      </c>
      <c r="R25" s="134">
        <v>30</v>
      </c>
      <c r="S25" s="135" t="s">
        <v>36</v>
      </c>
      <c r="T25" s="136">
        <f t="shared" si="3"/>
        <v>32</v>
      </c>
    </row>
    <row r="26" s="14" customFormat="1" ht="20" customHeight="1" spans="1:20">
      <c r="A26" s="48"/>
      <c r="B26" s="49" t="s">
        <v>46</v>
      </c>
      <c r="C26" s="55" t="s">
        <v>47</v>
      </c>
      <c r="D26" s="55"/>
      <c r="E26" s="69">
        <f t="shared" ref="E26:G26" si="17">SUM(F26-(F26*15%))</f>
        <v>148.3111875</v>
      </c>
      <c r="F26" s="69">
        <f t="shared" si="17"/>
        <v>174.48375</v>
      </c>
      <c r="G26" s="69">
        <f t="shared" si="17"/>
        <v>205.275</v>
      </c>
      <c r="H26" s="69">
        <f t="shared" si="1"/>
        <v>241.5</v>
      </c>
      <c r="I26" s="88">
        <v>2.1</v>
      </c>
      <c r="J26" s="89">
        <f t="shared" si="2"/>
        <v>0.008008</v>
      </c>
      <c r="K26" s="89">
        <v>0.0091</v>
      </c>
      <c r="L26" s="89">
        <v>0.0018</v>
      </c>
      <c r="M26" s="112">
        <v>0.03</v>
      </c>
      <c r="N26" s="89">
        <v>0.0013</v>
      </c>
      <c r="O26" s="110">
        <v>7</v>
      </c>
      <c r="P26" s="106">
        <v>20</v>
      </c>
      <c r="Q26" s="129">
        <v>4</v>
      </c>
      <c r="R26" s="130">
        <v>16</v>
      </c>
      <c r="S26" s="131" t="s">
        <v>36</v>
      </c>
      <c r="T26" s="132">
        <f t="shared" si="3"/>
        <v>18</v>
      </c>
    </row>
    <row r="27" s="19" customFormat="1" ht="20" customHeight="1" spans="1:20">
      <c r="A27" s="51"/>
      <c r="B27" s="52"/>
      <c r="C27" s="53" t="s">
        <v>37</v>
      </c>
      <c r="D27" s="53"/>
      <c r="E27" s="70">
        <f t="shared" ref="E27:G27" si="18">SUM(F27-(F27*15%))</f>
        <v>163.14230625</v>
      </c>
      <c r="F27" s="70">
        <f t="shared" si="18"/>
        <v>191.932125</v>
      </c>
      <c r="G27" s="70">
        <f t="shared" si="18"/>
        <v>225.8025</v>
      </c>
      <c r="H27" s="70">
        <f t="shared" si="1"/>
        <v>265.65</v>
      </c>
      <c r="I27" s="90">
        <v>2.31</v>
      </c>
      <c r="J27" s="91">
        <f t="shared" si="2"/>
        <v>0.0088088</v>
      </c>
      <c r="K27" s="91">
        <v>0.01001</v>
      </c>
      <c r="L27" s="91">
        <v>0.0018</v>
      </c>
      <c r="M27" s="111">
        <v>0.03</v>
      </c>
      <c r="N27" s="91">
        <v>0.0013</v>
      </c>
      <c r="O27" s="109">
        <v>7</v>
      </c>
      <c r="P27" s="71">
        <v>20</v>
      </c>
      <c r="Q27" s="133">
        <v>4</v>
      </c>
      <c r="R27" s="134">
        <v>16</v>
      </c>
      <c r="S27" s="135" t="s">
        <v>36</v>
      </c>
      <c r="T27" s="136">
        <f t="shared" si="3"/>
        <v>18</v>
      </c>
    </row>
    <row r="28" s="18" customFormat="1" ht="20" customHeight="1" spans="1:20">
      <c r="A28" s="58"/>
      <c r="B28" s="52"/>
      <c r="C28" s="53" t="s">
        <v>38</v>
      </c>
      <c r="D28" s="53"/>
      <c r="E28" s="71">
        <f t="shared" ref="E28:G28" si="19">SUM(F28-(F28*2.5%))</f>
        <v>335.75480859375</v>
      </c>
      <c r="F28" s="71">
        <f t="shared" si="19"/>
        <v>344.36390625</v>
      </c>
      <c r="G28" s="71">
        <f t="shared" si="19"/>
        <v>353.19375</v>
      </c>
      <c r="H28" s="71">
        <f t="shared" si="1"/>
        <v>362.25</v>
      </c>
      <c r="I28" s="90">
        <v>3.15</v>
      </c>
      <c r="J28" s="91">
        <f t="shared" si="2"/>
        <v>0.012012</v>
      </c>
      <c r="K28" s="91">
        <v>0.01365</v>
      </c>
      <c r="L28" s="91">
        <v>0.0018</v>
      </c>
      <c r="M28" s="111">
        <v>0.03</v>
      </c>
      <c r="N28" s="91">
        <v>0.0013</v>
      </c>
      <c r="O28" s="109">
        <v>7</v>
      </c>
      <c r="P28" s="71">
        <v>20</v>
      </c>
      <c r="Q28" s="133">
        <v>4</v>
      </c>
      <c r="R28" s="134">
        <v>21</v>
      </c>
      <c r="S28" s="135" t="s">
        <v>36</v>
      </c>
      <c r="T28" s="136">
        <f t="shared" si="3"/>
        <v>23</v>
      </c>
    </row>
    <row r="29" s="18" customFormat="1" ht="20" customHeight="1" spans="1:20">
      <c r="A29" s="51"/>
      <c r="B29" s="52"/>
      <c r="C29" s="53" t="s">
        <v>39</v>
      </c>
      <c r="D29" s="53"/>
      <c r="E29" s="71">
        <f t="shared" ref="E29:G29" si="20">SUM(F29-(F29*2.5%))</f>
        <v>391.713943359375</v>
      </c>
      <c r="F29" s="71">
        <f t="shared" si="20"/>
        <v>401.757890625</v>
      </c>
      <c r="G29" s="71">
        <f t="shared" si="20"/>
        <v>412.059375</v>
      </c>
      <c r="H29" s="71">
        <f t="shared" si="1"/>
        <v>422.625</v>
      </c>
      <c r="I29" s="90">
        <v>3.675</v>
      </c>
      <c r="J29" s="91">
        <f t="shared" si="2"/>
        <v>0.014014</v>
      </c>
      <c r="K29" s="91">
        <v>0.015925</v>
      </c>
      <c r="L29" s="91">
        <v>0.0018</v>
      </c>
      <c r="M29" s="111">
        <v>0.03</v>
      </c>
      <c r="N29" s="91">
        <v>0.0013</v>
      </c>
      <c r="O29" s="109">
        <v>7</v>
      </c>
      <c r="P29" s="71">
        <v>20</v>
      </c>
      <c r="Q29" s="133">
        <v>4</v>
      </c>
      <c r="R29" s="134">
        <v>22</v>
      </c>
      <c r="S29" s="135" t="s">
        <v>36</v>
      </c>
      <c r="T29" s="136">
        <f t="shared" si="3"/>
        <v>24</v>
      </c>
    </row>
    <row r="30" s="18" customFormat="1" ht="20" customHeight="1" spans="1:20">
      <c r="A30" s="51"/>
      <c r="B30" s="52"/>
      <c r="C30" s="53" t="s">
        <v>40</v>
      </c>
      <c r="D30" s="53"/>
      <c r="E30" s="71">
        <f t="shared" ref="E30:G30" si="21">SUM(F30-(F30*2.5%))</f>
        <v>447.673078125</v>
      </c>
      <c r="F30" s="71">
        <f t="shared" si="21"/>
        <v>459.151875</v>
      </c>
      <c r="G30" s="71">
        <f t="shared" si="21"/>
        <v>470.925</v>
      </c>
      <c r="H30" s="71">
        <f t="shared" si="1"/>
        <v>483</v>
      </c>
      <c r="I30" s="90">
        <v>4.2</v>
      </c>
      <c r="J30" s="91">
        <f t="shared" si="2"/>
        <v>0.016016</v>
      </c>
      <c r="K30" s="91">
        <v>0.0182</v>
      </c>
      <c r="L30" s="91">
        <v>0.0018</v>
      </c>
      <c r="M30" s="111">
        <v>0.03</v>
      </c>
      <c r="N30" s="91">
        <v>0.0013</v>
      </c>
      <c r="O30" s="109">
        <v>7</v>
      </c>
      <c r="P30" s="71">
        <v>20</v>
      </c>
      <c r="Q30" s="133">
        <v>4</v>
      </c>
      <c r="R30" s="134">
        <v>23</v>
      </c>
      <c r="S30" s="135" t="s">
        <v>36</v>
      </c>
      <c r="T30" s="136">
        <f t="shared" si="3"/>
        <v>25</v>
      </c>
    </row>
    <row r="31" s="14" customFormat="1" ht="20" customHeight="1" spans="1:20">
      <c r="A31" s="48"/>
      <c r="B31" s="49" t="s">
        <v>48</v>
      </c>
      <c r="C31" s="59" t="s">
        <v>49</v>
      </c>
      <c r="D31" s="59"/>
      <c r="E31" s="69">
        <f t="shared" ref="E31:G31" si="22">SUM(F31-(F31*15%))</f>
        <v>120.0614375</v>
      </c>
      <c r="F31" s="69">
        <f t="shared" si="22"/>
        <v>141.24875</v>
      </c>
      <c r="G31" s="69">
        <f t="shared" si="22"/>
        <v>166.175</v>
      </c>
      <c r="H31" s="69">
        <f t="shared" si="1"/>
        <v>195.5</v>
      </c>
      <c r="I31" s="88">
        <v>1.7</v>
      </c>
      <c r="J31" s="89">
        <f t="shared" si="2"/>
        <v>0.008008</v>
      </c>
      <c r="K31" s="89">
        <v>0.0091</v>
      </c>
      <c r="L31" s="89">
        <v>0.0018</v>
      </c>
      <c r="M31" s="103"/>
      <c r="N31" s="104"/>
      <c r="O31" s="110">
        <v>7</v>
      </c>
      <c r="P31" s="106">
        <v>20</v>
      </c>
      <c r="Q31" s="129">
        <v>4</v>
      </c>
      <c r="R31" s="130">
        <v>9</v>
      </c>
      <c r="S31" s="131" t="s">
        <v>36</v>
      </c>
      <c r="T31" s="132">
        <f t="shared" si="3"/>
        <v>11</v>
      </c>
    </row>
    <row r="32" s="18" customFormat="1" ht="20" customHeight="1" spans="1:20">
      <c r="A32" s="51"/>
      <c r="B32" s="60"/>
      <c r="C32" s="53" t="s">
        <v>37</v>
      </c>
      <c r="D32" s="53"/>
      <c r="E32" s="70">
        <f t="shared" ref="E32:G32" si="23">SUM(F32-(F32*15%))</f>
        <v>132.06758125</v>
      </c>
      <c r="F32" s="70">
        <f t="shared" si="23"/>
        <v>155.373625</v>
      </c>
      <c r="G32" s="70">
        <f t="shared" si="23"/>
        <v>182.7925</v>
      </c>
      <c r="H32" s="70">
        <f t="shared" si="1"/>
        <v>215.05</v>
      </c>
      <c r="I32" s="90">
        <v>1.87</v>
      </c>
      <c r="J32" s="91">
        <f t="shared" si="2"/>
        <v>0.0088088</v>
      </c>
      <c r="K32" s="91">
        <v>0.01001</v>
      </c>
      <c r="L32" s="91">
        <v>0.0018</v>
      </c>
      <c r="M32" s="107"/>
      <c r="N32" s="108"/>
      <c r="O32" s="109">
        <v>7</v>
      </c>
      <c r="P32" s="71">
        <v>20</v>
      </c>
      <c r="Q32" s="133">
        <v>4</v>
      </c>
      <c r="R32" s="134">
        <v>9</v>
      </c>
      <c r="S32" s="135" t="s">
        <v>36</v>
      </c>
      <c r="T32" s="136">
        <f t="shared" si="3"/>
        <v>11</v>
      </c>
    </row>
    <row r="33" s="18" customFormat="1" ht="20" customHeight="1" spans="1:20">
      <c r="A33" s="51"/>
      <c r="B33" s="60"/>
      <c r="C33" s="53" t="s">
        <v>38</v>
      </c>
      <c r="D33" s="53"/>
      <c r="E33" s="71">
        <f t="shared" ref="E33:G33" si="24">SUM(F33-(F33*10%))</f>
        <v>213.77925</v>
      </c>
      <c r="F33" s="71">
        <f t="shared" si="24"/>
        <v>237.5325</v>
      </c>
      <c r="G33" s="71">
        <f t="shared" si="24"/>
        <v>263.925</v>
      </c>
      <c r="H33" s="71">
        <f t="shared" si="1"/>
        <v>293.25</v>
      </c>
      <c r="I33" s="90">
        <v>2.55</v>
      </c>
      <c r="J33" s="91">
        <f t="shared" si="2"/>
        <v>0.012012</v>
      </c>
      <c r="K33" s="91">
        <v>0.01365</v>
      </c>
      <c r="L33" s="91">
        <v>0.0018</v>
      </c>
      <c r="M33" s="107"/>
      <c r="N33" s="108"/>
      <c r="O33" s="109">
        <v>7</v>
      </c>
      <c r="P33" s="71">
        <v>20</v>
      </c>
      <c r="Q33" s="133">
        <v>4</v>
      </c>
      <c r="R33" s="134">
        <v>16</v>
      </c>
      <c r="S33" s="135" t="s">
        <v>36</v>
      </c>
      <c r="T33" s="136">
        <f t="shared" si="3"/>
        <v>18</v>
      </c>
    </row>
    <row r="34" s="18" customFormat="1" ht="20" customHeight="1" spans="1:20">
      <c r="A34" s="51"/>
      <c r="B34" s="60"/>
      <c r="C34" s="53" t="s">
        <v>39</v>
      </c>
      <c r="D34" s="53"/>
      <c r="E34" s="71">
        <f t="shared" ref="E34:G34" si="25">SUM(F34-(F34*10%))</f>
        <v>249.409125</v>
      </c>
      <c r="F34" s="71">
        <f t="shared" si="25"/>
        <v>277.12125</v>
      </c>
      <c r="G34" s="71">
        <f t="shared" si="25"/>
        <v>307.9125</v>
      </c>
      <c r="H34" s="71">
        <f t="shared" si="1"/>
        <v>342.125</v>
      </c>
      <c r="I34" s="90">
        <v>2.975</v>
      </c>
      <c r="J34" s="91">
        <f t="shared" si="2"/>
        <v>0.014014</v>
      </c>
      <c r="K34" s="91">
        <v>0.015925</v>
      </c>
      <c r="L34" s="91">
        <v>0.0018</v>
      </c>
      <c r="M34" s="107"/>
      <c r="N34" s="108"/>
      <c r="O34" s="109">
        <v>7</v>
      </c>
      <c r="P34" s="71">
        <v>20</v>
      </c>
      <c r="Q34" s="133">
        <v>4</v>
      </c>
      <c r="R34" s="134">
        <v>17</v>
      </c>
      <c r="S34" s="135" t="s">
        <v>36</v>
      </c>
      <c r="T34" s="136">
        <f t="shared" si="3"/>
        <v>19</v>
      </c>
    </row>
    <row r="35" s="18" customFormat="1" ht="20" customHeight="1" spans="1:20">
      <c r="A35" s="51"/>
      <c r="B35" s="60"/>
      <c r="C35" s="53" t="s">
        <v>40</v>
      </c>
      <c r="D35" s="53"/>
      <c r="E35" s="71">
        <f t="shared" ref="E35:G35" si="26">SUM(F35-(F35*10%))</f>
        <v>318.573</v>
      </c>
      <c r="F35" s="71">
        <f t="shared" si="26"/>
        <v>353.97</v>
      </c>
      <c r="G35" s="71">
        <f t="shared" si="26"/>
        <v>393.3</v>
      </c>
      <c r="H35" s="71">
        <f t="shared" si="1"/>
        <v>437</v>
      </c>
      <c r="I35" s="90">
        <v>3.8</v>
      </c>
      <c r="J35" s="91">
        <f t="shared" si="2"/>
        <v>0.016016</v>
      </c>
      <c r="K35" s="91">
        <v>0.0182</v>
      </c>
      <c r="L35" s="91">
        <v>0.0018</v>
      </c>
      <c r="M35" s="107"/>
      <c r="N35" s="108"/>
      <c r="O35" s="109">
        <v>7</v>
      </c>
      <c r="P35" s="71">
        <v>20</v>
      </c>
      <c r="Q35" s="133">
        <v>4</v>
      </c>
      <c r="R35" s="134">
        <v>18</v>
      </c>
      <c r="S35" s="135" t="s">
        <v>36</v>
      </c>
      <c r="T35" s="136">
        <f t="shared" si="3"/>
        <v>20</v>
      </c>
    </row>
    <row r="36" s="18" customFormat="1" ht="20" customHeight="1" spans="1:20">
      <c r="A36" s="51"/>
      <c r="B36" s="60"/>
      <c r="C36" s="53" t="s">
        <v>50</v>
      </c>
      <c r="D36" s="53"/>
      <c r="E36" s="71">
        <f t="shared" ref="E36:G36" si="27">SUM(F36-(F36*10%))</f>
        <v>313.5429</v>
      </c>
      <c r="F36" s="71">
        <f t="shared" si="27"/>
        <v>348.381</v>
      </c>
      <c r="G36" s="71">
        <f t="shared" si="27"/>
        <v>387.09</v>
      </c>
      <c r="H36" s="71">
        <f t="shared" si="1"/>
        <v>430.1</v>
      </c>
      <c r="I36" s="92">
        <v>3.74</v>
      </c>
      <c r="J36" s="91">
        <f t="shared" ref="J36:J39" si="28">SUM(K36-(K36*0%))</f>
        <v>0.0325</v>
      </c>
      <c r="K36" s="91">
        <v>0.0325</v>
      </c>
      <c r="L36" s="91">
        <v>0.0018</v>
      </c>
      <c r="M36" s="107"/>
      <c r="N36" s="108"/>
      <c r="O36" s="109">
        <v>7</v>
      </c>
      <c r="P36" s="71">
        <v>20</v>
      </c>
      <c r="Q36" s="133">
        <v>4</v>
      </c>
      <c r="R36" s="134">
        <v>19</v>
      </c>
      <c r="S36" s="135" t="s">
        <v>36</v>
      </c>
      <c r="T36" s="136">
        <f t="shared" si="3"/>
        <v>21</v>
      </c>
    </row>
    <row r="37" s="18" customFormat="1" ht="20" customHeight="1" spans="1:20">
      <c r="A37" s="51"/>
      <c r="B37" s="60"/>
      <c r="C37" s="53" t="s">
        <v>43</v>
      </c>
      <c r="D37" s="53"/>
      <c r="E37" s="71">
        <f t="shared" ref="E37:G37" si="29">SUM(F37-(F37*10%))</f>
        <v>319.41135</v>
      </c>
      <c r="F37" s="71">
        <f t="shared" si="29"/>
        <v>354.9015</v>
      </c>
      <c r="G37" s="71">
        <f t="shared" si="29"/>
        <v>394.335</v>
      </c>
      <c r="H37" s="71">
        <f t="shared" si="1"/>
        <v>438.15</v>
      </c>
      <c r="I37" s="92">
        <v>3.81</v>
      </c>
      <c r="J37" s="91">
        <f t="shared" si="28"/>
        <v>0.0551</v>
      </c>
      <c r="K37" s="91">
        <v>0.0551</v>
      </c>
      <c r="L37" s="91">
        <v>0.0018</v>
      </c>
      <c r="M37" s="107"/>
      <c r="N37" s="108"/>
      <c r="O37" s="109">
        <v>7</v>
      </c>
      <c r="P37" s="71">
        <v>20</v>
      </c>
      <c r="Q37" s="133">
        <v>4</v>
      </c>
      <c r="R37" s="134">
        <v>20</v>
      </c>
      <c r="S37" s="135" t="s">
        <v>36</v>
      </c>
      <c r="T37" s="136">
        <f t="shared" si="3"/>
        <v>22</v>
      </c>
    </row>
    <row r="38" s="18" customFormat="1" ht="20" customHeight="1" spans="1:20">
      <c r="A38" s="51"/>
      <c r="B38" s="60"/>
      <c r="C38" s="53" t="s">
        <v>44</v>
      </c>
      <c r="D38" s="53"/>
      <c r="E38" s="71">
        <f t="shared" ref="E38:G38" si="30">SUM(F38-(F38*10%))</f>
        <v>333.6633</v>
      </c>
      <c r="F38" s="71">
        <f t="shared" si="30"/>
        <v>370.737</v>
      </c>
      <c r="G38" s="71">
        <f t="shared" si="30"/>
        <v>411.93</v>
      </c>
      <c r="H38" s="71">
        <f t="shared" si="1"/>
        <v>457.7</v>
      </c>
      <c r="I38" s="92">
        <v>3.98</v>
      </c>
      <c r="J38" s="91">
        <f t="shared" si="28"/>
        <v>0.0679</v>
      </c>
      <c r="K38" s="91">
        <v>0.0679</v>
      </c>
      <c r="L38" s="91">
        <v>0.0018</v>
      </c>
      <c r="M38" s="107"/>
      <c r="N38" s="108"/>
      <c r="O38" s="109">
        <v>7</v>
      </c>
      <c r="P38" s="71">
        <v>20</v>
      </c>
      <c r="Q38" s="133">
        <v>4</v>
      </c>
      <c r="R38" s="134">
        <v>21</v>
      </c>
      <c r="S38" s="135" t="s">
        <v>36</v>
      </c>
      <c r="T38" s="136">
        <f t="shared" si="3"/>
        <v>23</v>
      </c>
    </row>
    <row r="39" s="18" customFormat="1" ht="20" customHeight="1" spans="1:20">
      <c r="A39" s="51"/>
      <c r="B39" s="60"/>
      <c r="C39" s="53" t="s">
        <v>45</v>
      </c>
      <c r="D39" s="53"/>
      <c r="E39" s="71">
        <f t="shared" ref="E39:G39" si="31">SUM(F39-(F39*10%))</f>
        <v>348.7536</v>
      </c>
      <c r="F39" s="71">
        <f t="shared" si="31"/>
        <v>387.504</v>
      </c>
      <c r="G39" s="71">
        <f t="shared" si="31"/>
        <v>430.56</v>
      </c>
      <c r="H39" s="71">
        <f t="shared" si="1"/>
        <v>478.4</v>
      </c>
      <c r="I39" s="92">
        <v>4.16</v>
      </c>
      <c r="J39" s="91">
        <f t="shared" si="28"/>
        <v>0.0763</v>
      </c>
      <c r="K39" s="91">
        <v>0.0763</v>
      </c>
      <c r="L39" s="91">
        <v>0.0018</v>
      </c>
      <c r="M39" s="107"/>
      <c r="N39" s="108"/>
      <c r="O39" s="109">
        <v>7</v>
      </c>
      <c r="P39" s="71">
        <v>20</v>
      </c>
      <c r="Q39" s="133">
        <v>4</v>
      </c>
      <c r="R39" s="134">
        <v>22</v>
      </c>
      <c r="S39" s="135" t="s">
        <v>36</v>
      </c>
      <c r="T39" s="136">
        <f t="shared" si="3"/>
        <v>24</v>
      </c>
    </row>
    <row r="40" s="14" customFormat="1" ht="20" customHeight="1" spans="1:20">
      <c r="A40" s="48"/>
      <c r="B40" s="49" t="s">
        <v>51</v>
      </c>
      <c r="C40" s="61" t="s">
        <v>52</v>
      </c>
      <c r="D40" s="61"/>
      <c r="E40" s="69">
        <f t="shared" ref="E40:G40" si="32">SUM(F40-(F40*15%))</f>
        <v>134.1863125</v>
      </c>
      <c r="F40" s="69">
        <f t="shared" si="32"/>
        <v>157.86625</v>
      </c>
      <c r="G40" s="69">
        <f t="shared" si="32"/>
        <v>185.725</v>
      </c>
      <c r="H40" s="69">
        <f t="shared" si="1"/>
        <v>218.5</v>
      </c>
      <c r="I40" s="88">
        <v>1.9</v>
      </c>
      <c r="J40" s="89">
        <f t="shared" si="2"/>
        <v>0.008008</v>
      </c>
      <c r="K40" s="89">
        <v>0.0091</v>
      </c>
      <c r="L40" s="89">
        <v>0.0018</v>
      </c>
      <c r="M40" s="103"/>
      <c r="N40" s="104"/>
      <c r="O40" s="110">
        <v>7</v>
      </c>
      <c r="P40" s="106">
        <v>20</v>
      </c>
      <c r="Q40" s="129">
        <v>4</v>
      </c>
      <c r="R40" s="130">
        <v>11</v>
      </c>
      <c r="S40" s="131" t="s">
        <v>36</v>
      </c>
      <c r="T40" s="132">
        <f t="shared" si="3"/>
        <v>13</v>
      </c>
    </row>
    <row r="41" s="18" customFormat="1" ht="20" customHeight="1" spans="1:20">
      <c r="A41" s="51"/>
      <c r="B41" s="52"/>
      <c r="C41" s="53" t="s">
        <v>37</v>
      </c>
      <c r="D41" s="53"/>
      <c r="E41" s="70">
        <f t="shared" ref="E41:G41" si="33">SUM(F41-(F41*15%))</f>
        <v>147.60494375</v>
      </c>
      <c r="F41" s="70">
        <f t="shared" si="33"/>
        <v>173.652875</v>
      </c>
      <c r="G41" s="70">
        <f t="shared" si="33"/>
        <v>204.2975</v>
      </c>
      <c r="H41" s="70">
        <f t="shared" si="1"/>
        <v>240.35</v>
      </c>
      <c r="I41" s="90">
        <v>2.09</v>
      </c>
      <c r="J41" s="91">
        <f t="shared" si="2"/>
        <v>0.0088088</v>
      </c>
      <c r="K41" s="91">
        <v>0.01001</v>
      </c>
      <c r="L41" s="91">
        <v>0.0018</v>
      </c>
      <c r="M41" s="107"/>
      <c r="N41" s="108"/>
      <c r="O41" s="109">
        <v>7</v>
      </c>
      <c r="P41" s="71">
        <v>20</v>
      </c>
      <c r="Q41" s="133">
        <v>4</v>
      </c>
      <c r="R41" s="134">
        <v>10.8571428571429</v>
      </c>
      <c r="S41" s="135" t="s">
        <v>36</v>
      </c>
      <c r="T41" s="136">
        <f t="shared" si="3"/>
        <v>12.8571428571429</v>
      </c>
    </row>
    <row r="42" s="18" customFormat="1" ht="20" customHeight="1" spans="1:20">
      <c r="A42" s="51"/>
      <c r="B42" s="52"/>
      <c r="C42" s="53" t="s">
        <v>38</v>
      </c>
      <c r="D42" s="53"/>
      <c r="E42" s="71">
        <f t="shared" ref="E42:G42" si="34">SUM(F42-(F42*15%))</f>
        <v>201.27946875</v>
      </c>
      <c r="F42" s="71">
        <f t="shared" si="34"/>
        <v>236.799375</v>
      </c>
      <c r="G42" s="71">
        <f t="shared" si="34"/>
        <v>278.5875</v>
      </c>
      <c r="H42" s="71">
        <f t="shared" si="1"/>
        <v>327.75</v>
      </c>
      <c r="I42" s="90">
        <v>2.85</v>
      </c>
      <c r="J42" s="91">
        <f t="shared" si="2"/>
        <v>0.012012</v>
      </c>
      <c r="K42" s="91">
        <v>0.01365</v>
      </c>
      <c r="L42" s="91">
        <v>0.0018</v>
      </c>
      <c r="M42" s="107"/>
      <c r="N42" s="108"/>
      <c r="O42" s="109">
        <v>7</v>
      </c>
      <c r="P42" s="71">
        <v>20</v>
      </c>
      <c r="Q42" s="133">
        <v>4</v>
      </c>
      <c r="R42" s="134">
        <v>16</v>
      </c>
      <c r="S42" s="135" t="s">
        <v>36</v>
      </c>
      <c r="T42" s="136">
        <f t="shared" si="3"/>
        <v>18</v>
      </c>
    </row>
    <row r="43" s="18" customFormat="1" ht="20" customHeight="1" spans="1:20">
      <c r="A43" s="51"/>
      <c r="B43" s="52"/>
      <c r="C43" s="53" t="s">
        <v>39</v>
      </c>
      <c r="D43" s="53"/>
      <c r="E43" s="71">
        <f t="shared" ref="E43:G43" si="35">SUM(F43-(F43*15%))</f>
        <v>234.826046875</v>
      </c>
      <c r="F43" s="71">
        <f t="shared" si="35"/>
        <v>276.2659375</v>
      </c>
      <c r="G43" s="71">
        <f t="shared" si="35"/>
        <v>325.01875</v>
      </c>
      <c r="H43" s="71">
        <f t="shared" si="1"/>
        <v>382.375</v>
      </c>
      <c r="I43" s="90">
        <v>3.325</v>
      </c>
      <c r="J43" s="91">
        <f t="shared" si="2"/>
        <v>0.014014</v>
      </c>
      <c r="K43" s="91">
        <v>0.015925</v>
      </c>
      <c r="L43" s="91">
        <v>0.0018</v>
      </c>
      <c r="M43" s="107"/>
      <c r="N43" s="108"/>
      <c r="O43" s="109">
        <v>7</v>
      </c>
      <c r="P43" s="71">
        <v>20</v>
      </c>
      <c r="Q43" s="133">
        <v>4</v>
      </c>
      <c r="R43" s="134">
        <v>17</v>
      </c>
      <c r="S43" s="135" t="s">
        <v>36</v>
      </c>
      <c r="T43" s="136">
        <f t="shared" si="3"/>
        <v>19</v>
      </c>
    </row>
    <row r="44" s="18" customFormat="1" ht="20" customHeight="1" spans="1:20">
      <c r="A44" s="51"/>
      <c r="B44" s="52"/>
      <c r="C44" s="53" t="s">
        <v>40</v>
      </c>
      <c r="D44" s="53"/>
      <c r="E44" s="71">
        <f t="shared" ref="E44:G44" si="36">SUM(F44-(F44*15%))</f>
        <v>268.372625</v>
      </c>
      <c r="F44" s="71">
        <f t="shared" si="36"/>
        <v>315.7325</v>
      </c>
      <c r="G44" s="71">
        <f t="shared" si="36"/>
        <v>371.45</v>
      </c>
      <c r="H44" s="71">
        <f t="shared" si="1"/>
        <v>437</v>
      </c>
      <c r="I44" s="90">
        <v>3.8</v>
      </c>
      <c r="J44" s="91">
        <f t="shared" si="2"/>
        <v>0.016016</v>
      </c>
      <c r="K44" s="91">
        <v>0.0182</v>
      </c>
      <c r="L44" s="91">
        <v>0.0018</v>
      </c>
      <c r="M44" s="107"/>
      <c r="N44" s="108"/>
      <c r="O44" s="109">
        <v>7</v>
      </c>
      <c r="P44" s="71">
        <v>20</v>
      </c>
      <c r="Q44" s="133">
        <v>4</v>
      </c>
      <c r="R44" s="134">
        <v>18</v>
      </c>
      <c r="S44" s="135" t="s">
        <v>36</v>
      </c>
      <c r="T44" s="136">
        <f t="shared" si="3"/>
        <v>20</v>
      </c>
    </row>
    <row r="45" s="14" customFormat="1" ht="20" customHeight="1" spans="1:20">
      <c r="A45" s="48"/>
      <c r="B45" s="54" t="s">
        <v>53</v>
      </c>
      <c r="C45" s="62" t="s">
        <v>54</v>
      </c>
      <c r="D45" s="62"/>
      <c r="E45" s="69">
        <f t="shared" ref="E45:G45" si="37">SUM(F45-(F45*15%))</f>
        <v>169.4985</v>
      </c>
      <c r="F45" s="69">
        <f t="shared" si="37"/>
        <v>199.41</v>
      </c>
      <c r="G45" s="69">
        <f t="shared" si="37"/>
        <v>234.6</v>
      </c>
      <c r="H45" s="69">
        <f t="shared" si="1"/>
        <v>276</v>
      </c>
      <c r="I45" s="88">
        <v>2.4</v>
      </c>
      <c r="J45" s="89">
        <f t="shared" si="2"/>
        <v>0.008008</v>
      </c>
      <c r="K45" s="89">
        <v>0.0091</v>
      </c>
      <c r="L45" s="89">
        <v>0.0018</v>
      </c>
      <c r="M45" s="104">
        <v>0.03</v>
      </c>
      <c r="N45" s="89">
        <v>0.0013</v>
      </c>
      <c r="O45" s="110">
        <v>7</v>
      </c>
      <c r="P45" s="106">
        <v>20</v>
      </c>
      <c r="Q45" s="129">
        <v>4</v>
      </c>
      <c r="R45" s="130">
        <v>20</v>
      </c>
      <c r="S45" s="131" t="s">
        <v>36</v>
      </c>
      <c r="T45" s="132">
        <f t="shared" si="3"/>
        <v>22</v>
      </c>
    </row>
    <row r="46" s="18" customFormat="1" ht="20" customHeight="1" spans="1:20">
      <c r="A46" s="51"/>
      <c r="B46" s="56"/>
      <c r="C46" s="53" t="s">
        <v>38</v>
      </c>
      <c r="D46" s="53"/>
      <c r="E46" s="71">
        <f t="shared" ref="E46:G46" si="38">SUM(F46-(F46*2%))</f>
        <v>564.7152</v>
      </c>
      <c r="F46" s="71">
        <f t="shared" si="38"/>
        <v>576.24</v>
      </c>
      <c r="G46" s="71">
        <f t="shared" si="38"/>
        <v>588</v>
      </c>
      <c r="H46" s="71">
        <v>600</v>
      </c>
      <c r="I46" s="90">
        <v>3.6</v>
      </c>
      <c r="J46" s="91">
        <f t="shared" si="2"/>
        <v>0.012012</v>
      </c>
      <c r="K46" s="91">
        <v>0.01365</v>
      </c>
      <c r="L46" s="91">
        <v>0.0018</v>
      </c>
      <c r="M46" s="108">
        <v>0.03</v>
      </c>
      <c r="N46" s="91">
        <v>0.0013</v>
      </c>
      <c r="O46" s="109">
        <v>7</v>
      </c>
      <c r="P46" s="71">
        <v>20</v>
      </c>
      <c r="Q46" s="133">
        <v>4</v>
      </c>
      <c r="R46" s="134">
        <v>26</v>
      </c>
      <c r="S46" s="135" t="s">
        <v>36</v>
      </c>
      <c r="T46" s="136">
        <f t="shared" si="3"/>
        <v>28</v>
      </c>
    </row>
    <row r="47" s="18" customFormat="1" ht="20" customHeight="1" spans="1:20">
      <c r="A47" s="51"/>
      <c r="B47" s="56"/>
      <c r="C47" s="53" t="s">
        <v>39</v>
      </c>
      <c r="D47" s="53"/>
      <c r="E47" s="71">
        <f t="shared" ref="E47:G47" si="39">SUM(F47-(F47*2%))</f>
        <v>752.9536</v>
      </c>
      <c r="F47" s="71">
        <f t="shared" si="39"/>
        <v>768.32</v>
      </c>
      <c r="G47" s="71">
        <f t="shared" si="39"/>
        <v>784</v>
      </c>
      <c r="H47" s="71">
        <v>800</v>
      </c>
      <c r="I47" s="90">
        <v>4.2</v>
      </c>
      <c r="J47" s="91">
        <f t="shared" si="2"/>
        <v>0.014014</v>
      </c>
      <c r="K47" s="91">
        <v>0.015925</v>
      </c>
      <c r="L47" s="91">
        <v>0.0018</v>
      </c>
      <c r="M47" s="108">
        <v>0.03</v>
      </c>
      <c r="N47" s="91">
        <v>0.0013</v>
      </c>
      <c r="O47" s="109">
        <v>7</v>
      </c>
      <c r="P47" s="71">
        <v>20</v>
      </c>
      <c r="Q47" s="133">
        <v>4</v>
      </c>
      <c r="R47" s="134">
        <v>27</v>
      </c>
      <c r="S47" s="135" t="s">
        <v>36</v>
      </c>
      <c r="T47" s="136">
        <f t="shared" si="3"/>
        <v>29</v>
      </c>
    </row>
    <row r="48" s="18" customFormat="1" ht="20" customHeight="1" spans="1:20">
      <c r="A48" s="51"/>
      <c r="B48" s="57"/>
      <c r="C48" s="53" t="s">
        <v>40</v>
      </c>
      <c r="D48" s="53"/>
      <c r="E48" s="71">
        <f t="shared" ref="E48:G48" si="40">SUM(F48-(F48*2%))</f>
        <v>941.192</v>
      </c>
      <c r="F48" s="71">
        <f t="shared" si="40"/>
        <v>960.4</v>
      </c>
      <c r="G48" s="71">
        <f t="shared" si="40"/>
        <v>980</v>
      </c>
      <c r="H48" s="71">
        <v>1000</v>
      </c>
      <c r="I48" s="90">
        <v>4.8</v>
      </c>
      <c r="J48" s="91">
        <f t="shared" si="2"/>
        <v>0.016016</v>
      </c>
      <c r="K48" s="91">
        <v>0.0182</v>
      </c>
      <c r="L48" s="91">
        <v>0.0018</v>
      </c>
      <c r="M48" s="108">
        <v>0.03</v>
      </c>
      <c r="N48" s="91">
        <v>0.0013</v>
      </c>
      <c r="O48" s="109">
        <v>7</v>
      </c>
      <c r="P48" s="71">
        <v>20</v>
      </c>
      <c r="Q48" s="133">
        <v>4</v>
      </c>
      <c r="R48" s="134">
        <v>28</v>
      </c>
      <c r="S48" s="135" t="s">
        <v>36</v>
      </c>
      <c r="T48" s="136">
        <f t="shared" si="3"/>
        <v>30</v>
      </c>
    </row>
    <row r="49" s="14" customFormat="1" ht="20" customHeight="1" spans="1:20">
      <c r="A49" s="48"/>
      <c r="B49" s="49" t="s">
        <v>55</v>
      </c>
      <c r="C49" s="62" t="s">
        <v>56</v>
      </c>
      <c r="D49" s="62"/>
      <c r="E49" s="69">
        <f t="shared" ref="E49:G49" si="41">SUM(F49-(F49*15%))</f>
        <v>112.999</v>
      </c>
      <c r="F49" s="69">
        <f t="shared" si="41"/>
        <v>132.94</v>
      </c>
      <c r="G49" s="69">
        <f t="shared" si="41"/>
        <v>156.4</v>
      </c>
      <c r="H49" s="69">
        <f t="shared" ref="H49:H106" si="42">SUM((I49+(I49*15%))*100)</f>
        <v>184</v>
      </c>
      <c r="I49" s="88">
        <v>1.6</v>
      </c>
      <c r="J49" s="89">
        <f t="shared" si="2"/>
        <v>0.008008</v>
      </c>
      <c r="K49" s="89">
        <v>0.0091</v>
      </c>
      <c r="L49" s="89">
        <v>0.0018</v>
      </c>
      <c r="M49" s="103"/>
      <c r="N49" s="103"/>
      <c r="O49" s="110">
        <v>7</v>
      </c>
      <c r="P49" s="106">
        <v>20</v>
      </c>
      <c r="Q49" s="129">
        <v>4</v>
      </c>
      <c r="R49" s="130">
        <v>8</v>
      </c>
      <c r="S49" s="131" t="s">
        <v>36</v>
      </c>
      <c r="T49" s="132">
        <f t="shared" si="3"/>
        <v>10</v>
      </c>
    </row>
    <row r="50" s="18" customFormat="1" ht="20" customHeight="1" spans="1:20">
      <c r="A50" s="51"/>
      <c r="B50" s="52"/>
      <c r="C50" s="53" t="s">
        <v>38</v>
      </c>
      <c r="D50" s="53"/>
      <c r="E50" s="70">
        <f t="shared" ref="E50:G50" si="43">SUM(F50-(F50*15%))</f>
        <v>169.4985</v>
      </c>
      <c r="F50" s="70">
        <f t="shared" si="43"/>
        <v>199.41</v>
      </c>
      <c r="G50" s="70">
        <f t="shared" si="43"/>
        <v>234.6</v>
      </c>
      <c r="H50" s="70">
        <f t="shared" si="42"/>
        <v>276</v>
      </c>
      <c r="I50" s="90">
        <v>2.4</v>
      </c>
      <c r="J50" s="91">
        <f t="shared" si="2"/>
        <v>0.012012</v>
      </c>
      <c r="K50" s="91">
        <v>0.01365</v>
      </c>
      <c r="L50" s="91">
        <v>0.0018</v>
      </c>
      <c r="M50" s="107"/>
      <c r="N50" s="107"/>
      <c r="O50" s="109">
        <v>7</v>
      </c>
      <c r="P50" s="71">
        <v>20</v>
      </c>
      <c r="Q50" s="133">
        <v>4</v>
      </c>
      <c r="R50" s="134">
        <v>13</v>
      </c>
      <c r="S50" s="135" t="s">
        <v>36</v>
      </c>
      <c r="T50" s="136">
        <f t="shared" si="3"/>
        <v>15</v>
      </c>
    </row>
    <row r="51" s="18" customFormat="1" ht="20" customHeight="1" spans="1:20">
      <c r="A51" s="51"/>
      <c r="B51" s="52"/>
      <c r="C51" s="53" t="s">
        <v>39</v>
      </c>
      <c r="D51" s="53"/>
      <c r="E51" s="71">
        <f t="shared" ref="E51:G51" si="44">SUM(F51-(F51*15%))</f>
        <v>197.74825</v>
      </c>
      <c r="F51" s="71">
        <f t="shared" si="44"/>
        <v>232.645</v>
      </c>
      <c r="G51" s="71">
        <f t="shared" si="44"/>
        <v>273.7</v>
      </c>
      <c r="H51" s="71">
        <f t="shared" si="42"/>
        <v>322</v>
      </c>
      <c r="I51" s="90">
        <v>2.8</v>
      </c>
      <c r="J51" s="91">
        <f t="shared" si="2"/>
        <v>0.014014</v>
      </c>
      <c r="K51" s="91">
        <v>0.015925</v>
      </c>
      <c r="L51" s="91">
        <v>0.0018</v>
      </c>
      <c r="M51" s="107"/>
      <c r="N51" s="107"/>
      <c r="O51" s="109">
        <v>7</v>
      </c>
      <c r="P51" s="71">
        <v>20</v>
      </c>
      <c r="Q51" s="133">
        <v>4</v>
      </c>
      <c r="R51" s="134">
        <v>14</v>
      </c>
      <c r="S51" s="135" t="s">
        <v>36</v>
      </c>
      <c r="T51" s="136">
        <f t="shared" si="3"/>
        <v>16</v>
      </c>
    </row>
    <row r="52" s="18" customFormat="1" ht="20" customHeight="1" spans="1:20">
      <c r="A52" s="51"/>
      <c r="B52" s="52"/>
      <c r="C52" s="53" t="s">
        <v>40</v>
      </c>
      <c r="D52" s="53"/>
      <c r="E52" s="71">
        <f t="shared" ref="E52:G52" si="45">SUM(F52-(F52*15%))</f>
        <v>225.998</v>
      </c>
      <c r="F52" s="71">
        <f t="shared" si="45"/>
        <v>265.88</v>
      </c>
      <c r="G52" s="71">
        <f t="shared" si="45"/>
        <v>312.8</v>
      </c>
      <c r="H52" s="71">
        <f t="shared" si="42"/>
        <v>368</v>
      </c>
      <c r="I52" s="90">
        <v>3.2</v>
      </c>
      <c r="J52" s="91">
        <f t="shared" si="2"/>
        <v>0.016016</v>
      </c>
      <c r="K52" s="91">
        <v>0.0182</v>
      </c>
      <c r="L52" s="91">
        <v>0.0018</v>
      </c>
      <c r="M52" s="107"/>
      <c r="N52" s="107"/>
      <c r="O52" s="109">
        <v>7</v>
      </c>
      <c r="P52" s="71">
        <v>20</v>
      </c>
      <c r="Q52" s="133">
        <v>4</v>
      </c>
      <c r="R52" s="134">
        <v>15</v>
      </c>
      <c r="S52" s="135" t="s">
        <v>36</v>
      </c>
      <c r="T52" s="136">
        <f t="shared" si="3"/>
        <v>17</v>
      </c>
    </row>
    <row r="53" s="14" customFormat="1" ht="20" customHeight="1" spans="1:20">
      <c r="A53" s="63" t="s">
        <v>57</v>
      </c>
      <c r="B53" s="49" t="s">
        <v>58</v>
      </c>
      <c r="C53" s="55" t="s">
        <v>59</v>
      </c>
      <c r="D53" s="55"/>
      <c r="E53" s="69">
        <f t="shared" ref="E53:G53" si="46">SUM(F53-(F53*15%))</f>
        <v>122.314312687875</v>
      </c>
      <c r="F53" s="69">
        <f t="shared" si="46"/>
        <v>143.8991913975</v>
      </c>
      <c r="G53" s="69">
        <f t="shared" si="46"/>
        <v>169.29316635</v>
      </c>
      <c r="H53" s="69">
        <f t="shared" si="42"/>
        <v>199.168431</v>
      </c>
      <c r="I53" s="88">
        <v>1.7318994</v>
      </c>
      <c r="J53" s="89">
        <v>0.0065</v>
      </c>
      <c r="K53" s="89">
        <v>0.0065</v>
      </c>
      <c r="L53" s="89">
        <v>0.0018</v>
      </c>
      <c r="M53" s="103"/>
      <c r="N53" s="103"/>
      <c r="O53" s="110">
        <v>7</v>
      </c>
      <c r="P53" s="106">
        <v>20</v>
      </c>
      <c r="Q53" s="129">
        <v>4</v>
      </c>
      <c r="R53" s="130">
        <v>11</v>
      </c>
      <c r="S53" s="131" t="s">
        <v>36</v>
      </c>
      <c r="T53" s="132">
        <f t="shared" si="3"/>
        <v>13</v>
      </c>
    </row>
    <row r="54" s="18" customFormat="1" ht="20" customHeight="1" spans="1:20">
      <c r="A54" s="64"/>
      <c r="B54" s="52"/>
      <c r="C54" s="53" t="s">
        <v>37</v>
      </c>
      <c r="D54" s="53"/>
      <c r="E54" s="70">
        <f t="shared" ref="E54:G54" si="47">SUM(F54-(F54*15%))</f>
        <v>134.545743956663</v>
      </c>
      <c r="F54" s="70">
        <f t="shared" si="47"/>
        <v>158.28911053725</v>
      </c>
      <c r="G54" s="70">
        <f t="shared" si="47"/>
        <v>186.222482985</v>
      </c>
      <c r="H54" s="70">
        <f t="shared" si="42"/>
        <v>219.0852741</v>
      </c>
      <c r="I54" s="90">
        <v>1.90508934</v>
      </c>
      <c r="J54" s="91">
        <v>0.007744</v>
      </c>
      <c r="K54" s="91">
        <v>0.00715</v>
      </c>
      <c r="L54" s="91">
        <v>0.0018</v>
      </c>
      <c r="M54" s="107"/>
      <c r="N54" s="107"/>
      <c r="O54" s="109">
        <v>7</v>
      </c>
      <c r="P54" s="71">
        <v>20</v>
      </c>
      <c r="Q54" s="133">
        <v>4</v>
      </c>
      <c r="R54" s="134">
        <v>11</v>
      </c>
      <c r="S54" s="135" t="s">
        <v>36</v>
      </c>
      <c r="T54" s="136">
        <f t="shared" si="3"/>
        <v>13</v>
      </c>
    </row>
    <row r="55" s="18" customFormat="1" ht="20" customHeight="1" spans="1:20">
      <c r="A55" s="64"/>
      <c r="B55" s="52"/>
      <c r="C55" s="53" t="s">
        <v>38</v>
      </c>
      <c r="D55" s="53"/>
      <c r="E55" s="71">
        <f t="shared" ref="E55:G55" si="48">SUM(F55-(F55*15%))</f>
        <v>183.471469031812</v>
      </c>
      <c r="F55" s="71">
        <f t="shared" si="48"/>
        <v>215.84878709625</v>
      </c>
      <c r="G55" s="71">
        <f t="shared" si="48"/>
        <v>253.939749525</v>
      </c>
      <c r="H55" s="71">
        <f t="shared" si="42"/>
        <v>298.7526465</v>
      </c>
      <c r="I55" s="90">
        <v>2.5978491</v>
      </c>
      <c r="J55" s="91">
        <v>0.01056</v>
      </c>
      <c r="K55" s="91">
        <v>0.00975</v>
      </c>
      <c r="L55" s="91">
        <v>0.0018</v>
      </c>
      <c r="M55" s="107"/>
      <c r="N55" s="107"/>
      <c r="O55" s="109">
        <v>7</v>
      </c>
      <c r="P55" s="71">
        <v>20</v>
      </c>
      <c r="Q55" s="133">
        <v>4</v>
      </c>
      <c r="R55" s="134">
        <v>16</v>
      </c>
      <c r="S55" s="135" t="s">
        <v>36</v>
      </c>
      <c r="T55" s="136">
        <f t="shared" si="3"/>
        <v>18</v>
      </c>
    </row>
    <row r="56" s="18" customFormat="1" ht="20" customHeight="1" spans="1:20">
      <c r="A56" s="64"/>
      <c r="B56" s="52"/>
      <c r="C56" s="53" t="s">
        <v>39</v>
      </c>
      <c r="D56" s="53"/>
      <c r="E56" s="71">
        <f t="shared" ref="E56:G56" si="49">SUM(F56-(F56*15%))</f>
        <v>214.050047203781</v>
      </c>
      <c r="F56" s="71">
        <f t="shared" si="49"/>
        <v>251.823584945625</v>
      </c>
      <c r="G56" s="71">
        <f t="shared" si="49"/>
        <v>296.2630411125</v>
      </c>
      <c r="H56" s="71">
        <f t="shared" si="42"/>
        <v>348.54475425</v>
      </c>
      <c r="I56" s="90">
        <v>3.03082395</v>
      </c>
      <c r="J56" s="91">
        <v>0.01232</v>
      </c>
      <c r="K56" s="91">
        <v>0.011375</v>
      </c>
      <c r="L56" s="91">
        <v>0.0018</v>
      </c>
      <c r="M56" s="107"/>
      <c r="N56" s="107"/>
      <c r="O56" s="109">
        <v>7</v>
      </c>
      <c r="P56" s="71">
        <v>20</v>
      </c>
      <c r="Q56" s="133">
        <v>4</v>
      </c>
      <c r="R56" s="134">
        <v>17</v>
      </c>
      <c r="S56" s="135" t="s">
        <v>36</v>
      </c>
      <c r="T56" s="136">
        <f t="shared" si="3"/>
        <v>19</v>
      </c>
    </row>
    <row r="57" s="18" customFormat="1" ht="20" customHeight="1" spans="1:20">
      <c r="A57" s="64"/>
      <c r="B57" s="52"/>
      <c r="C57" s="53" t="s">
        <v>40</v>
      </c>
      <c r="D57" s="53"/>
      <c r="E57" s="71">
        <f t="shared" ref="E57:G57" si="50">SUM(F57-(F57*15%))</f>
        <v>244.62862537575</v>
      </c>
      <c r="F57" s="71">
        <f t="shared" si="50"/>
        <v>287.798382795</v>
      </c>
      <c r="G57" s="71">
        <f t="shared" si="50"/>
        <v>338.5863327</v>
      </c>
      <c r="H57" s="71">
        <f t="shared" si="42"/>
        <v>398.336862</v>
      </c>
      <c r="I57" s="90">
        <v>3.4637988</v>
      </c>
      <c r="J57" s="91">
        <v>0.01408</v>
      </c>
      <c r="K57" s="91">
        <v>0.013</v>
      </c>
      <c r="L57" s="91">
        <v>0.0018</v>
      </c>
      <c r="M57" s="107"/>
      <c r="N57" s="107"/>
      <c r="O57" s="109">
        <v>7</v>
      </c>
      <c r="P57" s="71">
        <v>20</v>
      </c>
      <c r="Q57" s="133">
        <v>4</v>
      </c>
      <c r="R57" s="134">
        <v>18</v>
      </c>
      <c r="S57" s="135" t="s">
        <v>36</v>
      </c>
      <c r="T57" s="136">
        <f t="shared" si="3"/>
        <v>20</v>
      </c>
    </row>
    <row r="58" s="20" customFormat="1" ht="20" customHeight="1" spans="1:235">
      <c r="A58" s="64"/>
      <c r="B58" s="49" t="s">
        <v>60</v>
      </c>
      <c r="C58" s="62" t="s">
        <v>61</v>
      </c>
      <c r="D58" s="62"/>
      <c r="E58" s="69">
        <f t="shared" ref="E58:G58" si="51">SUM(F58-(F58*15%))</f>
        <v>112.657919580938</v>
      </c>
      <c r="F58" s="69">
        <f t="shared" si="51"/>
        <v>132.53872891875</v>
      </c>
      <c r="G58" s="69">
        <f t="shared" si="51"/>
        <v>155.927916375</v>
      </c>
      <c r="H58" s="69">
        <f t="shared" si="42"/>
        <v>183.4446075</v>
      </c>
      <c r="I58" s="88">
        <v>1.5951705</v>
      </c>
      <c r="J58" s="89">
        <v>0.0065</v>
      </c>
      <c r="K58" s="89">
        <v>0.008</v>
      </c>
      <c r="L58" s="89">
        <v>0.0018</v>
      </c>
      <c r="M58" s="103"/>
      <c r="N58" s="103"/>
      <c r="O58" s="110">
        <v>7</v>
      </c>
      <c r="P58" s="106">
        <v>20</v>
      </c>
      <c r="Q58" s="129">
        <v>4</v>
      </c>
      <c r="R58" s="130">
        <v>9</v>
      </c>
      <c r="S58" s="131" t="s">
        <v>36</v>
      </c>
      <c r="T58" s="132">
        <f t="shared" si="3"/>
        <v>11</v>
      </c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</row>
    <row r="59" s="18" customFormat="1" ht="20" customHeight="1" spans="1:20">
      <c r="A59" s="64"/>
      <c r="B59" s="52"/>
      <c r="C59" s="53" t="s">
        <v>37</v>
      </c>
      <c r="D59" s="53"/>
      <c r="E59" s="70">
        <f t="shared" ref="E59:G59" si="52">SUM(F59-(F59*15%))</f>
        <v>123.923711539031</v>
      </c>
      <c r="F59" s="70">
        <f t="shared" si="52"/>
        <v>145.792601810625</v>
      </c>
      <c r="G59" s="70">
        <f t="shared" si="52"/>
        <v>171.5207080125</v>
      </c>
      <c r="H59" s="70">
        <f t="shared" si="42"/>
        <v>201.78906825</v>
      </c>
      <c r="I59" s="90">
        <v>1.75468755</v>
      </c>
      <c r="J59" s="91">
        <v>0.00715</v>
      </c>
      <c r="K59" s="91">
        <v>0.0088</v>
      </c>
      <c r="L59" s="91">
        <v>0.0018</v>
      </c>
      <c r="M59" s="107"/>
      <c r="N59" s="107"/>
      <c r="O59" s="109">
        <v>7</v>
      </c>
      <c r="P59" s="71">
        <v>20</v>
      </c>
      <c r="Q59" s="133">
        <v>4</v>
      </c>
      <c r="R59" s="134">
        <v>9</v>
      </c>
      <c r="S59" s="135" t="s">
        <v>36</v>
      </c>
      <c r="T59" s="136">
        <f t="shared" si="3"/>
        <v>11</v>
      </c>
    </row>
    <row r="60" s="18" customFormat="1" ht="20" customHeight="1" spans="1:20">
      <c r="A60" s="64"/>
      <c r="B60" s="52"/>
      <c r="C60" s="53" t="s">
        <v>38</v>
      </c>
      <c r="D60" s="53"/>
      <c r="E60" s="71">
        <f t="shared" ref="E60:G60" si="53">SUM(F60-(F60*15%))</f>
        <v>169.157419580937</v>
      </c>
      <c r="F60" s="71">
        <f t="shared" si="53"/>
        <v>199.00872891875</v>
      </c>
      <c r="G60" s="71">
        <f t="shared" si="53"/>
        <v>234.127916375</v>
      </c>
      <c r="H60" s="71">
        <f t="shared" si="42"/>
        <v>275.4446075</v>
      </c>
      <c r="I60" s="90">
        <v>2.3951705</v>
      </c>
      <c r="J60" s="91">
        <v>0.00975</v>
      </c>
      <c r="K60" s="91">
        <v>0.012</v>
      </c>
      <c r="L60" s="91">
        <v>0.0018</v>
      </c>
      <c r="M60" s="107"/>
      <c r="N60" s="107"/>
      <c r="O60" s="109">
        <v>7</v>
      </c>
      <c r="P60" s="71">
        <v>20</v>
      </c>
      <c r="Q60" s="133">
        <v>4</v>
      </c>
      <c r="R60" s="134">
        <v>16</v>
      </c>
      <c r="S60" s="135" t="s">
        <v>36</v>
      </c>
      <c r="T60" s="136">
        <f t="shared" si="3"/>
        <v>18</v>
      </c>
    </row>
    <row r="61" s="18" customFormat="1" ht="20" customHeight="1" spans="1:20">
      <c r="A61" s="64"/>
      <c r="B61" s="52"/>
      <c r="C61" s="53" t="s">
        <v>39</v>
      </c>
      <c r="D61" s="53"/>
      <c r="E61" s="71">
        <f t="shared" ref="E61:G61" si="54">SUM(F61-(F61*15%))</f>
        <v>197.151359266641</v>
      </c>
      <c r="F61" s="71">
        <f t="shared" si="54"/>
        <v>231.942775607813</v>
      </c>
      <c r="G61" s="71">
        <f t="shared" si="54"/>
        <v>272.87385365625</v>
      </c>
      <c r="H61" s="71">
        <f t="shared" si="42"/>
        <v>321.028063125</v>
      </c>
      <c r="I61" s="90">
        <v>2.791548375</v>
      </c>
      <c r="J61" s="91">
        <v>0.011375</v>
      </c>
      <c r="K61" s="91">
        <v>0.014</v>
      </c>
      <c r="L61" s="91">
        <v>0.0018</v>
      </c>
      <c r="M61" s="107"/>
      <c r="N61" s="107"/>
      <c r="O61" s="109">
        <v>7</v>
      </c>
      <c r="P61" s="71">
        <v>20</v>
      </c>
      <c r="Q61" s="133">
        <v>4</v>
      </c>
      <c r="R61" s="134">
        <v>17</v>
      </c>
      <c r="S61" s="135" t="s">
        <v>36</v>
      </c>
      <c r="T61" s="136">
        <f t="shared" si="3"/>
        <v>19</v>
      </c>
    </row>
    <row r="62" s="18" customFormat="1" ht="20" customHeight="1" spans="1:20">
      <c r="A62" s="64"/>
      <c r="B62" s="52"/>
      <c r="C62" s="53" t="s">
        <v>40</v>
      </c>
      <c r="D62" s="53"/>
      <c r="E62" s="71">
        <f t="shared" ref="E62:G62" si="55">SUM(F62-(F62*15%))</f>
        <v>225.315839161875</v>
      </c>
      <c r="F62" s="71">
        <f t="shared" si="55"/>
        <v>265.0774578375</v>
      </c>
      <c r="G62" s="71">
        <f t="shared" si="55"/>
        <v>311.85583275</v>
      </c>
      <c r="H62" s="71">
        <f t="shared" si="42"/>
        <v>366.889215</v>
      </c>
      <c r="I62" s="90">
        <v>3.190341</v>
      </c>
      <c r="J62" s="91">
        <v>0.013</v>
      </c>
      <c r="K62" s="91">
        <v>0.016</v>
      </c>
      <c r="L62" s="91">
        <v>0.0018</v>
      </c>
      <c r="M62" s="107"/>
      <c r="N62" s="107"/>
      <c r="O62" s="109">
        <v>7</v>
      </c>
      <c r="P62" s="71">
        <v>20</v>
      </c>
      <c r="Q62" s="133">
        <v>4</v>
      </c>
      <c r="R62" s="134">
        <v>18</v>
      </c>
      <c r="S62" s="135" t="s">
        <v>36</v>
      </c>
      <c r="T62" s="136">
        <f t="shared" si="3"/>
        <v>20</v>
      </c>
    </row>
    <row r="63" s="20" customFormat="1" ht="20" customHeight="1" spans="1:235">
      <c r="A63" s="64"/>
      <c r="B63" s="49" t="s">
        <v>62</v>
      </c>
      <c r="C63" s="62" t="s">
        <v>63</v>
      </c>
      <c r="D63" s="62"/>
      <c r="E63" s="69">
        <f t="shared" ref="E63:G63" si="56">SUM(F63-(F63*15%))</f>
        <v>131.32694625435</v>
      </c>
      <c r="F63" s="69">
        <f t="shared" si="56"/>
        <v>154.502289711</v>
      </c>
      <c r="G63" s="69">
        <f t="shared" si="56"/>
        <v>181.76739966</v>
      </c>
      <c r="H63" s="69">
        <f t="shared" si="42"/>
        <v>213.8439996</v>
      </c>
      <c r="I63" s="88">
        <v>1.85951304</v>
      </c>
      <c r="J63" s="89">
        <v>0.0065</v>
      </c>
      <c r="K63" s="89">
        <v>0.0065</v>
      </c>
      <c r="L63" s="89">
        <v>0.0018</v>
      </c>
      <c r="M63" s="103"/>
      <c r="N63" s="103"/>
      <c r="O63" s="110">
        <v>7</v>
      </c>
      <c r="P63" s="106">
        <v>20</v>
      </c>
      <c r="Q63" s="129">
        <v>4</v>
      </c>
      <c r="R63" s="130">
        <v>13</v>
      </c>
      <c r="S63" s="131" t="s">
        <v>36</v>
      </c>
      <c r="T63" s="132">
        <f t="shared" si="3"/>
        <v>15</v>
      </c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</row>
    <row r="64" s="18" customFormat="1" ht="20" customHeight="1" spans="1:20">
      <c r="A64" s="64"/>
      <c r="B64" s="52"/>
      <c r="C64" s="53" t="s">
        <v>37</v>
      </c>
      <c r="D64" s="53"/>
      <c r="E64" s="70">
        <f t="shared" ref="E64:G64" si="57">SUM(F64-(F64*15%))</f>
        <v>144.459640879785</v>
      </c>
      <c r="F64" s="70">
        <f t="shared" si="57"/>
        <v>169.9525186821</v>
      </c>
      <c r="G64" s="70">
        <f t="shared" si="57"/>
        <v>199.944139626</v>
      </c>
      <c r="H64" s="70">
        <f t="shared" si="42"/>
        <v>235.22839956</v>
      </c>
      <c r="I64" s="90">
        <v>2.045464344</v>
      </c>
      <c r="J64" s="91">
        <v>0.00715</v>
      </c>
      <c r="K64" s="91">
        <v>0.00715</v>
      </c>
      <c r="L64" s="91">
        <v>0.0018</v>
      </c>
      <c r="M64" s="107"/>
      <c r="N64" s="107"/>
      <c r="O64" s="109">
        <v>7</v>
      </c>
      <c r="P64" s="71">
        <v>20</v>
      </c>
      <c r="Q64" s="133">
        <v>4</v>
      </c>
      <c r="R64" s="134">
        <v>13</v>
      </c>
      <c r="S64" s="135" t="s">
        <v>36</v>
      </c>
      <c r="T64" s="136">
        <f t="shared" si="3"/>
        <v>15</v>
      </c>
    </row>
    <row r="65" s="18" customFormat="1" ht="20" customHeight="1" spans="1:20">
      <c r="A65" s="64"/>
      <c r="B65" s="52"/>
      <c r="C65" s="53" t="s">
        <v>38</v>
      </c>
      <c r="D65" s="53"/>
      <c r="E65" s="71">
        <f t="shared" ref="E65:G65" si="58">SUM(F65-(F65*15%))</f>
        <v>196.990419381525</v>
      </c>
      <c r="F65" s="71">
        <f t="shared" si="58"/>
        <v>231.7534345665</v>
      </c>
      <c r="G65" s="71">
        <f t="shared" si="58"/>
        <v>272.65109949</v>
      </c>
      <c r="H65" s="71">
        <f t="shared" si="42"/>
        <v>320.7659994</v>
      </c>
      <c r="I65" s="90">
        <v>2.78926956</v>
      </c>
      <c r="J65" s="91">
        <v>0.015</v>
      </c>
      <c r="K65" s="91">
        <v>0.00975</v>
      </c>
      <c r="L65" s="91">
        <v>0.0018</v>
      </c>
      <c r="M65" s="107"/>
      <c r="N65" s="107"/>
      <c r="O65" s="109">
        <v>7</v>
      </c>
      <c r="P65" s="71">
        <v>20</v>
      </c>
      <c r="Q65" s="133">
        <v>4</v>
      </c>
      <c r="R65" s="134">
        <v>18</v>
      </c>
      <c r="S65" s="135" t="s">
        <v>36</v>
      </c>
      <c r="T65" s="136">
        <f t="shared" si="3"/>
        <v>20</v>
      </c>
    </row>
    <row r="66" s="18" customFormat="1" ht="20" customHeight="1" spans="1:20">
      <c r="A66" s="64"/>
      <c r="B66" s="52"/>
      <c r="C66" s="53" t="s">
        <v>39</v>
      </c>
      <c r="D66" s="53"/>
      <c r="E66" s="71">
        <f t="shared" ref="E66:G66" si="59">SUM(F66-(F66*15%))</f>
        <v>229.822155945113</v>
      </c>
      <c r="F66" s="71">
        <f t="shared" si="59"/>
        <v>270.37900699425</v>
      </c>
      <c r="G66" s="71">
        <f t="shared" si="59"/>
        <v>318.092949405</v>
      </c>
      <c r="H66" s="71">
        <f t="shared" si="42"/>
        <v>374.2269993</v>
      </c>
      <c r="I66" s="90">
        <v>3.25414782</v>
      </c>
      <c r="J66" s="91">
        <v>0.016</v>
      </c>
      <c r="K66" s="91">
        <v>0.011375</v>
      </c>
      <c r="L66" s="91">
        <v>0.0018</v>
      </c>
      <c r="M66" s="107"/>
      <c r="N66" s="107"/>
      <c r="O66" s="109">
        <v>7</v>
      </c>
      <c r="P66" s="71">
        <v>20</v>
      </c>
      <c r="Q66" s="133">
        <v>4</v>
      </c>
      <c r="R66" s="134">
        <v>19</v>
      </c>
      <c r="S66" s="135" t="s">
        <v>36</v>
      </c>
      <c r="T66" s="136">
        <f t="shared" si="3"/>
        <v>21</v>
      </c>
    </row>
    <row r="67" s="18" customFormat="1" ht="20" customHeight="1" spans="1:20">
      <c r="A67" s="64"/>
      <c r="B67" s="52"/>
      <c r="C67" s="53" t="s">
        <v>40</v>
      </c>
      <c r="D67" s="53"/>
      <c r="E67" s="71">
        <f t="shared" ref="E67:G67" si="60">SUM(F67-(F67*15%))</f>
        <v>262.6538925087</v>
      </c>
      <c r="F67" s="71">
        <f t="shared" si="60"/>
        <v>309.004579422</v>
      </c>
      <c r="G67" s="71">
        <f t="shared" si="60"/>
        <v>363.53479932</v>
      </c>
      <c r="H67" s="71">
        <f t="shared" si="42"/>
        <v>427.6879992</v>
      </c>
      <c r="I67" s="90">
        <v>3.71902608</v>
      </c>
      <c r="J67" s="91">
        <v>0.017</v>
      </c>
      <c r="K67" s="91">
        <v>0.013</v>
      </c>
      <c r="L67" s="91">
        <v>0.0018</v>
      </c>
      <c r="M67" s="107"/>
      <c r="N67" s="107"/>
      <c r="O67" s="109">
        <v>7</v>
      </c>
      <c r="P67" s="71">
        <v>20</v>
      </c>
      <c r="Q67" s="133">
        <v>4</v>
      </c>
      <c r="R67" s="134">
        <v>20</v>
      </c>
      <c r="S67" s="135" t="s">
        <v>36</v>
      </c>
      <c r="T67" s="136">
        <f t="shared" si="3"/>
        <v>22</v>
      </c>
    </row>
    <row r="68" s="14" customFormat="1" ht="20" customHeight="1" spans="1:20">
      <c r="A68" s="64"/>
      <c r="B68" s="49" t="s">
        <v>64</v>
      </c>
      <c r="C68" s="55" t="s">
        <v>65</v>
      </c>
      <c r="D68" s="55"/>
      <c r="E68" s="69">
        <f t="shared" ref="E68:G68" si="61">SUM(F68-(F68*15%))</f>
        <v>131.970705794813</v>
      </c>
      <c r="F68" s="69">
        <f t="shared" si="61"/>
        <v>155.25965387625</v>
      </c>
      <c r="G68" s="69">
        <f t="shared" si="61"/>
        <v>182.658416325</v>
      </c>
      <c r="H68" s="69">
        <f t="shared" si="42"/>
        <v>214.8922545</v>
      </c>
      <c r="I68" s="88">
        <v>1.8686283</v>
      </c>
      <c r="J68" s="89">
        <v>0.0065</v>
      </c>
      <c r="K68" s="89">
        <v>0.0065</v>
      </c>
      <c r="L68" s="89">
        <v>0.0018</v>
      </c>
      <c r="M68" s="103"/>
      <c r="N68" s="104"/>
      <c r="O68" s="110">
        <v>7</v>
      </c>
      <c r="P68" s="106">
        <v>20</v>
      </c>
      <c r="Q68" s="129">
        <v>4</v>
      </c>
      <c r="R68" s="130">
        <v>13</v>
      </c>
      <c r="S68" s="131" t="s">
        <v>36</v>
      </c>
      <c r="T68" s="132">
        <f t="shared" si="3"/>
        <v>15</v>
      </c>
    </row>
    <row r="69" s="14" customFormat="1" ht="20" customHeight="1" spans="1:20">
      <c r="A69" s="64"/>
      <c r="B69" s="49"/>
      <c r="C69" s="137" t="s">
        <v>66</v>
      </c>
      <c r="D69" s="137"/>
      <c r="E69" s="71">
        <f t="shared" ref="E69:G69" si="62">SUM(F69-(F69*15%))</f>
        <v>145.167776374294</v>
      </c>
      <c r="F69" s="71">
        <f t="shared" si="62"/>
        <v>170.785619263875</v>
      </c>
      <c r="G69" s="71">
        <f t="shared" si="62"/>
        <v>200.9242579575</v>
      </c>
      <c r="H69" s="71">
        <f t="shared" si="42"/>
        <v>236.38147995</v>
      </c>
      <c r="I69" s="90">
        <v>2.05549113</v>
      </c>
      <c r="J69" s="91">
        <v>0.00715</v>
      </c>
      <c r="K69" s="91">
        <v>0.00715</v>
      </c>
      <c r="L69" s="91">
        <v>0.0018</v>
      </c>
      <c r="M69" s="153"/>
      <c r="N69" s="154"/>
      <c r="O69" s="155">
        <v>7</v>
      </c>
      <c r="P69" s="156">
        <v>20</v>
      </c>
      <c r="Q69" s="161">
        <v>4</v>
      </c>
      <c r="R69" s="134">
        <v>11</v>
      </c>
      <c r="S69" s="135" t="s">
        <v>36</v>
      </c>
      <c r="T69" s="136">
        <f t="shared" si="3"/>
        <v>13</v>
      </c>
    </row>
    <row r="70" s="14" customFormat="1" ht="20" customHeight="1" spans="1:20">
      <c r="A70" s="64"/>
      <c r="B70" s="49"/>
      <c r="C70" s="137" t="s">
        <v>67</v>
      </c>
      <c r="D70" s="137"/>
      <c r="E70" s="71">
        <f t="shared" ref="E70:G70" si="63">SUM(F70-(F70*15%))</f>
        <v>197.956058692219</v>
      </c>
      <c r="F70" s="71">
        <f t="shared" si="63"/>
        <v>232.889480814375</v>
      </c>
      <c r="G70" s="71">
        <f t="shared" si="63"/>
        <v>273.9876244875</v>
      </c>
      <c r="H70" s="71">
        <f t="shared" si="42"/>
        <v>322.33838175</v>
      </c>
      <c r="I70" s="90">
        <v>2.80294245</v>
      </c>
      <c r="J70" s="91">
        <v>0.00975</v>
      </c>
      <c r="K70" s="91">
        <v>0.00975</v>
      </c>
      <c r="L70" s="91">
        <v>0.0018</v>
      </c>
      <c r="M70" s="157"/>
      <c r="N70" s="158"/>
      <c r="O70" s="155">
        <v>7</v>
      </c>
      <c r="P70" s="156">
        <v>20</v>
      </c>
      <c r="Q70" s="161">
        <v>4</v>
      </c>
      <c r="R70" s="134">
        <v>18</v>
      </c>
      <c r="S70" s="135" t="s">
        <v>36</v>
      </c>
      <c r="T70" s="136">
        <f t="shared" si="3"/>
        <v>20</v>
      </c>
    </row>
    <row r="71" s="18" customFormat="1" ht="20" customHeight="1" spans="1:20">
      <c r="A71" s="64"/>
      <c r="B71" s="52"/>
      <c r="C71" s="53" t="s">
        <v>37</v>
      </c>
      <c r="D71" s="53"/>
      <c r="E71" s="71">
        <f t="shared" ref="E71:G71" si="64">SUM(F71-(F71*15%))</f>
        <v>145.4862125</v>
      </c>
      <c r="F71" s="71">
        <f t="shared" si="64"/>
        <v>171.16025</v>
      </c>
      <c r="G71" s="71">
        <f t="shared" si="64"/>
        <v>201.365</v>
      </c>
      <c r="H71" s="71">
        <f t="shared" si="42"/>
        <v>236.9</v>
      </c>
      <c r="I71" s="90">
        <v>2.06</v>
      </c>
      <c r="J71" s="91">
        <v>0.00715</v>
      </c>
      <c r="K71" s="91">
        <v>0.00715</v>
      </c>
      <c r="L71" s="91">
        <v>0.0018</v>
      </c>
      <c r="M71" s="107"/>
      <c r="N71" s="108"/>
      <c r="O71" s="109">
        <v>7</v>
      </c>
      <c r="P71" s="71">
        <v>20</v>
      </c>
      <c r="Q71" s="133">
        <v>4</v>
      </c>
      <c r="R71" s="134">
        <v>13</v>
      </c>
      <c r="S71" s="135" t="s">
        <v>36</v>
      </c>
      <c r="T71" s="136">
        <f t="shared" si="3"/>
        <v>15</v>
      </c>
    </row>
    <row r="72" s="18" customFormat="1" ht="20" customHeight="1" spans="1:20">
      <c r="A72" s="64"/>
      <c r="B72" s="52"/>
      <c r="C72" s="53" t="s">
        <v>38</v>
      </c>
      <c r="D72" s="53"/>
      <c r="E72" s="71">
        <f t="shared" ref="E72:G72" si="65">SUM(F72-(F72*15%))</f>
        <v>197.74825</v>
      </c>
      <c r="F72" s="71">
        <f t="shared" si="65"/>
        <v>232.645</v>
      </c>
      <c r="G72" s="71">
        <f t="shared" si="65"/>
        <v>273.7</v>
      </c>
      <c r="H72" s="71">
        <f t="shared" si="42"/>
        <v>322</v>
      </c>
      <c r="I72" s="90">
        <v>2.8</v>
      </c>
      <c r="J72" s="91">
        <v>0.00975</v>
      </c>
      <c r="K72" s="91">
        <v>0.00975</v>
      </c>
      <c r="L72" s="91">
        <v>0.0018</v>
      </c>
      <c r="M72" s="107"/>
      <c r="N72" s="108"/>
      <c r="O72" s="109">
        <v>7</v>
      </c>
      <c r="P72" s="71">
        <v>20</v>
      </c>
      <c r="Q72" s="133">
        <v>4</v>
      </c>
      <c r="R72" s="134">
        <v>18</v>
      </c>
      <c r="S72" s="135" t="s">
        <v>36</v>
      </c>
      <c r="T72" s="136">
        <f t="shared" si="3"/>
        <v>20</v>
      </c>
    </row>
    <row r="73" s="18" customFormat="1" ht="20" customHeight="1" spans="1:20">
      <c r="A73" s="64"/>
      <c r="B73" s="52"/>
      <c r="C73" s="53" t="s">
        <v>39</v>
      </c>
      <c r="D73" s="53"/>
      <c r="E73" s="71">
        <f t="shared" ref="E73:G73" si="66">SUM(F73-(F73*15%))</f>
        <v>160.31733125</v>
      </c>
      <c r="F73" s="71">
        <f t="shared" si="66"/>
        <v>188.608625</v>
      </c>
      <c r="G73" s="71">
        <f t="shared" si="66"/>
        <v>221.8925</v>
      </c>
      <c r="H73" s="71">
        <f t="shared" si="42"/>
        <v>261.05</v>
      </c>
      <c r="I73" s="90">
        <v>2.27</v>
      </c>
      <c r="J73" s="91">
        <v>0.011375</v>
      </c>
      <c r="K73" s="91">
        <v>0.011375</v>
      </c>
      <c r="L73" s="91">
        <v>0.0018</v>
      </c>
      <c r="M73" s="107"/>
      <c r="N73" s="108"/>
      <c r="O73" s="109">
        <v>7</v>
      </c>
      <c r="P73" s="71">
        <v>20</v>
      </c>
      <c r="Q73" s="133">
        <v>4</v>
      </c>
      <c r="R73" s="134">
        <v>19</v>
      </c>
      <c r="S73" s="135" t="s">
        <v>36</v>
      </c>
      <c r="T73" s="136">
        <f t="shared" si="3"/>
        <v>21</v>
      </c>
    </row>
    <row r="74" s="18" customFormat="1" ht="20" customHeight="1" spans="1:20">
      <c r="A74" s="64"/>
      <c r="B74" s="52"/>
      <c r="C74" s="53" t="s">
        <v>40</v>
      </c>
      <c r="D74" s="53"/>
      <c r="E74" s="71">
        <f t="shared" ref="E74:G74" si="67">SUM(F74-(F74*15%))</f>
        <v>264.1351625</v>
      </c>
      <c r="F74" s="71">
        <f t="shared" si="67"/>
        <v>310.74725</v>
      </c>
      <c r="G74" s="71">
        <f t="shared" si="67"/>
        <v>365.585</v>
      </c>
      <c r="H74" s="71">
        <f t="shared" si="42"/>
        <v>430.1</v>
      </c>
      <c r="I74" s="90">
        <v>3.74</v>
      </c>
      <c r="J74" s="91">
        <v>0.013</v>
      </c>
      <c r="K74" s="91">
        <v>0.013</v>
      </c>
      <c r="L74" s="91">
        <v>0.0018</v>
      </c>
      <c r="M74" s="107"/>
      <c r="N74" s="108"/>
      <c r="O74" s="109">
        <v>7</v>
      </c>
      <c r="P74" s="71">
        <v>20</v>
      </c>
      <c r="Q74" s="133">
        <v>4</v>
      </c>
      <c r="R74" s="134">
        <v>20</v>
      </c>
      <c r="S74" s="135" t="s">
        <v>36</v>
      </c>
      <c r="T74" s="136">
        <f t="shared" si="3"/>
        <v>22</v>
      </c>
    </row>
    <row r="75" s="14" customFormat="1" ht="20" customHeight="1" spans="1:20">
      <c r="A75" s="64"/>
      <c r="B75" s="49" t="s">
        <v>68</v>
      </c>
      <c r="C75" s="55" t="s">
        <v>69</v>
      </c>
      <c r="D75" s="55"/>
      <c r="E75" s="69">
        <f t="shared" ref="E75:G75" si="68">SUM(F75-(F75*15%))</f>
        <v>128.7519080925</v>
      </c>
      <c r="F75" s="69">
        <f t="shared" si="68"/>
        <v>151.47283305</v>
      </c>
      <c r="G75" s="69">
        <f t="shared" si="68"/>
        <v>178.203333</v>
      </c>
      <c r="H75" s="69">
        <f t="shared" si="42"/>
        <v>209.65098</v>
      </c>
      <c r="I75" s="88">
        <v>1.823052</v>
      </c>
      <c r="J75" s="89">
        <v>0.0065</v>
      </c>
      <c r="K75" s="89">
        <v>0.0065</v>
      </c>
      <c r="L75" s="89">
        <v>0.0018</v>
      </c>
      <c r="M75" s="103"/>
      <c r="N75" s="104"/>
      <c r="O75" s="110">
        <v>7</v>
      </c>
      <c r="P75" s="106">
        <v>20</v>
      </c>
      <c r="Q75" s="129">
        <v>4</v>
      </c>
      <c r="R75" s="130">
        <v>12</v>
      </c>
      <c r="S75" s="131" t="s">
        <v>36</v>
      </c>
      <c r="T75" s="132">
        <f t="shared" si="3"/>
        <v>14</v>
      </c>
    </row>
    <row r="76" s="18" customFormat="1" ht="20" customHeight="1" spans="1:20">
      <c r="A76" s="64"/>
      <c r="B76" s="52"/>
      <c r="C76" s="53" t="s">
        <v>37</v>
      </c>
      <c r="D76" s="53"/>
      <c r="E76" s="70">
        <f t="shared" ref="E76:G76" si="69">SUM(F76-(F76*15%))</f>
        <v>141.62709890175</v>
      </c>
      <c r="F76" s="70">
        <f t="shared" si="69"/>
        <v>166.620116355</v>
      </c>
      <c r="G76" s="70">
        <f t="shared" si="69"/>
        <v>196.0236663</v>
      </c>
      <c r="H76" s="70">
        <f t="shared" si="42"/>
        <v>230.616078</v>
      </c>
      <c r="I76" s="90">
        <v>2.0053572</v>
      </c>
      <c r="J76" s="91">
        <v>0.00715</v>
      </c>
      <c r="K76" s="91">
        <v>0.00715</v>
      </c>
      <c r="L76" s="91">
        <v>0.0018</v>
      </c>
      <c r="M76" s="107"/>
      <c r="N76" s="108"/>
      <c r="O76" s="109">
        <v>7</v>
      </c>
      <c r="P76" s="71">
        <v>20</v>
      </c>
      <c r="Q76" s="133">
        <v>4</v>
      </c>
      <c r="R76" s="134">
        <v>12</v>
      </c>
      <c r="S76" s="135" t="s">
        <v>36</v>
      </c>
      <c r="T76" s="136">
        <f t="shared" si="3"/>
        <v>14</v>
      </c>
    </row>
    <row r="77" s="18" customFormat="1" ht="20" customHeight="1" spans="1:20">
      <c r="A77" s="64"/>
      <c r="B77" s="52"/>
      <c r="C77" s="53" t="s">
        <v>38</v>
      </c>
      <c r="D77" s="53"/>
      <c r="E77" s="71">
        <f t="shared" ref="E77:G77" si="70">SUM(F77-(F77*15%))</f>
        <v>193.12786213875</v>
      </c>
      <c r="F77" s="71">
        <f t="shared" si="70"/>
        <v>227.209249575</v>
      </c>
      <c r="G77" s="71">
        <f t="shared" si="70"/>
        <v>267.3049995</v>
      </c>
      <c r="H77" s="71">
        <f t="shared" si="42"/>
        <v>314.47647</v>
      </c>
      <c r="I77" s="90">
        <v>2.734578</v>
      </c>
      <c r="J77" s="91">
        <v>0.00975</v>
      </c>
      <c r="K77" s="91">
        <v>0.00975</v>
      </c>
      <c r="L77" s="91">
        <v>0.0018</v>
      </c>
      <c r="M77" s="107"/>
      <c r="N77" s="108"/>
      <c r="O77" s="109">
        <v>7</v>
      </c>
      <c r="P77" s="71">
        <v>20</v>
      </c>
      <c r="Q77" s="133">
        <v>4</v>
      </c>
      <c r="R77" s="134">
        <v>17</v>
      </c>
      <c r="S77" s="135" t="s">
        <v>36</v>
      </c>
      <c r="T77" s="136">
        <f t="shared" ref="T77:T94" si="71">R77+2</f>
        <v>19</v>
      </c>
    </row>
    <row r="78" s="18" customFormat="1" ht="20" customHeight="1" spans="1:20">
      <c r="A78" s="64"/>
      <c r="B78" s="52"/>
      <c r="C78" s="53" t="s">
        <v>39</v>
      </c>
      <c r="D78" s="53"/>
      <c r="E78" s="71">
        <f t="shared" ref="E78:G78" si="72">SUM(F78-(F78*15%))</f>
        <v>225.315839161875</v>
      </c>
      <c r="F78" s="71">
        <f t="shared" si="72"/>
        <v>265.0774578375</v>
      </c>
      <c r="G78" s="71">
        <f t="shared" si="72"/>
        <v>311.85583275</v>
      </c>
      <c r="H78" s="71">
        <f t="shared" si="42"/>
        <v>366.889215</v>
      </c>
      <c r="I78" s="90">
        <v>3.190341</v>
      </c>
      <c r="J78" s="91">
        <v>0.011375</v>
      </c>
      <c r="K78" s="91">
        <v>0.011375</v>
      </c>
      <c r="L78" s="91">
        <v>0.0018</v>
      </c>
      <c r="M78" s="107"/>
      <c r="N78" s="108"/>
      <c r="O78" s="109">
        <v>7</v>
      </c>
      <c r="P78" s="71">
        <v>20</v>
      </c>
      <c r="Q78" s="133">
        <v>4</v>
      </c>
      <c r="R78" s="134">
        <v>18</v>
      </c>
      <c r="S78" s="135" t="s">
        <v>36</v>
      </c>
      <c r="T78" s="136">
        <f t="shared" si="71"/>
        <v>20</v>
      </c>
    </row>
    <row r="79" s="18" customFormat="1" ht="20" customHeight="1" spans="1:20">
      <c r="A79" s="64"/>
      <c r="B79" s="52"/>
      <c r="C79" s="53" t="s">
        <v>40</v>
      </c>
      <c r="D79" s="53"/>
      <c r="E79" s="71">
        <f t="shared" ref="E79:G79" si="73">SUM(F79-(F79*15%))</f>
        <v>257.503816185</v>
      </c>
      <c r="F79" s="71">
        <f t="shared" si="73"/>
        <v>302.9456661</v>
      </c>
      <c r="G79" s="71">
        <f t="shared" si="73"/>
        <v>356.406666</v>
      </c>
      <c r="H79" s="71">
        <f t="shared" si="42"/>
        <v>419.30196</v>
      </c>
      <c r="I79" s="90">
        <v>3.646104</v>
      </c>
      <c r="J79" s="91">
        <v>0.013</v>
      </c>
      <c r="K79" s="91">
        <v>0.013</v>
      </c>
      <c r="L79" s="91">
        <v>0.0018</v>
      </c>
      <c r="M79" s="107"/>
      <c r="N79" s="108"/>
      <c r="O79" s="109">
        <v>7</v>
      </c>
      <c r="P79" s="71">
        <v>20</v>
      </c>
      <c r="Q79" s="133">
        <v>4</v>
      </c>
      <c r="R79" s="134">
        <v>19</v>
      </c>
      <c r="S79" s="135" t="s">
        <v>36</v>
      </c>
      <c r="T79" s="136">
        <f t="shared" si="71"/>
        <v>21</v>
      </c>
    </row>
    <row r="80" s="20" customFormat="1" ht="20" customHeight="1" spans="1:235">
      <c r="A80" s="64"/>
      <c r="B80" s="49" t="s">
        <v>70</v>
      </c>
      <c r="C80" s="55" t="s">
        <v>71</v>
      </c>
      <c r="D80" s="55"/>
      <c r="E80" s="69">
        <f t="shared" ref="E80:G80" si="74">SUM(F80-(F80*15%))</f>
        <v>125.533110390188</v>
      </c>
      <c r="F80" s="69">
        <f t="shared" si="74"/>
        <v>147.68601222375</v>
      </c>
      <c r="G80" s="69">
        <f t="shared" si="74"/>
        <v>173.748249675</v>
      </c>
      <c r="H80" s="69">
        <f t="shared" si="42"/>
        <v>204.4097055</v>
      </c>
      <c r="I80" s="88">
        <v>1.7774757</v>
      </c>
      <c r="J80" s="89">
        <v>0.0065</v>
      </c>
      <c r="K80" s="89">
        <v>0.0065</v>
      </c>
      <c r="L80" s="89">
        <v>0.0018</v>
      </c>
      <c r="M80" s="103"/>
      <c r="N80" s="103"/>
      <c r="O80" s="110">
        <v>7</v>
      </c>
      <c r="P80" s="106">
        <v>20</v>
      </c>
      <c r="Q80" s="129">
        <v>4</v>
      </c>
      <c r="R80" s="130">
        <v>12</v>
      </c>
      <c r="S80" s="131" t="s">
        <v>36</v>
      </c>
      <c r="T80" s="132">
        <f t="shared" si="71"/>
        <v>14</v>
      </c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</row>
    <row r="81" s="18" customFormat="1" ht="20" customHeight="1" spans="1:20">
      <c r="A81" s="64"/>
      <c r="B81" s="52"/>
      <c r="C81" s="53" t="s">
        <v>37</v>
      </c>
      <c r="D81" s="53"/>
      <c r="E81" s="70">
        <f t="shared" ref="E81:G81" si="75">SUM(F81-(F81*15%))</f>
        <v>138.086421429206</v>
      </c>
      <c r="F81" s="70">
        <f t="shared" si="75"/>
        <v>162.454613446125</v>
      </c>
      <c r="G81" s="70">
        <f t="shared" si="75"/>
        <v>191.1230746425</v>
      </c>
      <c r="H81" s="70">
        <f t="shared" si="42"/>
        <v>224.85067605</v>
      </c>
      <c r="I81" s="90">
        <v>1.95522327</v>
      </c>
      <c r="J81" s="91">
        <v>0.00715</v>
      </c>
      <c r="K81" s="91">
        <v>0.00715</v>
      </c>
      <c r="L81" s="91">
        <v>0.0018</v>
      </c>
      <c r="M81" s="107"/>
      <c r="N81" s="107"/>
      <c r="O81" s="109">
        <v>7</v>
      </c>
      <c r="P81" s="71">
        <v>20</v>
      </c>
      <c r="Q81" s="133">
        <v>4</v>
      </c>
      <c r="R81" s="134">
        <v>12</v>
      </c>
      <c r="S81" s="135" t="s">
        <v>36</v>
      </c>
      <c r="T81" s="136">
        <f t="shared" si="71"/>
        <v>14</v>
      </c>
    </row>
    <row r="82" s="18" customFormat="1" ht="20" customHeight="1" spans="1:20">
      <c r="A82" s="64"/>
      <c r="B82" s="52"/>
      <c r="C82" s="53" t="s">
        <v>38</v>
      </c>
      <c r="D82" s="53"/>
      <c r="E82" s="71">
        <f t="shared" ref="E82:G82" si="76">SUM(F82-(F82*15%))</f>
        <v>188.299665585281</v>
      </c>
      <c r="F82" s="71">
        <f t="shared" si="76"/>
        <v>221.529018335625</v>
      </c>
      <c r="G82" s="71">
        <f t="shared" si="76"/>
        <v>260.6223745125</v>
      </c>
      <c r="H82" s="71">
        <f t="shared" si="42"/>
        <v>306.61455825</v>
      </c>
      <c r="I82" s="90">
        <v>2.66621355</v>
      </c>
      <c r="J82" s="91">
        <v>0.00975</v>
      </c>
      <c r="K82" s="91">
        <v>0.00975</v>
      </c>
      <c r="L82" s="91">
        <v>0.0018</v>
      </c>
      <c r="M82" s="107"/>
      <c r="N82" s="107"/>
      <c r="O82" s="109">
        <v>7</v>
      </c>
      <c r="P82" s="71">
        <v>20</v>
      </c>
      <c r="Q82" s="133">
        <v>4</v>
      </c>
      <c r="R82" s="134">
        <v>17</v>
      </c>
      <c r="S82" s="135" t="s">
        <v>36</v>
      </c>
      <c r="T82" s="136">
        <f t="shared" si="71"/>
        <v>19</v>
      </c>
    </row>
    <row r="83" s="18" customFormat="1" ht="20" customHeight="1" spans="1:20">
      <c r="A83" s="64"/>
      <c r="B83" s="52"/>
      <c r="C83" s="53" t="s">
        <v>39</v>
      </c>
      <c r="D83" s="53"/>
      <c r="E83" s="71">
        <f t="shared" ref="E83:G83" si="77">SUM(F83-(F83*15%))</f>
        <v>219.682943182828</v>
      </c>
      <c r="F83" s="71">
        <f t="shared" si="77"/>
        <v>258.450521391563</v>
      </c>
      <c r="G83" s="71">
        <f t="shared" si="77"/>
        <v>304.05943693125</v>
      </c>
      <c r="H83" s="71">
        <f t="shared" si="42"/>
        <v>357.716984625</v>
      </c>
      <c r="I83" s="90">
        <v>3.110582475</v>
      </c>
      <c r="J83" s="91">
        <v>0.011375</v>
      </c>
      <c r="K83" s="91">
        <v>0.011375</v>
      </c>
      <c r="L83" s="91">
        <v>0.0018</v>
      </c>
      <c r="M83" s="107"/>
      <c r="N83" s="107"/>
      <c r="O83" s="109">
        <v>7</v>
      </c>
      <c r="P83" s="71">
        <v>20</v>
      </c>
      <c r="Q83" s="133">
        <v>4</v>
      </c>
      <c r="R83" s="134">
        <v>18</v>
      </c>
      <c r="S83" s="135" t="s">
        <v>36</v>
      </c>
      <c r="T83" s="136">
        <f t="shared" si="71"/>
        <v>20</v>
      </c>
    </row>
    <row r="84" s="18" customFormat="1" ht="20" customHeight="1" spans="1:20">
      <c r="A84" s="64"/>
      <c r="B84" s="52"/>
      <c r="C84" s="53" t="s">
        <v>40</v>
      </c>
      <c r="D84" s="53"/>
      <c r="E84" s="71">
        <f t="shared" ref="E84:G84" si="78">SUM(F84-(F84*15%))</f>
        <v>251.066220780375</v>
      </c>
      <c r="F84" s="71">
        <f t="shared" si="78"/>
        <v>295.3720244475</v>
      </c>
      <c r="G84" s="71">
        <f t="shared" si="78"/>
        <v>347.49649935</v>
      </c>
      <c r="H84" s="71">
        <f t="shared" si="42"/>
        <v>408.819411</v>
      </c>
      <c r="I84" s="90">
        <v>3.5549514</v>
      </c>
      <c r="J84" s="91">
        <v>0.013</v>
      </c>
      <c r="K84" s="91">
        <v>0.013</v>
      </c>
      <c r="L84" s="91">
        <v>0.0018</v>
      </c>
      <c r="M84" s="107"/>
      <c r="N84" s="107"/>
      <c r="O84" s="109">
        <v>7</v>
      </c>
      <c r="P84" s="71">
        <v>20</v>
      </c>
      <c r="Q84" s="133">
        <v>4</v>
      </c>
      <c r="R84" s="134">
        <v>19</v>
      </c>
      <c r="S84" s="135" t="s">
        <v>36</v>
      </c>
      <c r="T84" s="136">
        <f t="shared" si="71"/>
        <v>21</v>
      </c>
    </row>
    <row r="85" s="14" customFormat="1" ht="20" customHeight="1" spans="1:20">
      <c r="A85" s="64"/>
      <c r="B85" s="49" t="s">
        <v>72</v>
      </c>
      <c r="C85" s="55" t="s">
        <v>73</v>
      </c>
      <c r="D85" s="55"/>
      <c r="E85" s="69">
        <f t="shared" ref="E85:G85" si="79">SUM(F85-(F85*15%))</f>
        <v>126.820629471112</v>
      </c>
      <c r="F85" s="69">
        <f t="shared" si="79"/>
        <v>149.20074055425</v>
      </c>
      <c r="G85" s="69">
        <f t="shared" si="79"/>
        <v>175.530283005</v>
      </c>
      <c r="H85" s="69">
        <f t="shared" si="42"/>
        <v>206.5062153</v>
      </c>
      <c r="I85" s="88">
        <v>1.79570622</v>
      </c>
      <c r="J85" s="89">
        <v>0.0065</v>
      </c>
      <c r="K85" s="89">
        <v>0.0065</v>
      </c>
      <c r="L85" s="89">
        <v>0.0018</v>
      </c>
      <c r="M85" s="103"/>
      <c r="N85" s="104"/>
      <c r="O85" s="110">
        <v>7</v>
      </c>
      <c r="P85" s="106">
        <v>20</v>
      </c>
      <c r="Q85" s="129">
        <v>4</v>
      </c>
      <c r="R85" s="130">
        <v>14</v>
      </c>
      <c r="S85" s="131" t="s">
        <v>36</v>
      </c>
      <c r="T85" s="132">
        <f t="shared" si="71"/>
        <v>16</v>
      </c>
    </row>
    <row r="86" s="18" customFormat="1" ht="20" customHeight="1" spans="1:20">
      <c r="A86" s="64"/>
      <c r="B86" s="52"/>
      <c r="C86" s="53" t="s">
        <v>37</v>
      </c>
      <c r="D86" s="53"/>
      <c r="E86" s="70">
        <f t="shared" ref="E86:G86" si="80">SUM(F86-(F86*15%))</f>
        <v>139.502692418224</v>
      </c>
      <c r="F86" s="70">
        <f t="shared" si="80"/>
        <v>164.120814609675</v>
      </c>
      <c r="G86" s="70">
        <f t="shared" si="80"/>
        <v>193.0833113055</v>
      </c>
      <c r="H86" s="70">
        <f t="shared" si="42"/>
        <v>227.15683683</v>
      </c>
      <c r="I86" s="90">
        <v>1.975276842</v>
      </c>
      <c r="J86" s="91">
        <v>0.00715</v>
      </c>
      <c r="K86" s="91">
        <v>0.00715</v>
      </c>
      <c r="L86" s="91">
        <v>0.0018</v>
      </c>
      <c r="M86" s="107"/>
      <c r="N86" s="108"/>
      <c r="O86" s="109">
        <v>7</v>
      </c>
      <c r="P86" s="71">
        <v>20</v>
      </c>
      <c r="Q86" s="133">
        <v>4</v>
      </c>
      <c r="R86" s="134">
        <v>14</v>
      </c>
      <c r="S86" s="135" t="s">
        <v>36</v>
      </c>
      <c r="T86" s="136">
        <f t="shared" si="71"/>
        <v>16</v>
      </c>
    </row>
    <row r="87" s="18" customFormat="1" ht="20" customHeight="1" spans="1:20">
      <c r="A87" s="64"/>
      <c r="B87" s="52"/>
      <c r="C87" s="53" t="s">
        <v>38</v>
      </c>
      <c r="D87" s="53"/>
      <c r="E87" s="71">
        <f t="shared" ref="E87:G87" si="81">SUM(F87-(F87*15%))</f>
        <v>190.230944206669</v>
      </c>
      <c r="F87" s="71">
        <f t="shared" si="81"/>
        <v>223.801110831375</v>
      </c>
      <c r="G87" s="71">
        <f t="shared" si="81"/>
        <v>263.2954245075</v>
      </c>
      <c r="H87" s="71">
        <f t="shared" si="42"/>
        <v>309.75932295</v>
      </c>
      <c r="I87" s="90">
        <v>2.69355933</v>
      </c>
      <c r="J87" s="91">
        <v>0.00975</v>
      </c>
      <c r="K87" s="91">
        <v>0.00975</v>
      </c>
      <c r="L87" s="91">
        <v>0.0018</v>
      </c>
      <c r="M87" s="107"/>
      <c r="N87" s="108"/>
      <c r="O87" s="109">
        <v>7</v>
      </c>
      <c r="P87" s="71">
        <v>20</v>
      </c>
      <c r="Q87" s="133">
        <v>4</v>
      </c>
      <c r="R87" s="134">
        <v>19</v>
      </c>
      <c r="S87" s="135" t="s">
        <v>36</v>
      </c>
      <c r="T87" s="136">
        <f t="shared" si="71"/>
        <v>21</v>
      </c>
    </row>
    <row r="88" s="18" customFormat="1" ht="20" customHeight="1" spans="1:20">
      <c r="A88" s="64"/>
      <c r="B88" s="52"/>
      <c r="C88" s="53" t="s">
        <v>74</v>
      </c>
      <c r="D88" s="53"/>
      <c r="E88" s="71">
        <f t="shared" ref="E88:G88" si="82">SUM(F88-(F88*15%))</f>
        <v>221.936101574447</v>
      </c>
      <c r="F88" s="71">
        <f t="shared" si="82"/>
        <v>261.101295969937</v>
      </c>
      <c r="G88" s="71">
        <f t="shared" si="82"/>
        <v>307.17799525875</v>
      </c>
      <c r="H88" s="71">
        <f t="shared" si="42"/>
        <v>361.385876775</v>
      </c>
      <c r="I88" s="90">
        <v>3.142485885</v>
      </c>
      <c r="J88" s="91">
        <v>0.011375</v>
      </c>
      <c r="K88" s="91">
        <v>0.011375</v>
      </c>
      <c r="L88" s="91">
        <v>0.0018</v>
      </c>
      <c r="M88" s="107"/>
      <c r="N88" s="108"/>
      <c r="O88" s="109">
        <v>7</v>
      </c>
      <c r="P88" s="71">
        <v>20</v>
      </c>
      <c r="Q88" s="133">
        <v>4</v>
      </c>
      <c r="R88" s="134">
        <v>20</v>
      </c>
      <c r="S88" s="135" t="s">
        <v>36</v>
      </c>
      <c r="T88" s="136">
        <f t="shared" si="71"/>
        <v>22</v>
      </c>
    </row>
    <row r="89" s="18" customFormat="1" ht="20" customHeight="1" spans="1:20">
      <c r="A89" s="64"/>
      <c r="B89" s="52"/>
      <c r="C89" s="53" t="s">
        <v>40</v>
      </c>
      <c r="D89" s="53"/>
      <c r="E89" s="71">
        <f t="shared" ref="E89:G89" si="83">SUM(F89-(F89*15%))</f>
        <v>253.641258942225</v>
      </c>
      <c r="F89" s="71">
        <f t="shared" si="83"/>
        <v>298.4014811085</v>
      </c>
      <c r="G89" s="71">
        <f t="shared" si="83"/>
        <v>351.06056601</v>
      </c>
      <c r="H89" s="71">
        <f t="shared" si="42"/>
        <v>413.0124306</v>
      </c>
      <c r="I89" s="90">
        <v>3.59141244</v>
      </c>
      <c r="J89" s="91">
        <v>0.013</v>
      </c>
      <c r="K89" s="91">
        <v>0.013</v>
      </c>
      <c r="L89" s="91">
        <v>0.0018</v>
      </c>
      <c r="M89" s="107"/>
      <c r="N89" s="108"/>
      <c r="O89" s="109">
        <v>7</v>
      </c>
      <c r="P89" s="71">
        <v>20</v>
      </c>
      <c r="Q89" s="133">
        <v>4</v>
      </c>
      <c r="R89" s="134">
        <v>21</v>
      </c>
      <c r="S89" s="135" t="s">
        <v>36</v>
      </c>
      <c r="T89" s="136">
        <f t="shared" si="71"/>
        <v>23</v>
      </c>
    </row>
    <row r="90" s="14" customFormat="1" ht="20" customHeight="1" spans="1:20">
      <c r="A90" s="64"/>
      <c r="B90" s="49" t="s">
        <v>75</v>
      </c>
      <c r="C90" s="55" t="s">
        <v>76</v>
      </c>
      <c r="D90" s="55"/>
      <c r="E90" s="69">
        <f t="shared" ref="E90:G90" si="84">SUM(F90-(F90*15%))</f>
        <v>131.970705794813</v>
      </c>
      <c r="F90" s="69">
        <f t="shared" si="84"/>
        <v>155.25965387625</v>
      </c>
      <c r="G90" s="69">
        <f t="shared" si="84"/>
        <v>182.658416325</v>
      </c>
      <c r="H90" s="69">
        <f t="shared" si="42"/>
        <v>214.8922545</v>
      </c>
      <c r="I90" s="88">
        <v>1.8686283</v>
      </c>
      <c r="J90" s="89">
        <v>0.0065</v>
      </c>
      <c r="K90" s="89">
        <v>0.0065</v>
      </c>
      <c r="L90" s="89">
        <v>0.0018</v>
      </c>
      <c r="M90" s="103"/>
      <c r="N90" s="104"/>
      <c r="O90" s="110">
        <v>7</v>
      </c>
      <c r="P90" s="106">
        <v>20</v>
      </c>
      <c r="Q90" s="129">
        <v>4</v>
      </c>
      <c r="R90" s="130">
        <v>13</v>
      </c>
      <c r="S90" s="131" t="s">
        <v>36</v>
      </c>
      <c r="T90" s="132">
        <f t="shared" si="71"/>
        <v>15</v>
      </c>
    </row>
    <row r="91" s="18" customFormat="1" ht="20" customHeight="1" spans="1:20">
      <c r="A91" s="64"/>
      <c r="B91" s="52"/>
      <c r="C91" s="53" t="s">
        <v>37</v>
      </c>
      <c r="D91" s="53"/>
      <c r="E91" s="70">
        <f t="shared" ref="E91:G91" si="85">SUM(F91-(F91*15%))</f>
        <v>145.167776374294</v>
      </c>
      <c r="F91" s="70">
        <f t="shared" si="85"/>
        <v>170.785619263875</v>
      </c>
      <c r="G91" s="70">
        <f t="shared" si="85"/>
        <v>200.9242579575</v>
      </c>
      <c r="H91" s="70">
        <f t="shared" si="42"/>
        <v>236.38147995</v>
      </c>
      <c r="I91" s="90">
        <v>2.05549113</v>
      </c>
      <c r="J91" s="91">
        <v>0.00715</v>
      </c>
      <c r="K91" s="91">
        <v>0.00715</v>
      </c>
      <c r="L91" s="91">
        <v>0.0018</v>
      </c>
      <c r="M91" s="107"/>
      <c r="N91" s="108"/>
      <c r="O91" s="109">
        <v>7</v>
      </c>
      <c r="P91" s="71">
        <v>20</v>
      </c>
      <c r="Q91" s="133">
        <v>4</v>
      </c>
      <c r="R91" s="134">
        <v>13</v>
      </c>
      <c r="S91" s="135" t="s">
        <v>36</v>
      </c>
      <c r="T91" s="136">
        <f t="shared" si="71"/>
        <v>15</v>
      </c>
    </row>
    <row r="92" s="18" customFormat="1" ht="20" customHeight="1" spans="1:20">
      <c r="A92" s="64"/>
      <c r="B92" s="52"/>
      <c r="C92" s="53" t="s">
        <v>38</v>
      </c>
      <c r="D92" s="53"/>
      <c r="E92" s="71">
        <f t="shared" ref="E92:G92" si="86">SUM(F92-(F92*15%))</f>
        <v>197.956058692219</v>
      </c>
      <c r="F92" s="71">
        <f t="shared" si="86"/>
        <v>232.889480814375</v>
      </c>
      <c r="G92" s="71">
        <f t="shared" si="86"/>
        <v>273.9876244875</v>
      </c>
      <c r="H92" s="71">
        <f t="shared" si="42"/>
        <v>322.33838175</v>
      </c>
      <c r="I92" s="90">
        <v>2.80294245</v>
      </c>
      <c r="J92" s="91">
        <v>0.00975</v>
      </c>
      <c r="K92" s="91">
        <v>0.00975</v>
      </c>
      <c r="L92" s="91">
        <v>0.0018</v>
      </c>
      <c r="M92" s="107"/>
      <c r="N92" s="108"/>
      <c r="O92" s="109">
        <v>7</v>
      </c>
      <c r="P92" s="71">
        <v>20</v>
      </c>
      <c r="Q92" s="133">
        <v>4</v>
      </c>
      <c r="R92" s="134">
        <v>18</v>
      </c>
      <c r="S92" s="135" t="s">
        <v>36</v>
      </c>
      <c r="T92" s="136">
        <f t="shared" si="71"/>
        <v>20</v>
      </c>
    </row>
    <row r="93" s="18" customFormat="1" ht="20" customHeight="1" spans="1:20">
      <c r="A93" s="64"/>
      <c r="B93" s="52"/>
      <c r="C93" s="53" t="s">
        <v>39</v>
      </c>
      <c r="D93" s="53"/>
      <c r="E93" s="71">
        <f t="shared" ref="E93:G93" si="87">SUM(F93-(F93*15%))</f>
        <v>230.948735140922</v>
      </c>
      <c r="F93" s="71">
        <f t="shared" si="87"/>
        <v>271.704394283438</v>
      </c>
      <c r="G93" s="71">
        <f t="shared" si="87"/>
        <v>319.65222856875</v>
      </c>
      <c r="H93" s="71">
        <f t="shared" si="42"/>
        <v>376.061445375</v>
      </c>
      <c r="I93" s="90">
        <v>3.270099525</v>
      </c>
      <c r="J93" s="91">
        <v>0.011375</v>
      </c>
      <c r="K93" s="91">
        <v>0.011375</v>
      </c>
      <c r="L93" s="91">
        <v>0.0018</v>
      </c>
      <c r="M93" s="107"/>
      <c r="N93" s="108"/>
      <c r="O93" s="109">
        <v>7</v>
      </c>
      <c r="P93" s="71">
        <v>20</v>
      </c>
      <c r="Q93" s="133">
        <v>4</v>
      </c>
      <c r="R93" s="134">
        <v>19</v>
      </c>
      <c r="S93" s="135" t="s">
        <v>36</v>
      </c>
      <c r="T93" s="136">
        <f t="shared" si="71"/>
        <v>21</v>
      </c>
    </row>
    <row r="94" s="18" customFormat="1" ht="20" customHeight="1" spans="1:20">
      <c r="A94" s="64"/>
      <c r="B94" s="52"/>
      <c r="C94" s="53" t="s">
        <v>40</v>
      </c>
      <c r="D94" s="53"/>
      <c r="E94" s="71">
        <f t="shared" ref="E94:G94" si="88">SUM(F94-(F94*15%))</f>
        <v>263.941411589625</v>
      </c>
      <c r="F94" s="71">
        <f t="shared" si="88"/>
        <v>310.5193077525</v>
      </c>
      <c r="G94" s="71">
        <f t="shared" si="88"/>
        <v>365.31683265</v>
      </c>
      <c r="H94" s="71">
        <f t="shared" si="42"/>
        <v>429.784509</v>
      </c>
      <c r="I94" s="90">
        <v>3.7372566</v>
      </c>
      <c r="J94" s="91">
        <v>0.013</v>
      </c>
      <c r="K94" s="91">
        <v>0.013</v>
      </c>
      <c r="L94" s="91">
        <v>0.0018</v>
      </c>
      <c r="M94" s="107"/>
      <c r="N94" s="108"/>
      <c r="O94" s="109">
        <v>7</v>
      </c>
      <c r="P94" s="71">
        <v>20</v>
      </c>
      <c r="Q94" s="133">
        <v>4</v>
      </c>
      <c r="R94" s="134">
        <v>20</v>
      </c>
      <c r="S94" s="135" t="s">
        <v>36</v>
      </c>
      <c r="T94" s="136">
        <f t="shared" si="71"/>
        <v>22</v>
      </c>
    </row>
    <row r="95" s="20" customFormat="1" ht="20" customHeight="1" spans="1:235">
      <c r="A95" s="64"/>
      <c r="B95" s="49" t="s">
        <v>77</v>
      </c>
      <c r="C95" s="55" t="s">
        <v>78</v>
      </c>
      <c r="D95" s="55"/>
      <c r="E95" s="69">
        <f t="shared" ref="E95:G95" si="89">SUM(F95-(F95*15%))</f>
        <v>119.095514985563</v>
      </c>
      <c r="F95" s="69">
        <f t="shared" si="89"/>
        <v>140.11237057125</v>
      </c>
      <c r="G95" s="69">
        <f t="shared" si="89"/>
        <v>164.838083025</v>
      </c>
      <c r="H95" s="69">
        <f t="shared" si="42"/>
        <v>193.9271565</v>
      </c>
      <c r="I95" s="88">
        <v>1.6863231</v>
      </c>
      <c r="J95" s="89">
        <v>0.0065</v>
      </c>
      <c r="K95" s="89">
        <v>0.0065</v>
      </c>
      <c r="L95" s="89">
        <v>0.0018</v>
      </c>
      <c r="M95" s="103"/>
      <c r="N95" s="104"/>
      <c r="O95" s="110">
        <v>7</v>
      </c>
      <c r="P95" s="106">
        <v>20</v>
      </c>
      <c r="Q95" s="129">
        <v>4</v>
      </c>
      <c r="R95" s="130">
        <v>10</v>
      </c>
      <c r="S95" s="131" t="s">
        <v>36</v>
      </c>
      <c r="T95" s="132">
        <f t="shared" ref="T95:T119" si="90">R95+2</f>
        <v>12</v>
      </c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</row>
    <row r="96" s="18" customFormat="1" ht="20" customHeight="1" spans="1:20">
      <c r="A96" s="64"/>
      <c r="B96" s="52"/>
      <c r="C96" s="53" t="s">
        <v>37</v>
      </c>
      <c r="D96" s="53"/>
      <c r="E96" s="70">
        <f t="shared" ref="E96:G96" si="91">SUM(F96-(F96*15%))</f>
        <v>131.005066484119</v>
      </c>
      <c r="F96" s="70">
        <f t="shared" si="91"/>
        <v>154.123607628375</v>
      </c>
      <c r="G96" s="70">
        <f t="shared" si="91"/>
        <v>181.3218913275</v>
      </c>
      <c r="H96" s="70">
        <f t="shared" si="42"/>
        <v>213.31987215</v>
      </c>
      <c r="I96" s="90">
        <v>1.85495541</v>
      </c>
      <c r="J96" s="91">
        <v>0.00715</v>
      </c>
      <c r="K96" s="91">
        <v>0.00715</v>
      </c>
      <c r="L96" s="91">
        <v>0.0018</v>
      </c>
      <c r="M96" s="107"/>
      <c r="N96" s="108"/>
      <c r="O96" s="109">
        <v>7</v>
      </c>
      <c r="P96" s="71">
        <v>20</v>
      </c>
      <c r="Q96" s="133">
        <v>4</v>
      </c>
      <c r="R96" s="134">
        <v>10</v>
      </c>
      <c r="S96" s="135" t="s">
        <v>36</v>
      </c>
      <c r="T96" s="136">
        <f t="shared" si="90"/>
        <v>12</v>
      </c>
    </row>
    <row r="97" s="18" customFormat="1" ht="20" customHeight="1" spans="1:20">
      <c r="A97" s="64"/>
      <c r="B97" s="52"/>
      <c r="C97" s="53" t="s">
        <v>38</v>
      </c>
      <c r="D97" s="53"/>
      <c r="E97" s="71">
        <f t="shared" ref="E97:G97" si="92">SUM(F97-(F97*15%))</f>
        <v>178.643272478344</v>
      </c>
      <c r="F97" s="71">
        <f t="shared" si="92"/>
        <v>210.168555856875</v>
      </c>
      <c r="G97" s="71">
        <f t="shared" si="92"/>
        <v>247.2571245375</v>
      </c>
      <c r="H97" s="71">
        <f t="shared" si="42"/>
        <v>290.89073475</v>
      </c>
      <c r="I97" s="90">
        <v>2.52948465</v>
      </c>
      <c r="J97" s="91">
        <v>0.00975</v>
      </c>
      <c r="K97" s="91">
        <v>0.00975</v>
      </c>
      <c r="L97" s="91">
        <v>0.0018</v>
      </c>
      <c r="M97" s="107"/>
      <c r="N97" s="108"/>
      <c r="O97" s="109">
        <v>7</v>
      </c>
      <c r="P97" s="71">
        <v>20</v>
      </c>
      <c r="Q97" s="133">
        <v>4</v>
      </c>
      <c r="R97" s="134">
        <v>15</v>
      </c>
      <c r="S97" s="135" t="s">
        <v>36</v>
      </c>
      <c r="T97" s="136">
        <f t="shared" si="90"/>
        <v>17</v>
      </c>
    </row>
    <row r="98" s="18" customFormat="1" ht="20" customHeight="1" spans="1:20">
      <c r="A98" s="64"/>
      <c r="B98" s="52"/>
      <c r="C98" s="53" t="s">
        <v>39</v>
      </c>
      <c r="D98" s="53"/>
      <c r="E98" s="71">
        <f t="shared" ref="E98:G98" si="93">SUM(F98-(F98*15%))</f>
        <v>208.417151224734</v>
      </c>
      <c r="F98" s="71">
        <f t="shared" si="93"/>
        <v>245.196648499687</v>
      </c>
      <c r="G98" s="71">
        <f t="shared" si="93"/>
        <v>288.46664529375</v>
      </c>
      <c r="H98" s="71">
        <f t="shared" si="42"/>
        <v>339.372523875</v>
      </c>
      <c r="I98" s="90">
        <v>2.951065425</v>
      </c>
      <c r="J98" s="91">
        <v>0.011375</v>
      </c>
      <c r="K98" s="91">
        <v>0.011375</v>
      </c>
      <c r="L98" s="91">
        <v>0.0018</v>
      </c>
      <c r="M98" s="107"/>
      <c r="N98" s="108"/>
      <c r="O98" s="109">
        <v>7</v>
      </c>
      <c r="P98" s="71">
        <v>20</v>
      </c>
      <c r="Q98" s="133">
        <v>4</v>
      </c>
      <c r="R98" s="134">
        <v>16</v>
      </c>
      <c r="S98" s="135" t="s">
        <v>36</v>
      </c>
      <c r="T98" s="136">
        <f t="shared" si="90"/>
        <v>18</v>
      </c>
    </row>
    <row r="99" s="18" customFormat="1" ht="20" customHeight="1" spans="1:20">
      <c r="A99" s="138"/>
      <c r="B99" s="52"/>
      <c r="C99" s="53" t="s">
        <v>40</v>
      </c>
      <c r="D99" s="53"/>
      <c r="E99" s="71">
        <f t="shared" ref="E99:G99" si="94">SUM(F99-(F99*15%))</f>
        <v>238.191029971125</v>
      </c>
      <c r="F99" s="71">
        <f t="shared" si="94"/>
        <v>280.2247411425</v>
      </c>
      <c r="G99" s="71">
        <f t="shared" si="94"/>
        <v>329.67616605</v>
      </c>
      <c r="H99" s="71">
        <f t="shared" si="42"/>
        <v>387.854313</v>
      </c>
      <c r="I99" s="90">
        <v>3.3726462</v>
      </c>
      <c r="J99" s="91">
        <v>0.013</v>
      </c>
      <c r="K99" s="91">
        <v>0.013</v>
      </c>
      <c r="L99" s="91">
        <v>0.0018</v>
      </c>
      <c r="M99" s="107"/>
      <c r="N99" s="108"/>
      <c r="O99" s="109">
        <v>7</v>
      </c>
      <c r="P99" s="71">
        <v>20</v>
      </c>
      <c r="Q99" s="133">
        <v>4</v>
      </c>
      <c r="R99" s="134">
        <v>17</v>
      </c>
      <c r="S99" s="135" t="s">
        <v>36</v>
      </c>
      <c r="T99" s="136">
        <f t="shared" si="90"/>
        <v>19</v>
      </c>
    </row>
    <row r="100" s="20" customFormat="1" ht="20" customHeight="1" spans="1:20">
      <c r="A100" s="64" t="s">
        <v>79</v>
      </c>
      <c r="B100" s="139" t="s">
        <v>80</v>
      </c>
      <c r="C100" s="140" t="s">
        <v>81</v>
      </c>
      <c r="D100" s="140"/>
      <c r="E100" s="69">
        <f t="shared" ref="E100:E106" si="95">SUM(F100-(F100*6%))</f>
        <v>121.530344</v>
      </c>
      <c r="F100" s="69">
        <f t="shared" ref="F100:F106" si="96">SUM(G100-(G100*6%))</f>
        <v>129.2876</v>
      </c>
      <c r="G100" s="69">
        <f t="shared" ref="G100:G106" si="97">SUM(H100-(H100*8%))</f>
        <v>137.54</v>
      </c>
      <c r="H100" s="69">
        <f t="shared" si="42"/>
        <v>149.5</v>
      </c>
      <c r="I100" s="88">
        <v>1.3</v>
      </c>
      <c r="J100" s="89">
        <v>0.0065</v>
      </c>
      <c r="K100" s="151">
        <v>0.0065</v>
      </c>
      <c r="L100" s="89">
        <v>0.0018</v>
      </c>
      <c r="M100" s="103"/>
      <c r="N100" s="104"/>
      <c r="O100" s="105">
        <v>7</v>
      </c>
      <c r="P100" s="106">
        <v>20</v>
      </c>
      <c r="Q100" s="129"/>
      <c r="R100" s="130">
        <v>7</v>
      </c>
      <c r="S100" s="131" t="s">
        <v>36</v>
      </c>
      <c r="T100" s="132">
        <f t="shared" si="90"/>
        <v>9</v>
      </c>
    </row>
    <row r="101" s="20" customFormat="1" ht="20" customHeight="1" spans="1:20">
      <c r="A101" s="64"/>
      <c r="B101" s="141"/>
      <c r="C101" s="142" t="s">
        <v>37</v>
      </c>
      <c r="D101" s="142"/>
      <c r="E101" s="70">
        <f t="shared" si="95"/>
        <v>133.6833784</v>
      </c>
      <c r="F101" s="70">
        <f t="shared" si="96"/>
        <v>142.21636</v>
      </c>
      <c r="G101" s="70">
        <f t="shared" si="97"/>
        <v>151.294</v>
      </c>
      <c r="H101" s="70">
        <f t="shared" si="42"/>
        <v>164.45</v>
      </c>
      <c r="I101" s="90">
        <v>1.43</v>
      </c>
      <c r="J101" s="91">
        <v>0.00715</v>
      </c>
      <c r="K101" s="91">
        <v>0.00715</v>
      </c>
      <c r="L101" s="91">
        <v>0.0018</v>
      </c>
      <c r="M101" s="107"/>
      <c r="N101" s="108"/>
      <c r="O101" s="109">
        <v>7</v>
      </c>
      <c r="P101" s="71">
        <v>20</v>
      </c>
      <c r="Q101" s="133"/>
      <c r="R101" s="134">
        <v>7</v>
      </c>
      <c r="S101" s="135" t="s">
        <v>36</v>
      </c>
      <c r="T101" s="136">
        <f t="shared" si="90"/>
        <v>9</v>
      </c>
    </row>
    <row r="102" s="20" customFormat="1" ht="20" customHeight="1" spans="1:20">
      <c r="A102" s="64"/>
      <c r="B102" s="141"/>
      <c r="C102" s="142" t="s">
        <v>38</v>
      </c>
      <c r="D102" s="142"/>
      <c r="E102" s="71">
        <f t="shared" si="95"/>
        <v>280.45464</v>
      </c>
      <c r="F102" s="71">
        <f t="shared" si="96"/>
        <v>298.356</v>
      </c>
      <c r="G102" s="71">
        <f t="shared" si="97"/>
        <v>317.4</v>
      </c>
      <c r="H102" s="71">
        <f t="shared" si="42"/>
        <v>345</v>
      </c>
      <c r="I102" s="90">
        <v>3</v>
      </c>
      <c r="J102" s="91">
        <v>0.00975</v>
      </c>
      <c r="K102" s="91">
        <v>0.00975</v>
      </c>
      <c r="L102" s="91">
        <v>0.0018</v>
      </c>
      <c r="M102" s="107"/>
      <c r="N102" s="108"/>
      <c r="O102" s="109">
        <v>7</v>
      </c>
      <c r="P102" s="71">
        <v>20</v>
      </c>
      <c r="Q102" s="133"/>
      <c r="R102" s="134">
        <v>11</v>
      </c>
      <c r="S102" s="135" t="s">
        <v>36</v>
      </c>
      <c r="T102" s="136">
        <f t="shared" si="90"/>
        <v>13</v>
      </c>
    </row>
    <row r="103" s="20" customFormat="1" ht="20" customHeight="1" spans="1:20">
      <c r="A103" s="64"/>
      <c r="B103" s="141"/>
      <c r="C103" s="142" t="s">
        <v>39</v>
      </c>
      <c r="D103" s="142"/>
      <c r="E103" s="71">
        <f t="shared" si="95"/>
        <v>303.82586</v>
      </c>
      <c r="F103" s="71">
        <f t="shared" si="96"/>
        <v>323.219</v>
      </c>
      <c r="G103" s="71">
        <f t="shared" si="97"/>
        <v>343.85</v>
      </c>
      <c r="H103" s="71">
        <f t="shared" si="42"/>
        <v>373.75</v>
      </c>
      <c r="I103" s="90">
        <v>3.25</v>
      </c>
      <c r="J103" s="91">
        <v>0.011375</v>
      </c>
      <c r="K103" s="91">
        <v>0.011375</v>
      </c>
      <c r="L103" s="91">
        <v>0.0018</v>
      </c>
      <c r="M103" s="107"/>
      <c r="N103" s="108"/>
      <c r="O103" s="109">
        <v>7</v>
      </c>
      <c r="P103" s="71">
        <v>20</v>
      </c>
      <c r="Q103" s="133"/>
      <c r="R103" s="134">
        <v>12</v>
      </c>
      <c r="S103" s="135" t="s">
        <v>36</v>
      </c>
      <c r="T103" s="136">
        <f t="shared" si="90"/>
        <v>14</v>
      </c>
    </row>
    <row r="104" s="20" customFormat="1" ht="20" customHeight="1" spans="1:20">
      <c r="A104" s="64"/>
      <c r="B104" s="141"/>
      <c r="C104" s="142" t="s">
        <v>40</v>
      </c>
      <c r="D104" s="142"/>
      <c r="E104" s="71">
        <f t="shared" si="95"/>
        <v>327.19708</v>
      </c>
      <c r="F104" s="71">
        <f t="shared" si="96"/>
        <v>348.082</v>
      </c>
      <c r="G104" s="71">
        <f t="shared" si="97"/>
        <v>370.3</v>
      </c>
      <c r="H104" s="71">
        <f t="shared" si="42"/>
        <v>402.5</v>
      </c>
      <c r="I104" s="90">
        <v>3.5</v>
      </c>
      <c r="J104" s="91">
        <v>0.013</v>
      </c>
      <c r="K104" s="91">
        <v>0.013</v>
      </c>
      <c r="L104" s="91">
        <v>0.0018</v>
      </c>
      <c r="M104" s="107"/>
      <c r="N104" s="108"/>
      <c r="O104" s="109">
        <v>7</v>
      </c>
      <c r="P104" s="71">
        <v>20</v>
      </c>
      <c r="Q104" s="133"/>
      <c r="R104" s="134">
        <v>13</v>
      </c>
      <c r="S104" s="135" t="s">
        <v>36</v>
      </c>
      <c r="T104" s="136">
        <f t="shared" si="90"/>
        <v>15</v>
      </c>
    </row>
    <row r="105" s="20" customFormat="1" ht="20" customHeight="1" spans="1:20">
      <c r="A105" s="64"/>
      <c r="B105" s="139" t="s">
        <v>82</v>
      </c>
      <c r="C105" s="140" t="s">
        <v>83</v>
      </c>
      <c r="D105" s="140"/>
      <c r="E105" s="69">
        <f t="shared" si="95"/>
        <v>121.530344</v>
      </c>
      <c r="F105" s="69">
        <f t="shared" si="96"/>
        <v>129.2876</v>
      </c>
      <c r="G105" s="69">
        <f t="shared" si="97"/>
        <v>137.54</v>
      </c>
      <c r="H105" s="69">
        <f t="shared" si="42"/>
        <v>149.5</v>
      </c>
      <c r="I105" s="152">
        <v>1.3</v>
      </c>
      <c r="J105" s="89">
        <v>0.0065</v>
      </c>
      <c r="K105" s="151">
        <v>0.008</v>
      </c>
      <c r="L105" s="89">
        <v>0.0018</v>
      </c>
      <c r="M105" s="103"/>
      <c r="N105" s="104"/>
      <c r="O105" s="110">
        <v>7</v>
      </c>
      <c r="P105" s="106">
        <v>20</v>
      </c>
      <c r="Q105" s="129"/>
      <c r="R105" s="130">
        <v>6</v>
      </c>
      <c r="S105" s="131" t="s">
        <v>36</v>
      </c>
      <c r="T105" s="132">
        <f t="shared" si="90"/>
        <v>8</v>
      </c>
    </row>
    <row r="106" s="20" customFormat="1" ht="20" customHeight="1" spans="1:20">
      <c r="A106" s="64"/>
      <c r="B106" s="141"/>
      <c r="C106" s="142" t="s">
        <v>37</v>
      </c>
      <c r="D106" s="142"/>
      <c r="E106" s="70">
        <f t="shared" si="95"/>
        <v>133.6833784</v>
      </c>
      <c r="F106" s="70">
        <f t="shared" si="96"/>
        <v>142.21636</v>
      </c>
      <c r="G106" s="70">
        <f t="shared" si="97"/>
        <v>151.294</v>
      </c>
      <c r="H106" s="70">
        <f t="shared" si="42"/>
        <v>164.45</v>
      </c>
      <c r="I106" s="90">
        <v>1.43</v>
      </c>
      <c r="J106" s="91">
        <v>0.00715</v>
      </c>
      <c r="K106" s="91">
        <v>0.0088</v>
      </c>
      <c r="L106" s="91">
        <v>0.0018</v>
      </c>
      <c r="M106" s="107"/>
      <c r="N106" s="108"/>
      <c r="O106" s="109">
        <v>7</v>
      </c>
      <c r="P106" s="71">
        <v>20</v>
      </c>
      <c r="Q106" s="133"/>
      <c r="R106" s="134">
        <v>6</v>
      </c>
      <c r="S106" s="135" t="s">
        <v>36</v>
      </c>
      <c r="T106" s="136">
        <f t="shared" si="90"/>
        <v>8</v>
      </c>
    </row>
    <row r="107" s="20" customFormat="1" ht="20" customHeight="1" spans="1:20">
      <c r="A107" s="64"/>
      <c r="B107" s="141"/>
      <c r="C107" s="142" t="s">
        <v>38</v>
      </c>
      <c r="D107" s="142"/>
      <c r="E107" s="71">
        <f t="shared" ref="E107:G107" si="98">SUM(F107-(F107*2%))</f>
        <v>381.18276</v>
      </c>
      <c r="F107" s="71">
        <f t="shared" si="98"/>
        <v>388.962</v>
      </c>
      <c r="G107" s="71">
        <f t="shared" si="98"/>
        <v>396.9</v>
      </c>
      <c r="H107" s="71">
        <f t="shared" ref="H107:H109" si="99">SUM((I107+(I107*35%))*100)</f>
        <v>405</v>
      </c>
      <c r="I107" s="90">
        <v>3</v>
      </c>
      <c r="J107" s="91">
        <v>0.00975</v>
      </c>
      <c r="K107" s="91">
        <v>0.012</v>
      </c>
      <c r="L107" s="91">
        <v>0.0018</v>
      </c>
      <c r="M107" s="107"/>
      <c r="N107" s="108"/>
      <c r="O107" s="109">
        <v>7</v>
      </c>
      <c r="P107" s="71">
        <v>20</v>
      </c>
      <c r="Q107" s="133"/>
      <c r="R107" s="134">
        <v>16</v>
      </c>
      <c r="S107" s="135" t="s">
        <v>36</v>
      </c>
      <c r="T107" s="136">
        <f t="shared" si="90"/>
        <v>18</v>
      </c>
    </row>
    <row r="108" s="20" customFormat="1" ht="20" customHeight="1" spans="1:20">
      <c r="A108" s="64"/>
      <c r="B108" s="141"/>
      <c r="C108" s="142" t="s">
        <v>39</v>
      </c>
      <c r="D108" s="142"/>
      <c r="E108" s="71">
        <f t="shared" ref="E108:G108" si="100">SUM(F108-(F108*2%))</f>
        <v>412.94799</v>
      </c>
      <c r="F108" s="71">
        <f t="shared" si="100"/>
        <v>421.3755</v>
      </c>
      <c r="G108" s="71">
        <f t="shared" si="100"/>
        <v>429.975</v>
      </c>
      <c r="H108" s="71">
        <f t="shared" si="99"/>
        <v>438.75</v>
      </c>
      <c r="I108" s="90">
        <v>3.25</v>
      </c>
      <c r="J108" s="91">
        <v>0.011375</v>
      </c>
      <c r="K108" s="91">
        <v>0.014</v>
      </c>
      <c r="L108" s="91">
        <v>0.0018</v>
      </c>
      <c r="M108" s="107"/>
      <c r="N108" s="108"/>
      <c r="O108" s="109">
        <v>7</v>
      </c>
      <c r="P108" s="71">
        <v>20</v>
      </c>
      <c r="Q108" s="133"/>
      <c r="R108" s="134">
        <v>16</v>
      </c>
      <c r="S108" s="135" t="s">
        <v>36</v>
      </c>
      <c r="T108" s="136">
        <f t="shared" si="90"/>
        <v>18</v>
      </c>
    </row>
    <row r="109" s="20" customFormat="1" ht="20" customHeight="1" spans="1:20">
      <c r="A109" s="64"/>
      <c r="B109" s="141"/>
      <c r="C109" s="142" t="s">
        <v>40</v>
      </c>
      <c r="D109" s="142"/>
      <c r="E109" s="71">
        <f t="shared" ref="E109:G109" si="101">SUM(F109-(F109*2%))</f>
        <v>444.71322</v>
      </c>
      <c r="F109" s="71">
        <f t="shared" si="101"/>
        <v>453.789</v>
      </c>
      <c r="G109" s="71">
        <f t="shared" si="101"/>
        <v>463.05</v>
      </c>
      <c r="H109" s="71">
        <f t="shared" si="99"/>
        <v>472.5</v>
      </c>
      <c r="I109" s="90">
        <v>3.5</v>
      </c>
      <c r="J109" s="91">
        <v>0.013</v>
      </c>
      <c r="K109" s="91">
        <v>0.016</v>
      </c>
      <c r="L109" s="91">
        <v>0.0018</v>
      </c>
      <c r="M109" s="107"/>
      <c r="N109" s="108"/>
      <c r="O109" s="109">
        <v>7</v>
      </c>
      <c r="P109" s="71">
        <v>20</v>
      </c>
      <c r="Q109" s="133"/>
      <c r="R109" s="134">
        <v>16</v>
      </c>
      <c r="S109" s="135" t="s">
        <v>36</v>
      </c>
      <c r="T109" s="136">
        <f t="shared" si="90"/>
        <v>18</v>
      </c>
    </row>
    <row r="110" s="20" customFormat="1" ht="20" customHeight="1" spans="1:20">
      <c r="A110" s="64"/>
      <c r="B110" s="139" t="s">
        <v>84</v>
      </c>
      <c r="C110" s="140" t="s">
        <v>85</v>
      </c>
      <c r="D110" s="140"/>
      <c r="E110" s="69">
        <f t="shared" ref="E110:E119" si="102">SUM(F110-(F110*6%))</f>
        <v>112.181856</v>
      </c>
      <c r="F110" s="69">
        <f t="shared" ref="F110:F119" si="103">SUM(G110-(G110*6%))</f>
        <v>119.3424</v>
      </c>
      <c r="G110" s="69">
        <f t="shared" ref="G110:G114" si="104">SUM(H110-(H110*8%))</f>
        <v>126.96</v>
      </c>
      <c r="H110" s="69">
        <f t="shared" ref="H110:H119" si="105">SUM((I110+(I110*15%))*100)</f>
        <v>138</v>
      </c>
      <c r="I110" s="152">
        <v>1.2</v>
      </c>
      <c r="J110" s="151">
        <v>0.0065</v>
      </c>
      <c r="K110" s="151">
        <v>0.0065</v>
      </c>
      <c r="L110" s="89">
        <v>0.0018</v>
      </c>
      <c r="M110" s="103"/>
      <c r="N110" s="104"/>
      <c r="O110" s="105">
        <v>7</v>
      </c>
      <c r="P110" s="106">
        <v>20</v>
      </c>
      <c r="Q110" s="129"/>
      <c r="R110" s="130">
        <v>6</v>
      </c>
      <c r="S110" s="131" t="s">
        <v>36</v>
      </c>
      <c r="T110" s="132">
        <f t="shared" si="90"/>
        <v>8</v>
      </c>
    </row>
    <row r="111" s="20" customFormat="1" ht="20" customHeight="1" spans="1:20">
      <c r="A111" s="64"/>
      <c r="B111" s="141"/>
      <c r="C111" s="142" t="s">
        <v>37</v>
      </c>
      <c r="D111" s="142"/>
      <c r="E111" s="70">
        <f t="shared" si="102"/>
        <v>122.4651928</v>
      </c>
      <c r="F111" s="70">
        <f t="shared" si="103"/>
        <v>130.28212</v>
      </c>
      <c r="G111" s="70">
        <f t="shared" si="104"/>
        <v>138.598</v>
      </c>
      <c r="H111" s="70">
        <f t="shared" si="105"/>
        <v>150.65</v>
      </c>
      <c r="I111" s="90">
        <v>1.31</v>
      </c>
      <c r="J111" s="91">
        <v>0.00715</v>
      </c>
      <c r="K111" s="91">
        <v>0.00715</v>
      </c>
      <c r="L111" s="91">
        <v>0.0018</v>
      </c>
      <c r="M111" s="107"/>
      <c r="N111" s="108"/>
      <c r="O111" s="109">
        <v>7</v>
      </c>
      <c r="P111" s="71">
        <v>20</v>
      </c>
      <c r="Q111" s="133"/>
      <c r="R111" s="134">
        <v>5</v>
      </c>
      <c r="S111" s="135" t="s">
        <v>36</v>
      </c>
      <c r="T111" s="136">
        <f t="shared" si="90"/>
        <v>7</v>
      </c>
    </row>
    <row r="112" s="20" customFormat="1" ht="20" customHeight="1" spans="1:20">
      <c r="A112" s="64"/>
      <c r="B112" s="141"/>
      <c r="C112" s="142" t="s">
        <v>38</v>
      </c>
      <c r="D112" s="142"/>
      <c r="E112" s="71">
        <f t="shared" si="102"/>
        <v>271.106152</v>
      </c>
      <c r="F112" s="71">
        <f t="shared" si="103"/>
        <v>288.4108</v>
      </c>
      <c r="G112" s="71">
        <f t="shared" si="104"/>
        <v>306.82</v>
      </c>
      <c r="H112" s="71">
        <f t="shared" si="105"/>
        <v>333.5</v>
      </c>
      <c r="I112" s="90">
        <v>2.9</v>
      </c>
      <c r="J112" s="91">
        <v>0.00975</v>
      </c>
      <c r="K112" s="91">
        <v>0.00975</v>
      </c>
      <c r="L112" s="91">
        <v>0.0018</v>
      </c>
      <c r="M112" s="107"/>
      <c r="N112" s="108"/>
      <c r="O112" s="109">
        <v>7</v>
      </c>
      <c r="P112" s="71">
        <v>20</v>
      </c>
      <c r="Q112" s="133"/>
      <c r="R112" s="134">
        <v>10</v>
      </c>
      <c r="S112" s="135" t="s">
        <v>36</v>
      </c>
      <c r="T112" s="136">
        <f t="shared" si="90"/>
        <v>12</v>
      </c>
    </row>
    <row r="113" s="20" customFormat="1" ht="20" customHeight="1" spans="1:20">
      <c r="A113" s="64"/>
      <c r="B113" s="141"/>
      <c r="C113" s="142" t="s">
        <v>39</v>
      </c>
      <c r="D113" s="142"/>
      <c r="E113" s="71">
        <f t="shared" si="102"/>
        <v>280.45464</v>
      </c>
      <c r="F113" s="71">
        <f t="shared" si="103"/>
        <v>298.356</v>
      </c>
      <c r="G113" s="71">
        <f t="shared" si="104"/>
        <v>317.4</v>
      </c>
      <c r="H113" s="71">
        <f t="shared" si="105"/>
        <v>345</v>
      </c>
      <c r="I113" s="90">
        <v>3</v>
      </c>
      <c r="J113" s="91">
        <v>0.011375</v>
      </c>
      <c r="K113" s="91">
        <v>0.011375</v>
      </c>
      <c r="L113" s="91">
        <v>0.0018</v>
      </c>
      <c r="M113" s="107"/>
      <c r="N113" s="108"/>
      <c r="O113" s="109">
        <v>7</v>
      </c>
      <c r="P113" s="71">
        <v>20</v>
      </c>
      <c r="Q113" s="133"/>
      <c r="R113" s="134">
        <v>11</v>
      </c>
      <c r="S113" s="135" t="s">
        <v>36</v>
      </c>
      <c r="T113" s="136">
        <f t="shared" si="90"/>
        <v>13</v>
      </c>
    </row>
    <row r="114" s="20" customFormat="1" ht="20" customHeight="1" spans="1:20">
      <c r="A114" s="64"/>
      <c r="B114" s="141"/>
      <c r="C114" s="142" t="s">
        <v>40</v>
      </c>
      <c r="D114" s="142"/>
      <c r="E114" s="71">
        <f t="shared" si="102"/>
        <v>289.803128</v>
      </c>
      <c r="F114" s="71">
        <f t="shared" si="103"/>
        <v>308.3012</v>
      </c>
      <c r="G114" s="71">
        <f t="shared" si="104"/>
        <v>327.98</v>
      </c>
      <c r="H114" s="71">
        <f t="shared" si="105"/>
        <v>356.5</v>
      </c>
      <c r="I114" s="90">
        <v>3.1</v>
      </c>
      <c r="J114" s="91">
        <v>0.013</v>
      </c>
      <c r="K114" s="91">
        <v>0.013</v>
      </c>
      <c r="L114" s="91">
        <v>0.0018</v>
      </c>
      <c r="M114" s="107"/>
      <c r="N114" s="108"/>
      <c r="O114" s="109">
        <v>7</v>
      </c>
      <c r="P114" s="71">
        <v>20</v>
      </c>
      <c r="Q114" s="133"/>
      <c r="R114" s="134">
        <v>12</v>
      </c>
      <c r="S114" s="135" t="s">
        <v>36</v>
      </c>
      <c r="T114" s="136">
        <f t="shared" si="90"/>
        <v>14</v>
      </c>
    </row>
    <row r="115" s="20" customFormat="1" ht="20" customHeight="1" spans="1:20">
      <c r="A115" s="64"/>
      <c r="B115" s="139" t="s">
        <v>86</v>
      </c>
      <c r="C115" s="143" t="s">
        <v>87</v>
      </c>
      <c r="D115" s="144"/>
      <c r="E115" s="69">
        <f t="shared" si="102"/>
        <v>93.48488</v>
      </c>
      <c r="F115" s="69">
        <f t="shared" si="103"/>
        <v>99.452</v>
      </c>
      <c r="G115" s="69">
        <f t="shared" ref="E115:G115" si="106">SUM(H115-(H115*8%))</f>
        <v>105.8</v>
      </c>
      <c r="H115" s="69">
        <f t="shared" si="105"/>
        <v>115</v>
      </c>
      <c r="I115" s="152">
        <v>1</v>
      </c>
      <c r="J115" s="151">
        <v>0.0065</v>
      </c>
      <c r="K115" s="151">
        <v>0.0065</v>
      </c>
      <c r="L115" s="89">
        <v>0.0018</v>
      </c>
      <c r="M115" s="103"/>
      <c r="N115" s="104"/>
      <c r="O115" s="105">
        <v>7</v>
      </c>
      <c r="P115" s="106">
        <v>20</v>
      </c>
      <c r="Q115" s="129"/>
      <c r="R115" s="130">
        <v>3</v>
      </c>
      <c r="S115" s="131" t="s">
        <v>36</v>
      </c>
      <c r="T115" s="132">
        <f t="shared" si="90"/>
        <v>5</v>
      </c>
    </row>
    <row r="116" s="20" customFormat="1" ht="20" customHeight="1" spans="1:20">
      <c r="A116" s="64"/>
      <c r="B116" s="141"/>
      <c r="C116" s="142" t="s">
        <v>37</v>
      </c>
      <c r="D116" s="142"/>
      <c r="E116" s="70">
        <f t="shared" si="102"/>
        <v>122.4651928</v>
      </c>
      <c r="F116" s="70">
        <f t="shared" si="103"/>
        <v>130.28212</v>
      </c>
      <c r="G116" s="70">
        <f t="shared" ref="E116:G116" si="107">SUM(H116-(H116*8%))</f>
        <v>138.598</v>
      </c>
      <c r="H116" s="70">
        <f t="shared" si="105"/>
        <v>150.65</v>
      </c>
      <c r="I116" s="90">
        <v>1.31</v>
      </c>
      <c r="J116" s="91">
        <v>0.00715</v>
      </c>
      <c r="K116" s="91">
        <v>0.00715</v>
      </c>
      <c r="L116" s="91">
        <v>0.0018</v>
      </c>
      <c r="M116" s="107"/>
      <c r="N116" s="108"/>
      <c r="O116" s="109">
        <v>7</v>
      </c>
      <c r="P116" s="71">
        <v>20</v>
      </c>
      <c r="Q116" s="133"/>
      <c r="R116" s="134">
        <v>3</v>
      </c>
      <c r="S116" s="135" t="s">
        <v>36</v>
      </c>
      <c r="T116" s="136">
        <f t="shared" si="90"/>
        <v>5</v>
      </c>
    </row>
    <row r="117" s="20" customFormat="1" ht="20" customHeight="1" spans="1:20">
      <c r="A117" s="64"/>
      <c r="B117" s="141"/>
      <c r="C117" s="142" t="s">
        <v>38</v>
      </c>
      <c r="D117" s="142"/>
      <c r="E117" s="71">
        <f t="shared" si="102"/>
        <v>271.106152</v>
      </c>
      <c r="F117" s="71">
        <f t="shared" si="103"/>
        <v>288.4108</v>
      </c>
      <c r="G117" s="71">
        <f t="shared" ref="E117:G117" si="108">SUM(H117-(H117*8%))</f>
        <v>306.82</v>
      </c>
      <c r="H117" s="71">
        <f t="shared" si="105"/>
        <v>333.5</v>
      </c>
      <c r="I117" s="90">
        <v>2.9</v>
      </c>
      <c r="J117" s="91">
        <v>0.015</v>
      </c>
      <c r="K117" s="91">
        <v>0.00975</v>
      </c>
      <c r="L117" s="91">
        <v>0.0018</v>
      </c>
      <c r="M117" s="107"/>
      <c r="N117" s="108"/>
      <c r="O117" s="109">
        <v>7</v>
      </c>
      <c r="P117" s="71">
        <v>20</v>
      </c>
      <c r="Q117" s="133"/>
      <c r="R117" s="134">
        <v>8</v>
      </c>
      <c r="S117" s="135" t="s">
        <v>36</v>
      </c>
      <c r="T117" s="136">
        <f t="shared" si="90"/>
        <v>10</v>
      </c>
    </row>
    <row r="118" s="20" customFormat="1" ht="20" customHeight="1" spans="1:20">
      <c r="A118" s="64"/>
      <c r="B118" s="141"/>
      <c r="C118" s="142" t="s">
        <v>39</v>
      </c>
      <c r="D118" s="142"/>
      <c r="E118" s="71">
        <f t="shared" si="102"/>
        <v>280.45464</v>
      </c>
      <c r="F118" s="71">
        <f t="shared" si="103"/>
        <v>298.356</v>
      </c>
      <c r="G118" s="71">
        <f t="shared" ref="E118:G118" si="109">SUM(H118-(H118*8%))</f>
        <v>317.4</v>
      </c>
      <c r="H118" s="71">
        <f t="shared" si="105"/>
        <v>345</v>
      </c>
      <c r="I118" s="90">
        <v>3</v>
      </c>
      <c r="J118" s="91">
        <v>0.016</v>
      </c>
      <c r="K118" s="91">
        <v>0.011375</v>
      </c>
      <c r="L118" s="91">
        <v>0.0018</v>
      </c>
      <c r="M118" s="107"/>
      <c r="N118" s="108"/>
      <c r="O118" s="109">
        <v>7</v>
      </c>
      <c r="P118" s="71">
        <v>20</v>
      </c>
      <c r="Q118" s="133"/>
      <c r="R118" s="134">
        <v>9</v>
      </c>
      <c r="S118" s="135" t="s">
        <v>36</v>
      </c>
      <c r="T118" s="136">
        <f t="shared" si="90"/>
        <v>11</v>
      </c>
    </row>
    <row r="119" s="20" customFormat="1" ht="20" customHeight="1" spans="1:20">
      <c r="A119" s="64"/>
      <c r="B119" s="141"/>
      <c r="C119" s="142" t="s">
        <v>40</v>
      </c>
      <c r="D119" s="142"/>
      <c r="E119" s="71">
        <f t="shared" si="102"/>
        <v>289.803128</v>
      </c>
      <c r="F119" s="71">
        <f t="shared" si="103"/>
        <v>308.3012</v>
      </c>
      <c r="G119" s="71">
        <f t="shared" ref="E119:G119" si="110">SUM(H119-(H119*8%))</f>
        <v>327.98</v>
      </c>
      <c r="H119" s="71">
        <f t="shared" si="105"/>
        <v>356.5</v>
      </c>
      <c r="I119" s="90">
        <v>3.1</v>
      </c>
      <c r="J119" s="91">
        <v>0.017</v>
      </c>
      <c r="K119" s="91">
        <v>0.013</v>
      </c>
      <c r="L119" s="91">
        <v>0.0018</v>
      </c>
      <c r="M119" s="107"/>
      <c r="N119" s="108"/>
      <c r="O119" s="109">
        <v>7</v>
      </c>
      <c r="P119" s="71">
        <v>20</v>
      </c>
      <c r="Q119" s="133"/>
      <c r="R119" s="134">
        <v>10</v>
      </c>
      <c r="S119" s="135" t="s">
        <v>36</v>
      </c>
      <c r="T119" s="136">
        <f t="shared" si="90"/>
        <v>12</v>
      </c>
    </row>
    <row r="120" s="20" customFormat="1" ht="20" customHeight="1" spans="1:20">
      <c r="A120" s="48" t="s">
        <v>88</v>
      </c>
      <c r="B120" s="49" t="s">
        <v>89</v>
      </c>
      <c r="C120" s="145" t="s">
        <v>90</v>
      </c>
      <c r="D120" s="146"/>
      <c r="E120" s="69">
        <f t="shared" ref="E120:E146" si="111">SUM(F120-(F120*6%))</f>
        <v>121.530344</v>
      </c>
      <c r="F120" s="69">
        <f t="shared" ref="F120:F146" si="112">SUM(G120-(G120*6%))</f>
        <v>129.2876</v>
      </c>
      <c r="G120" s="69">
        <f t="shared" ref="E120:G120" si="113">SUM(H120-(H120*8%))</f>
        <v>137.54</v>
      </c>
      <c r="H120" s="69">
        <f t="shared" ref="H120:H146" si="114">SUM((I120+(I120*15%))*100)</f>
        <v>149.5</v>
      </c>
      <c r="I120" s="152">
        <v>1.3</v>
      </c>
      <c r="J120" s="151">
        <v>0.0065</v>
      </c>
      <c r="K120" s="151">
        <v>0.0065</v>
      </c>
      <c r="L120" s="89">
        <v>0.0018</v>
      </c>
      <c r="M120" s="103"/>
      <c r="N120" s="104"/>
      <c r="O120" s="110">
        <v>7</v>
      </c>
      <c r="P120" s="106">
        <v>20</v>
      </c>
      <c r="Q120" s="129"/>
      <c r="R120" s="130">
        <v>3</v>
      </c>
      <c r="S120" s="131" t="s">
        <v>36</v>
      </c>
      <c r="T120" s="132">
        <f t="shared" ref="T120:T140" si="115">R120+2</f>
        <v>5</v>
      </c>
    </row>
    <row r="121" s="20" customFormat="1" ht="20" customHeight="1" spans="1:20">
      <c r="A121" s="51"/>
      <c r="B121" s="52"/>
      <c r="C121" s="147" t="s">
        <v>37</v>
      </c>
      <c r="D121" s="53"/>
      <c r="E121" s="70">
        <f t="shared" si="111"/>
        <v>133.6833784</v>
      </c>
      <c r="F121" s="70">
        <f t="shared" si="112"/>
        <v>142.21636</v>
      </c>
      <c r="G121" s="70">
        <f t="shared" ref="E121:G121" si="116">SUM(H121-(H121*8%))</f>
        <v>151.294</v>
      </c>
      <c r="H121" s="70">
        <f t="shared" si="114"/>
        <v>164.45</v>
      </c>
      <c r="I121" s="90">
        <f>SUM(I120+(I120*10%))</f>
        <v>1.43</v>
      </c>
      <c r="J121" s="91">
        <v>0.00715</v>
      </c>
      <c r="K121" s="91">
        <v>0.00715</v>
      </c>
      <c r="L121" s="91">
        <v>0.0018</v>
      </c>
      <c r="M121" s="107"/>
      <c r="N121" s="108"/>
      <c r="O121" s="109">
        <v>7</v>
      </c>
      <c r="P121" s="71">
        <v>20</v>
      </c>
      <c r="Q121" s="133"/>
      <c r="R121" s="134">
        <v>3</v>
      </c>
      <c r="S121" s="135" t="s">
        <v>36</v>
      </c>
      <c r="T121" s="136">
        <f t="shared" si="115"/>
        <v>5</v>
      </c>
    </row>
    <row r="122" s="20" customFormat="1" ht="20" customHeight="1" spans="1:20">
      <c r="A122" s="51"/>
      <c r="B122" s="52"/>
      <c r="C122" s="147" t="s">
        <v>38</v>
      </c>
      <c r="D122" s="53"/>
      <c r="E122" s="71">
        <f t="shared" si="111"/>
        <v>196.318248</v>
      </c>
      <c r="F122" s="71">
        <f t="shared" si="112"/>
        <v>208.8492</v>
      </c>
      <c r="G122" s="71">
        <f t="shared" ref="E122:G122" si="117">SUM(H122-(H122*8%))</f>
        <v>222.18</v>
      </c>
      <c r="H122" s="71">
        <f t="shared" si="114"/>
        <v>241.5</v>
      </c>
      <c r="I122" s="90">
        <f>IF(SUM(I120+(I120*50%))&lt;I120+0.8,I120+0.8,(SUM(I120+(I120*50%))))</f>
        <v>2.1</v>
      </c>
      <c r="J122" s="91">
        <v>0.00975</v>
      </c>
      <c r="K122" s="91">
        <v>0.00975</v>
      </c>
      <c r="L122" s="91">
        <v>0.0018</v>
      </c>
      <c r="M122" s="107"/>
      <c r="N122" s="108"/>
      <c r="O122" s="109">
        <v>7</v>
      </c>
      <c r="P122" s="71">
        <v>20</v>
      </c>
      <c r="Q122" s="133"/>
      <c r="R122" s="134">
        <v>8</v>
      </c>
      <c r="S122" s="135" t="s">
        <v>36</v>
      </c>
      <c r="T122" s="136">
        <f t="shared" si="115"/>
        <v>10</v>
      </c>
    </row>
    <row r="123" s="20" customFormat="1" ht="20" customHeight="1" spans="1:20">
      <c r="A123" s="51"/>
      <c r="B123" s="52"/>
      <c r="C123" s="147" t="s">
        <v>39</v>
      </c>
      <c r="D123" s="53"/>
      <c r="E123" s="71">
        <f t="shared" si="111"/>
        <v>212.678102</v>
      </c>
      <c r="F123" s="71">
        <f t="shared" si="112"/>
        <v>226.2533</v>
      </c>
      <c r="G123" s="71">
        <f t="shared" ref="E123:G123" si="118">SUM(H123-(H123*8%))</f>
        <v>240.695</v>
      </c>
      <c r="H123" s="71">
        <f t="shared" si="114"/>
        <v>261.625</v>
      </c>
      <c r="I123" s="90">
        <f>IF(SUM(I120+(I120*75%))&lt;I120+0.9,I120+0.9,(SUM(I120+(I120*75%))))</f>
        <v>2.275</v>
      </c>
      <c r="J123" s="91">
        <v>0.011375</v>
      </c>
      <c r="K123" s="91">
        <v>0.011375</v>
      </c>
      <c r="L123" s="91">
        <v>0.0018</v>
      </c>
      <c r="M123" s="107"/>
      <c r="N123" s="108"/>
      <c r="O123" s="109">
        <v>7</v>
      </c>
      <c r="P123" s="71">
        <v>20</v>
      </c>
      <c r="Q123" s="133"/>
      <c r="R123" s="134">
        <v>9</v>
      </c>
      <c r="S123" s="135" t="s">
        <v>36</v>
      </c>
      <c r="T123" s="136">
        <f t="shared" si="115"/>
        <v>11</v>
      </c>
    </row>
    <row r="124" s="20" customFormat="1" ht="20" customHeight="1" spans="1:20">
      <c r="A124" s="51"/>
      <c r="B124" s="52"/>
      <c r="C124" s="148" t="s">
        <v>40</v>
      </c>
      <c r="D124" s="149"/>
      <c r="E124" s="71">
        <f t="shared" si="111"/>
        <v>243.060688</v>
      </c>
      <c r="F124" s="71">
        <f t="shared" si="112"/>
        <v>258.5752</v>
      </c>
      <c r="G124" s="71">
        <f t="shared" ref="E124:G124" si="119">SUM(H124-(H124*8%))</f>
        <v>275.08</v>
      </c>
      <c r="H124" s="71">
        <f t="shared" si="114"/>
        <v>299</v>
      </c>
      <c r="I124" s="90">
        <f>IF(SUM(I120+(I120*100%))&lt;I120+1,I120+1,(SUM(I120+(I120*100%))))</f>
        <v>2.6</v>
      </c>
      <c r="J124" s="91">
        <v>0.013</v>
      </c>
      <c r="K124" s="91">
        <v>0.013</v>
      </c>
      <c r="L124" s="91">
        <v>0.0018</v>
      </c>
      <c r="M124" s="107"/>
      <c r="N124" s="108"/>
      <c r="O124" s="109">
        <v>7</v>
      </c>
      <c r="P124" s="71">
        <v>20</v>
      </c>
      <c r="Q124" s="133"/>
      <c r="R124" s="134">
        <v>10</v>
      </c>
      <c r="S124" s="135" t="s">
        <v>36</v>
      </c>
      <c r="T124" s="136">
        <f t="shared" si="115"/>
        <v>12</v>
      </c>
    </row>
    <row r="125" s="20" customFormat="1" ht="20" customHeight="1" spans="1:20">
      <c r="A125" s="48"/>
      <c r="B125" s="49" t="s">
        <v>91</v>
      </c>
      <c r="C125" s="150" t="s">
        <v>92</v>
      </c>
      <c r="D125" s="55"/>
      <c r="E125" s="69">
        <f t="shared" si="111"/>
        <v>93.48488</v>
      </c>
      <c r="F125" s="69">
        <f t="shared" si="112"/>
        <v>99.452</v>
      </c>
      <c r="G125" s="69">
        <f t="shared" ref="E125:G125" si="120">SUM(H125-(H125*8%))</f>
        <v>105.8</v>
      </c>
      <c r="H125" s="69">
        <f t="shared" si="114"/>
        <v>115</v>
      </c>
      <c r="I125" s="152">
        <v>1</v>
      </c>
      <c r="J125" s="151">
        <v>0.0065</v>
      </c>
      <c r="K125" s="151">
        <v>0.0065</v>
      </c>
      <c r="L125" s="89">
        <v>0.0018</v>
      </c>
      <c r="M125" s="159"/>
      <c r="N125" s="160"/>
      <c r="O125" s="110">
        <v>7</v>
      </c>
      <c r="P125" s="106">
        <v>20</v>
      </c>
      <c r="Q125" s="129"/>
      <c r="R125" s="130">
        <v>3</v>
      </c>
      <c r="S125" s="131" t="s">
        <v>36</v>
      </c>
      <c r="T125" s="132">
        <f t="shared" si="115"/>
        <v>5</v>
      </c>
    </row>
    <row r="126" s="20" customFormat="1" ht="20" customHeight="1" spans="1:20">
      <c r="A126" s="51"/>
      <c r="B126" s="52"/>
      <c r="C126" s="147" t="s">
        <v>37</v>
      </c>
      <c r="D126" s="53"/>
      <c r="E126" s="70">
        <f t="shared" si="111"/>
        <v>102.833368</v>
      </c>
      <c r="F126" s="70">
        <f t="shared" si="112"/>
        <v>109.3972</v>
      </c>
      <c r="G126" s="70">
        <f t="shared" ref="E126:G126" si="121">SUM(H126-(H126*8%))</f>
        <v>116.38</v>
      </c>
      <c r="H126" s="70">
        <f t="shared" si="114"/>
        <v>126.5</v>
      </c>
      <c r="I126" s="90">
        <f>SUM(I125+(I125*10%))</f>
        <v>1.1</v>
      </c>
      <c r="J126" s="91">
        <v>0.00715</v>
      </c>
      <c r="K126" s="91">
        <v>0.00715</v>
      </c>
      <c r="L126" s="91">
        <v>0.0018</v>
      </c>
      <c r="M126" s="107"/>
      <c r="N126" s="108"/>
      <c r="O126" s="109">
        <v>7</v>
      </c>
      <c r="P126" s="71">
        <v>20</v>
      </c>
      <c r="Q126" s="133"/>
      <c r="R126" s="134">
        <v>3</v>
      </c>
      <c r="S126" s="135" t="s">
        <v>36</v>
      </c>
      <c r="T126" s="136">
        <f t="shared" si="115"/>
        <v>5</v>
      </c>
    </row>
    <row r="127" s="20" customFormat="1" ht="20" customHeight="1" spans="1:20">
      <c r="A127" s="51"/>
      <c r="B127" s="52"/>
      <c r="C127" s="147" t="s">
        <v>38</v>
      </c>
      <c r="D127" s="53"/>
      <c r="E127" s="71">
        <f t="shared" si="111"/>
        <v>168.272784</v>
      </c>
      <c r="F127" s="71">
        <f t="shared" si="112"/>
        <v>179.0136</v>
      </c>
      <c r="G127" s="71">
        <f t="shared" ref="E127:G127" si="122">SUM(H127-(H127*8%))</f>
        <v>190.44</v>
      </c>
      <c r="H127" s="71">
        <f t="shared" si="114"/>
        <v>207</v>
      </c>
      <c r="I127" s="90">
        <f>IF(SUM(I125+(I125*50%))&lt;I125+0.8,I125+0.8,(SUM(I125+(I125*50%))))</f>
        <v>1.8</v>
      </c>
      <c r="J127" s="91">
        <v>0.015</v>
      </c>
      <c r="K127" s="91">
        <v>0.00975</v>
      </c>
      <c r="L127" s="91">
        <v>0.0018</v>
      </c>
      <c r="M127" s="107"/>
      <c r="N127" s="108"/>
      <c r="O127" s="109">
        <v>7</v>
      </c>
      <c r="P127" s="71">
        <v>20</v>
      </c>
      <c r="Q127" s="133"/>
      <c r="R127" s="134">
        <v>8</v>
      </c>
      <c r="S127" s="135" t="s">
        <v>36</v>
      </c>
      <c r="T127" s="136">
        <f t="shared" si="115"/>
        <v>10</v>
      </c>
    </row>
    <row r="128" s="20" customFormat="1" ht="20" customHeight="1" spans="1:20">
      <c r="A128" s="51"/>
      <c r="B128" s="52"/>
      <c r="C128" s="147" t="s">
        <v>39</v>
      </c>
      <c r="D128" s="53"/>
      <c r="E128" s="71">
        <f t="shared" si="111"/>
        <v>177.621272</v>
      </c>
      <c r="F128" s="71">
        <f t="shared" si="112"/>
        <v>188.9588</v>
      </c>
      <c r="G128" s="71">
        <f t="shared" ref="E128:G128" si="123">SUM(H128-(H128*8%))</f>
        <v>201.02</v>
      </c>
      <c r="H128" s="71">
        <f t="shared" si="114"/>
        <v>218.5</v>
      </c>
      <c r="I128" s="90">
        <f>IF(SUM(I125+(I125*75%))&lt;I125+0.9,I125+0.9,(SUM(I125+(I125*75%))))</f>
        <v>1.9</v>
      </c>
      <c r="J128" s="91">
        <v>0.016</v>
      </c>
      <c r="K128" s="91">
        <v>0.011375</v>
      </c>
      <c r="L128" s="91">
        <v>0.0018</v>
      </c>
      <c r="M128" s="107"/>
      <c r="N128" s="108"/>
      <c r="O128" s="109">
        <v>7</v>
      </c>
      <c r="P128" s="71">
        <v>20</v>
      </c>
      <c r="Q128" s="133"/>
      <c r="R128" s="134">
        <v>9</v>
      </c>
      <c r="S128" s="135" t="s">
        <v>36</v>
      </c>
      <c r="T128" s="136">
        <f t="shared" si="115"/>
        <v>11</v>
      </c>
    </row>
    <row r="129" s="20" customFormat="1" ht="20" customHeight="1" spans="1:20">
      <c r="A129" s="51"/>
      <c r="B129" s="52"/>
      <c r="C129" s="147" t="s">
        <v>40</v>
      </c>
      <c r="D129" s="53"/>
      <c r="E129" s="71">
        <f t="shared" si="111"/>
        <v>186.96976</v>
      </c>
      <c r="F129" s="71">
        <f t="shared" si="112"/>
        <v>198.904</v>
      </c>
      <c r="G129" s="71">
        <f t="shared" ref="E129:G129" si="124">SUM(H129-(H129*8%))</f>
        <v>211.6</v>
      </c>
      <c r="H129" s="71">
        <f t="shared" si="114"/>
        <v>230</v>
      </c>
      <c r="I129" s="90">
        <f>IF(SUM(I125+(I125*100%))&lt;I125+1,I125+1,(SUM(I125+(I125*100%))))</f>
        <v>2</v>
      </c>
      <c r="J129" s="91">
        <v>0.017</v>
      </c>
      <c r="K129" s="91">
        <v>0.013</v>
      </c>
      <c r="L129" s="91">
        <v>0.0018</v>
      </c>
      <c r="M129" s="107"/>
      <c r="N129" s="108"/>
      <c r="O129" s="109">
        <v>7</v>
      </c>
      <c r="P129" s="71">
        <v>20</v>
      </c>
      <c r="Q129" s="133"/>
      <c r="R129" s="134">
        <v>10</v>
      </c>
      <c r="S129" s="135" t="s">
        <v>36</v>
      </c>
      <c r="T129" s="136">
        <f t="shared" si="115"/>
        <v>12</v>
      </c>
    </row>
    <row r="130" s="20" customFormat="1" ht="20" customHeight="1" spans="1:20">
      <c r="A130" s="162" t="s">
        <v>93</v>
      </c>
      <c r="B130" s="54" t="s">
        <v>94</v>
      </c>
      <c r="C130" s="150" t="s">
        <v>95</v>
      </c>
      <c r="D130" s="55"/>
      <c r="E130" s="69">
        <f t="shared" si="111"/>
        <v>173.75994</v>
      </c>
      <c r="F130" s="69">
        <f t="shared" si="112"/>
        <v>184.851</v>
      </c>
      <c r="G130" s="69">
        <f t="shared" ref="E130:G130" si="125">SUM(H130-(H130*10%))</f>
        <v>196.65</v>
      </c>
      <c r="H130" s="69">
        <f t="shared" si="114"/>
        <v>218.5</v>
      </c>
      <c r="I130" s="69">
        <v>1.9</v>
      </c>
      <c r="J130" s="151">
        <v>0.008</v>
      </c>
      <c r="K130" s="151">
        <v>0.00975</v>
      </c>
      <c r="L130" s="151">
        <v>0.0018</v>
      </c>
      <c r="M130" s="103"/>
      <c r="N130" s="104"/>
      <c r="O130" s="105">
        <v>7</v>
      </c>
      <c r="P130" s="106">
        <v>20</v>
      </c>
      <c r="Q130" s="129">
        <v>4</v>
      </c>
      <c r="R130" s="130">
        <v>10</v>
      </c>
      <c r="S130" s="131" t="s">
        <v>36</v>
      </c>
      <c r="T130" s="132">
        <f t="shared" si="115"/>
        <v>12</v>
      </c>
    </row>
    <row r="131" s="20" customFormat="1" ht="20" customHeight="1" spans="1:20">
      <c r="A131" s="162"/>
      <c r="B131" s="163"/>
      <c r="C131" s="164" t="s">
        <v>96</v>
      </c>
      <c r="D131" s="165"/>
      <c r="E131" s="70">
        <f t="shared" si="111"/>
        <v>173.75994</v>
      </c>
      <c r="F131" s="70">
        <f t="shared" si="112"/>
        <v>184.851</v>
      </c>
      <c r="G131" s="70">
        <f t="shared" ref="E131:G131" si="126">SUM(H131-(H131*10%))</f>
        <v>196.65</v>
      </c>
      <c r="H131" s="70">
        <f t="shared" si="114"/>
        <v>218.5</v>
      </c>
      <c r="I131" s="70">
        <v>1.9</v>
      </c>
      <c r="J131" s="187">
        <v>0.008</v>
      </c>
      <c r="K131" s="187">
        <v>0.00975</v>
      </c>
      <c r="L131" s="187">
        <v>0.0018</v>
      </c>
      <c r="M131" s="157"/>
      <c r="N131" s="158"/>
      <c r="O131" s="155">
        <v>7</v>
      </c>
      <c r="P131" s="70">
        <v>20</v>
      </c>
      <c r="Q131" s="191">
        <v>4</v>
      </c>
      <c r="R131" s="134">
        <v>10</v>
      </c>
      <c r="S131" s="135" t="s">
        <v>36</v>
      </c>
      <c r="T131" s="136">
        <f t="shared" si="115"/>
        <v>12</v>
      </c>
    </row>
    <row r="132" s="20" customFormat="1" ht="20" customHeight="1" spans="1:20">
      <c r="A132" s="162"/>
      <c r="B132" s="49" t="s">
        <v>97</v>
      </c>
      <c r="C132" s="150" t="s">
        <v>98</v>
      </c>
      <c r="D132" s="55"/>
      <c r="E132" s="69">
        <f t="shared" si="111"/>
        <v>121.530344</v>
      </c>
      <c r="F132" s="69">
        <f t="shared" si="112"/>
        <v>129.2876</v>
      </c>
      <c r="G132" s="69">
        <f t="shared" ref="E132:G132" si="127">SUM(H132-(H132*8%))</f>
        <v>137.54</v>
      </c>
      <c r="H132" s="69">
        <f t="shared" si="114"/>
        <v>149.5</v>
      </c>
      <c r="I132" s="88">
        <v>1.3</v>
      </c>
      <c r="J132" s="89">
        <v>0.0065</v>
      </c>
      <c r="K132" s="89">
        <v>0.0065</v>
      </c>
      <c r="L132" s="89">
        <v>0.0018</v>
      </c>
      <c r="M132" s="103"/>
      <c r="N132" s="104"/>
      <c r="O132" s="105">
        <v>7</v>
      </c>
      <c r="P132" s="106">
        <v>20</v>
      </c>
      <c r="Q132" s="129">
        <v>4</v>
      </c>
      <c r="R132" s="130">
        <v>7</v>
      </c>
      <c r="S132" s="131" t="s">
        <v>36</v>
      </c>
      <c r="T132" s="132">
        <f t="shared" si="115"/>
        <v>9</v>
      </c>
    </row>
    <row r="133" s="20" customFormat="1" ht="20" customHeight="1" spans="1:20">
      <c r="A133" s="166"/>
      <c r="B133" s="52"/>
      <c r="C133" s="147" t="s">
        <v>37</v>
      </c>
      <c r="D133" s="53"/>
      <c r="E133" s="70">
        <f t="shared" si="111"/>
        <v>132.7485296</v>
      </c>
      <c r="F133" s="70">
        <f t="shared" si="112"/>
        <v>141.22184</v>
      </c>
      <c r="G133" s="70">
        <f t="shared" ref="E133:G133" si="128">SUM(H133-(H133*8%))</f>
        <v>150.236</v>
      </c>
      <c r="H133" s="70">
        <f t="shared" si="114"/>
        <v>163.3</v>
      </c>
      <c r="I133" s="90">
        <v>1.42</v>
      </c>
      <c r="J133" s="91">
        <v>0.00715</v>
      </c>
      <c r="K133" s="91">
        <v>0.00715</v>
      </c>
      <c r="L133" s="91">
        <v>0.0018</v>
      </c>
      <c r="M133" s="107"/>
      <c r="N133" s="108"/>
      <c r="O133" s="109">
        <v>7</v>
      </c>
      <c r="P133" s="71">
        <v>20</v>
      </c>
      <c r="Q133" s="133">
        <v>4</v>
      </c>
      <c r="R133" s="134">
        <v>7</v>
      </c>
      <c r="S133" s="135" t="s">
        <v>36</v>
      </c>
      <c r="T133" s="136">
        <f t="shared" si="115"/>
        <v>9</v>
      </c>
    </row>
    <row r="134" s="20" customFormat="1" ht="20" customHeight="1" spans="1:20">
      <c r="A134" s="166"/>
      <c r="B134" s="52"/>
      <c r="C134" s="147" t="s">
        <v>38</v>
      </c>
      <c r="D134" s="53"/>
      <c r="E134" s="71">
        <f t="shared" si="111"/>
        <v>196.318248</v>
      </c>
      <c r="F134" s="71">
        <f t="shared" si="112"/>
        <v>208.8492</v>
      </c>
      <c r="G134" s="71">
        <f t="shared" ref="E134:G134" si="129">SUM(H134-(H134*8%))</f>
        <v>222.18</v>
      </c>
      <c r="H134" s="71">
        <f t="shared" si="114"/>
        <v>241.5</v>
      </c>
      <c r="I134" s="90">
        <v>2.1</v>
      </c>
      <c r="J134" s="91">
        <v>0.00975</v>
      </c>
      <c r="K134" s="91">
        <v>0.00975</v>
      </c>
      <c r="L134" s="91">
        <v>0.0018</v>
      </c>
      <c r="M134" s="107"/>
      <c r="N134" s="108"/>
      <c r="O134" s="109">
        <v>7</v>
      </c>
      <c r="P134" s="71">
        <v>20</v>
      </c>
      <c r="Q134" s="133">
        <v>4</v>
      </c>
      <c r="R134" s="134">
        <v>12</v>
      </c>
      <c r="S134" s="135" t="s">
        <v>36</v>
      </c>
      <c r="T134" s="136">
        <f t="shared" si="115"/>
        <v>14</v>
      </c>
    </row>
    <row r="135" s="20" customFormat="1" ht="20" customHeight="1" spans="1:20">
      <c r="A135" s="166"/>
      <c r="B135" s="52"/>
      <c r="C135" s="147" t="s">
        <v>39</v>
      </c>
      <c r="D135" s="53"/>
      <c r="E135" s="71">
        <f t="shared" si="111"/>
        <v>224.363712</v>
      </c>
      <c r="F135" s="71">
        <f t="shared" si="112"/>
        <v>238.6848</v>
      </c>
      <c r="G135" s="71">
        <f t="shared" ref="E135:G135" si="130">SUM(H135-(H135*8%))</f>
        <v>253.92</v>
      </c>
      <c r="H135" s="71">
        <f t="shared" si="114"/>
        <v>276</v>
      </c>
      <c r="I135" s="90">
        <v>2.4</v>
      </c>
      <c r="J135" s="91">
        <v>0.011375</v>
      </c>
      <c r="K135" s="91">
        <v>0.011375</v>
      </c>
      <c r="L135" s="91">
        <v>0.0018</v>
      </c>
      <c r="M135" s="107"/>
      <c r="N135" s="108"/>
      <c r="O135" s="109">
        <v>7</v>
      </c>
      <c r="P135" s="71">
        <v>20</v>
      </c>
      <c r="Q135" s="133">
        <v>4</v>
      </c>
      <c r="R135" s="134">
        <v>13</v>
      </c>
      <c r="S135" s="135" t="s">
        <v>36</v>
      </c>
      <c r="T135" s="136">
        <f t="shared" si="115"/>
        <v>15</v>
      </c>
    </row>
    <row r="136" s="20" customFormat="1" ht="20" customHeight="1" spans="1:20">
      <c r="A136" s="166"/>
      <c r="B136" s="52"/>
      <c r="C136" s="147" t="s">
        <v>40</v>
      </c>
      <c r="D136" s="53"/>
      <c r="E136" s="71">
        <f t="shared" si="111"/>
        <v>252.409176</v>
      </c>
      <c r="F136" s="71">
        <f t="shared" si="112"/>
        <v>268.5204</v>
      </c>
      <c r="G136" s="71">
        <f t="shared" ref="E136:G136" si="131">SUM(H136-(H136*8%))</f>
        <v>285.66</v>
      </c>
      <c r="H136" s="71">
        <f t="shared" si="114"/>
        <v>310.5</v>
      </c>
      <c r="I136" s="90">
        <v>2.7</v>
      </c>
      <c r="J136" s="91">
        <v>0.013</v>
      </c>
      <c r="K136" s="91">
        <v>0.013</v>
      </c>
      <c r="L136" s="91">
        <v>0.0018</v>
      </c>
      <c r="M136" s="107"/>
      <c r="N136" s="108"/>
      <c r="O136" s="109">
        <v>7</v>
      </c>
      <c r="P136" s="71">
        <v>20</v>
      </c>
      <c r="Q136" s="133">
        <v>4</v>
      </c>
      <c r="R136" s="134">
        <v>14</v>
      </c>
      <c r="S136" s="135" t="s">
        <v>36</v>
      </c>
      <c r="T136" s="136">
        <f t="shared" si="115"/>
        <v>16</v>
      </c>
    </row>
    <row r="137" s="20" customFormat="1" ht="20" customHeight="1" spans="1:20">
      <c r="A137" s="162"/>
      <c r="B137" s="49" t="s">
        <v>99</v>
      </c>
      <c r="C137" s="150" t="s">
        <v>100</v>
      </c>
      <c r="D137" s="55"/>
      <c r="E137" s="69">
        <f t="shared" si="111"/>
        <v>121.530344</v>
      </c>
      <c r="F137" s="69">
        <f t="shared" si="112"/>
        <v>129.2876</v>
      </c>
      <c r="G137" s="69">
        <f t="shared" ref="E137:G137" si="132">SUM(H137-(H137*8%))</f>
        <v>137.54</v>
      </c>
      <c r="H137" s="69">
        <f t="shared" si="114"/>
        <v>149.5</v>
      </c>
      <c r="I137" s="88">
        <v>1.3</v>
      </c>
      <c r="J137" s="151">
        <v>0.0065</v>
      </c>
      <c r="K137" s="151">
        <v>0.0065</v>
      </c>
      <c r="L137" s="89">
        <v>0.0018</v>
      </c>
      <c r="M137" s="103"/>
      <c r="N137" s="104"/>
      <c r="O137" s="110">
        <v>7</v>
      </c>
      <c r="P137" s="106">
        <v>20</v>
      </c>
      <c r="Q137" s="129">
        <v>4</v>
      </c>
      <c r="R137" s="130">
        <v>8</v>
      </c>
      <c r="S137" s="131" t="s">
        <v>36</v>
      </c>
      <c r="T137" s="132">
        <f t="shared" si="115"/>
        <v>10</v>
      </c>
    </row>
    <row r="138" s="20" customFormat="1" ht="20" customHeight="1" spans="1:20">
      <c r="A138" s="166"/>
      <c r="B138" s="52"/>
      <c r="C138" s="147" t="s">
        <v>37</v>
      </c>
      <c r="D138" s="53"/>
      <c r="E138" s="70">
        <f t="shared" si="111"/>
        <v>132.7485296</v>
      </c>
      <c r="F138" s="70">
        <f t="shared" si="112"/>
        <v>141.22184</v>
      </c>
      <c r="G138" s="70">
        <f t="shared" ref="E138:G138" si="133">SUM(H138-(H138*8%))</f>
        <v>150.236</v>
      </c>
      <c r="H138" s="70">
        <f t="shared" si="114"/>
        <v>163.3</v>
      </c>
      <c r="I138" s="90">
        <v>1.42</v>
      </c>
      <c r="J138" s="91">
        <v>0.00715</v>
      </c>
      <c r="K138" s="91">
        <v>0.00715</v>
      </c>
      <c r="L138" s="91">
        <v>0.0018</v>
      </c>
      <c r="M138" s="107"/>
      <c r="N138" s="108"/>
      <c r="O138" s="109">
        <v>7</v>
      </c>
      <c r="P138" s="71">
        <v>20</v>
      </c>
      <c r="Q138" s="133">
        <v>4</v>
      </c>
      <c r="R138" s="134">
        <v>8</v>
      </c>
      <c r="S138" s="135" t="s">
        <v>36</v>
      </c>
      <c r="T138" s="136">
        <f t="shared" si="115"/>
        <v>10</v>
      </c>
    </row>
    <row r="139" s="20" customFormat="1" ht="20" customHeight="1" spans="1:20">
      <c r="A139" s="166"/>
      <c r="B139" s="52"/>
      <c r="C139" s="147" t="s">
        <v>38</v>
      </c>
      <c r="D139" s="53"/>
      <c r="E139" s="71">
        <f t="shared" si="111"/>
        <v>196.318248</v>
      </c>
      <c r="F139" s="71">
        <f t="shared" si="112"/>
        <v>208.8492</v>
      </c>
      <c r="G139" s="71">
        <f t="shared" ref="E139:G139" si="134">SUM(H139-(H139*8%))</f>
        <v>222.18</v>
      </c>
      <c r="H139" s="71">
        <f t="shared" si="114"/>
        <v>241.5</v>
      </c>
      <c r="I139" s="90">
        <v>2.1</v>
      </c>
      <c r="J139" s="91">
        <v>0.00975</v>
      </c>
      <c r="K139" s="91">
        <v>0.00975</v>
      </c>
      <c r="L139" s="91">
        <v>0.0018</v>
      </c>
      <c r="M139" s="107"/>
      <c r="N139" s="108"/>
      <c r="O139" s="109">
        <v>7</v>
      </c>
      <c r="P139" s="71">
        <v>20</v>
      </c>
      <c r="Q139" s="133">
        <v>4</v>
      </c>
      <c r="R139" s="134">
        <v>13</v>
      </c>
      <c r="S139" s="135" t="s">
        <v>36</v>
      </c>
      <c r="T139" s="136">
        <f t="shared" si="115"/>
        <v>15</v>
      </c>
    </row>
    <row r="140" s="20" customFormat="1" ht="20" customHeight="1" spans="1:20">
      <c r="A140" s="166"/>
      <c r="B140" s="52"/>
      <c r="C140" s="147" t="s">
        <v>39</v>
      </c>
      <c r="D140" s="53"/>
      <c r="E140" s="71">
        <f t="shared" si="111"/>
        <v>205.666736</v>
      </c>
      <c r="F140" s="71">
        <f t="shared" si="112"/>
        <v>218.7944</v>
      </c>
      <c r="G140" s="71">
        <f t="shared" ref="E140:G140" si="135">SUM(H140-(H140*8%))</f>
        <v>232.76</v>
      </c>
      <c r="H140" s="71">
        <f t="shared" si="114"/>
        <v>253</v>
      </c>
      <c r="I140" s="90">
        <v>2.2</v>
      </c>
      <c r="J140" s="91">
        <v>0.011375</v>
      </c>
      <c r="K140" s="91">
        <v>0.011375</v>
      </c>
      <c r="L140" s="91">
        <v>0.0018</v>
      </c>
      <c r="M140" s="107"/>
      <c r="N140" s="108"/>
      <c r="O140" s="109">
        <v>7</v>
      </c>
      <c r="P140" s="71">
        <v>20</v>
      </c>
      <c r="Q140" s="133">
        <v>4</v>
      </c>
      <c r="R140" s="134">
        <v>14</v>
      </c>
      <c r="S140" s="135" t="s">
        <v>36</v>
      </c>
      <c r="T140" s="136">
        <f t="shared" si="115"/>
        <v>16</v>
      </c>
    </row>
    <row r="141" s="20" customFormat="1" ht="20" customHeight="1" spans="1:20">
      <c r="A141" s="166"/>
      <c r="B141" s="52"/>
      <c r="C141" s="147" t="s">
        <v>40</v>
      </c>
      <c r="D141" s="53"/>
      <c r="E141" s="71">
        <f t="shared" si="111"/>
        <v>233.7122</v>
      </c>
      <c r="F141" s="71">
        <f t="shared" si="112"/>
        <v>248.63</v>
      </c>
      <c r="G141" s="71">
        <f t="shared" ref="E141:G141" si="136">SUM(H141-(H141*8%))</f>
        <v>264.5</v>
      </c>
      <c r="H141" s="71">
        <f t="shared" si="114"/>
        <v>287.5</v>
      </c>
      <c r="I141" s="90">
        <v>2.5</v>
      </c>
      <c r="J141" s="91">
        <v>0.013</v>
      </c>
      <c r="K141" s="91">
        <v>0.013</v>
      </c>
      <c r="L141" s="91">
        <v>0.0018</v>
      </c>
      <c r="M141" s="107"/>
      <c r="N141" s="108"/>
      <c r="O141" s="109">
        <v>7</v>
      </c>
      <c r="P141" s="71">
        <v>20</v>
      </c>
      <c r="Q141" s="133">
        <v>4</v>
      </c>
      <c r="R141" s="134">
        <v>15</v>
      </c>
      <c r="S141" s="135" t="s">
        <v>36</v>
      </c>
      <c r="T141" s="136">
        <f t="shared" ref="T141:T146" si="137">R141+2</f>
        <v>17</v>
      </c>
    </row>
    <row r="142" s="20" customFormat="1" ht="20" customHeight="1" spans="1:20">
      <c r="A142" s="162"/>
      <c r="B142" s="49" t="s">
        <v>101</v>
      </c>
      <c r="C142" s="150" t="s">
        <v>102</v>
      </c>
      <c r="D142" s="55"/>
      <c r="E142" s="69">
        <f t="shared" si="111"/>
        <v>149.575808</v>
      </c>
      <c r="F142" s="69">
        <f t="shared" si="112"/>
        <v>159.1232</v>
      </c>
      <c r="G142" s="69">
        <f t="shared" ref="E142:G142" si="138">SUM(H142-(H142*8%))</f>
        <v>169.28</v>
      </c>
      <c r="H142" s="69">
        <f t="shared" si="114"/>
        <v>184</v>
      </c>
      <c r="I142" s="88">
        <v>1.6</v>
      </c>
      <c r="J142" s="151">
        <v>0.0065</v>
      </c>
      <c r="K142" s="151">
        <v>0.008</v>
      </c>
      <c r="L142" s="89">
        <v>0.0018</v>
      </c>
      <c r="M142" s="103"/>
      <c r="N142" s="104"/>
      <c r="O142" s="110">
        <v>7</v>
      </c>
      <c r="P142" s="106">
        <v>20</v>
      </c>
      <c r="Q142" s="129">
        <v>4</v>
      </c>
      <c r="R142" s="130">
        <v>9</v>
      </c>
      <c r="S142" s="131" t="s">
        <v>36</v>
      </c>
      <c r="T142" s="132">
        <f t="shared" si="137"/>
        <v>11</v>
      </c>
    </row>
    <row r="143" s="20" customFormat="1" ht="20" customHeight="1" spans="1:20">
      <c r="A143" s="166"/>
      <c r="B143" s="52"/>
      <c r="C143" s="147" t="s">
        <v>37</v>
      </c>
      <c r="D143" s="53"/>
      <c r="E143" s="70">
        <f t="shared" si="111"/>
        <v>163.59854</v>
      </c>
      <c r="F143" s="70">
        <f t="shared" si="112"/>
        <v>174.041</v>
      </c>
      <c r="G143" s="70">
        <f t="shared" ref="E143:G143" si="139">SUM(H143-(H143*8%))</f>
        <v>185.15</v>
      </c>
      <c r="H143" s="70">
        <f t="shared" si="114"/>
        <v>201.25</v>
      </c>
      <c r="I143" s="90">
        <v>1.75</v>
      </c>
      <c r="J143" s="91">
        <v>0.0072</v>
      </c>
      <c r="K143" s="91">
        <v>0.0088</v>
      </c>
      <c r="L143" s="91">
        <v>0.0018</v>
      </c>
      <c r="M143" s="107"/>
      <c r="N143" s="108"/>
      <c r="O143" s="109">
        <v>7</v>
      </c>
      <c r="P143" s="71">
        <v>20</v>
      </c>
      <c r="Q143" s="133">
        <v>4</v>
      </c>
      <c r="R143" s="134">
        <v>9</v>
      </c>
      <c r="S143" s="135" t="s">
        <v>36</v>
      </c>
      <c r="T143" s="136">
        <f t="shared" si="137"/>
        <v>11</v>
      </c>
    </row>
    <row r="144" s="20" customFormat="1" ht="20" customHeight="1" spans="1:20">
      <c r="A144" s="166"/>
      <c r="B144" s="52"/>
      <c r="C144" s="147" t="s">
        <v>38</v>
      </c>
      <c r="D144" s="53"/>
      <c r="E144" s="71">
        <f t="shared" ref="E144:G144" si="140">SUM(F144-(F144*2%))</f>
        <v>378.82978</v>
      </c>
      <c r="F144" s="71">
        <f t="shared" si="140"/>
        <v>386.561</v>
      </c>
      <c r="G144" s="71">
        <f t="shared" si="140"/>
        <v>394.45</v>
      </c>
      <c r="H144" s="71">
        <f t="shared" si="114"/>
        <v>402.5</v>
      </c>
      <c r="I144" s="90">
        <v>3.5</v>
      </c>
      <c r="J144" s="91">
        <v>0.015</v>
      </c>
      <c r="K144" s="91">
        <v>0.012</v>
      </c>
      <c r="L144" s="91">
        <v>0.0018</v>
      </c>
      <c r="M144" s="107"/>
      <c r="N144" s="108"/>
      <c r="O144" s="109">
        <v>7</v>
      </c>
      <c r="P144" s="71">
        <v>20</v>
      </c>
      <c r="Q144" s="133">
        <v>4</v>
      </c>
      <c r="R144" s="134">
        <v>17</v>
      </c>
      <c r="S144" s="135" t="s">
        <v>36</v>
      </c>
      <c r="T144" s="136">
        <f t="shared" si="137"/>
        <v>19</v>
      </c>
    </row>
    <row r="145" s="20" customFormat="1" ht="20" customHeight="1" spans="1:20">
      <c r="A145" s="166"/>
      <c r="B145" s="52"/>
      <c r="C145" s="147" t="s">
        <v>39</v>
      </c>
      <c r="D145" s="53"/>
      <c r="E145" s="71">
        <f t="shared" ref="E145:G145" si="141">SUM(F145-(F145*2%))</f>
        <v>405.88905</v>
      </c>
      <c r="F145" s="71">
        <f t="shared" si="141"/>
        <v>414.1725</v>
      </c>
      <c r="G145" s="71">
        <f t="shared" si="141"/>
        <v>422.625</v>
      </c>
      <c r="H145" s="71">
        <f t="shared" si="114"/>
        <v>431.25</v>
      </c>
      <c r="I145" s="90">
        <v>3.75</v>
      </c>
      <c r="J145" s="91">
        <v>0.016</v>
      </c>
      <c r="K145" s="91">
        <v>0.014</v>
      </c>
      <c r="L145" s="91">
        <v>0.0018</v>
      </c>
      <c r="M145" s="107"/>
      <c r="N145" s="108"/>
      <c r="O145" s="109">
        <v>7</v>
      </c>
      <c r="P145" s="71">
        <v>20</v>
      </c>
      <c r="Q145" s="133">
        <v>4</v>
      </c>
      <c r="R145" s="134">
        <v>19</v>
      </c>
      <c r="S145" s="135" t="s">
        <v>36</v>
      </c>
      <c r="T145" s="136">
        <f t="shared" si="137"/>
        <v>21</v>
      </c>
    </row>
    <row r="146" s="20" customFormat="1" ht="20" customHeight="1" spans="1:20">
      <c r="A146" s="166"/>
      <c r="B146" s="52"/>
      <c r="C146" s="147" t="s">
        <v>40</v>
      </c>
      <c r="D146" s="53"/>
      <c r="E146" s="71">
        <f t="shared" ref="E146:G146" si="142">SUM(F146-(F146*2%))</f>
        <v>411.300904</v>
      </c>
      <c r="F146" s="71">
        <f t="shared" si="142"/>
        <v>419.6948</v>
      </c>
      <c r="G146" s="71">
        <f t="shared" si="142"/>
        <v>428.26</v>
      </c>
      <c r="H146" s="71">
        <f t="shared" si="114"/>
        <v>437</v>
      </c>
      <c r="I146" s="90">
        <v>3.8</v>
      </c>
      <c r="J146" s="91">
        <v>0.017</v>
      </c>
      <c r="K146" s="91">
        <v>0.016</v>
      </c>
      <c r="L146" s="91">
        <v>0.0018</v>
      </c>
      <c r="M146" s="107"/>
      <c r="N146" s="108"/>
      <c r="O146" s="109">
        <v>7</v>
      </c>
      <c r="P146" s="71">
        <v>20</v>
      </c>
      <c r="Q146" s="133">
        <v>4</v>
      </c>
      <c r="R146" s="134">
        <v>21</v>
      </c>
      <c r="S146" s="135" t="s">
        <v>36</v>
      </c>
      <c r="T146" s="136">
        <f t="shared" si="137"/>
        <v>23</v>
      </c>
    </row>
    <row r="147" s="21" customFormat="1" ht="25" customHeight="1" spans="1:20">
      <c r="A147" s="167" t="s">
        <v>103</v>
      </c>
      <c r="B147" s="168"/>
      <c r="C147" s="168"/>
      <c r="D147" s="168"/>
      <c r="E147" s="168"/>
      <c r="F147" s="168"/>
      <c r="G147" s="168"/>
      <c r="H147" s="168"/>
      <c r="I147" s="18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92"/>
    </row>
    <row r="148" s="22" customFormat="1" ht="28" customHeight="1" spans="1:16381">
      <c r="A148" s="169" t="s">
        <v>104</v>
      </c>
      <c r="B148" s="170"/>
      <c r="C148" s="170"/>
      <c r="D148" s="170"/>
      <c r="E148" s="170"/>
      <c r="F148" s="170"/>
      <c r="G148" s="170"/>
      <c r="H148" s="170"/>
      <c r="I148" s="170"/>
      <c r="J148" s="189"/>
      <c r="K148" s="189"/>
      <c r="L148" s="190"/>
      <c r="M148" s="190"/>
      <c r="N148" s="190"/>
      <c r="O148" s="190"/>
      <c r="P148" s="190"/>
      <c r="Q148" s="193"/>
      <c r="R148" s="193"/>
      <c r="T148" s="194"/>
      <c r="XEZ148"/>
      <c r="XFA148"/>
    </row>
    <row r="149" s="22" customFormat="1" ht="30" customHeight="1" spans="1:16381">
      <c r="A149" s="171">
        <v>1</v>
      </c>
      <c r="B149" s="172" t="s">
        <v>105</v>
      </c>
      <c r="C149" s="172"/>
      <c r="D149" s="172"/>
      <c r="E149" s="172"/>
      <c r="F149" s="184" t="s">
        <v>106</v>
      </c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94"/>
      <c r="XEZ149"/>
      <c r="XFA149"/>
    </row>
    <row r="150" s="22" customFormat="1" ht="30" customHeight="1" spans="1:16381">
      <c r="A150" s="173">
        <v>2</v>
      </c>
      <c r="B150" s="174" t="s">
        <v>107</v>
      </c>
      <c r="C150" s="174"/>
      <c r="D150" s="174"/>
      <c r="E150" s="174"/>
      <c r="F150" s="185" t="s">
        <v>108</v>
      </c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94"/>
      <c r="XEZ150"/>
      <c r="XFA150"/>
    </row>
    <row r="151" s="22" customFormat="1" ht="30" customHeight="1" spans="1:16381">
      <c r="A151" s="173">
        <v>3</v>
      </c>
      <c r="B151" s="175" t="s">
        <v>109</v>
      </c>
      <c r="C151" s="175"/>
      <c r="D151" s="175"/>
      <c r="E151" s="175"/>
      <c r="F151" s="186" t="s">
        <v>110</v>
      </c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94"/>
      <c r="XEZ151"/>
      <c r="XFA151"/>
    </row>
    <row r="152" s="22" customFormat="1" ht="30" customHeight="1" spans="1:16381">
      <c r="A152" s="173">
        <v>4</v>
      </c>
      <c r="B152" s="174" t="s">
        <v>111</v>
      </c>
      <c r="C152" s="174"/>
      <c r="D152" s="174"/>
      <c r="E152" s="174"/>
      <c r="F152" s="185" t="s">
        <v>112</v>
      </c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94"/>
      <c r="XEZ152"/>
      <c r="XFA152"/>
    </row>
    <row r="153" s="22" customFormat="1" ht="30" customHeight="1" spans="1:16381">
      <c r="A153" s="173">
        <v>5</v>
      </c>
      <c r="B153" s="174" t="s">
        <v>113</v>
      </c>
      <c r="C153" s="174"/>
      <c r="D153" s="174"/>
      <c r="E153" s="174"/>
      <c r="F153" s="185" t="s">
        <v>114</v>
      </c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94"/>
      <c r="XEZ153"/>
      <c r="XFA153"/>
    </row>
    <row r="154" s="22" customFormat="1" ht="52" customHeight="1" spans="1:16381">
      <c r="A154" s="173">
        <v>6</v>
      </c>
      <c r="B154" s="174" t="s">
        <v>115</v>
      </c>
      <c r="C154" s="174"/>
      <c r="D154" s="174"/>
      <c r="E154" s="174"/>
      <c r="F154" s="186" t="s">
        <v>116</v>
      </c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94"/>
      <c r="XEZ154"/>
      <c r="XFA154"/>
    </row>
    <row r="155" s="23" customFormat="1" ht="25" customHeight="1" spans="1:239">
      <c r="A155" s="173">
        <v>7</v>
      </c>
      <c r="B155" s="174" t="s">
        <v>117</v>
      </c>
      <c r="C155" s="174"/>
      <c r="D155" s="174"/>
      <c r="E155" s="174"/>
      <c r="F155" s="186" t="s">
        <v>118</v>
      </c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94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</row>
    <row r="156" s="22" customFormat="1" ht="25" customHeight="1" spans="1:16381">
      <c r="A156" s="173">
        <v>8</v>
      </c>
      <c r="B156" s="174" t="s">
        <v>119</v>
      </c>
      <c r="C156" s="174"/>
      <c r="D156" s="174"/>
      <c r="E156" s="174"/>
      <c r="F156" s="186" t="s">
        <v>120</v>
      </c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94"/>
      <c r="XEZ156"/>
      <c r="XFA156"/>
    </row>
    <row r="157" s="22" customFormat="1" ht="50" customHeight="1" spans="1:16381">
      <c r="A157" s="173" t="s">
        <v>121</v>
      </c>
      <c r="B157" s="174" t="s">
        <v>122</v>
      </c>
      <c r="C157" s="174"/>
      <c r="D157" s="174"/>
      <c r="E157" s="174"/>
      <c r="F157" s="186" t="s">
        <v>123</v>
      </c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94"/>
      <c r="XEZ157"/>
      <c r="XFA157"/>
    </row>
    <row r="158" s="23" customFormat="1" ht="72" customHeight="1" spans="1:20">
      <c r="A158" s="173" t="s">
        <v>124</v>
      </c>
      <c r="B158" s="176" t="s">
        <v>125</v>
      </c>
      <c r="C158" s="176"/>
      <c r="D158" s="176"/>
      <c r="E158" s="176"/>
      <c r="F158" s="186" t="s">
        <v>126</v>
      </c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95"/>
    </row>
    <row r="159" s="22" customFormat="1" ht="30" customHeight="1" spans="1:16381">
      <c r="A159" s="173" t="s">
        <v>127</v>
      </c>
      <c r="B159" s="174" t="s">
        <v>128</v>
      </c>
      <c r="C159" s="174"/>
      <c r="D159" s="174"/>
      <c r="E159" s="174"/>
      <c r="F159" s="186" t="s">
        <v>129</v>
      </c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94"/>
      <c r="XEZ159"/>
      <c r="XFA159"/>
    </row>
    <row r="160" s="22" customFormat="1" ht="30" customHeight="1" spans="1:16381">
      <c r="A160" s="173" t="s">
        <v>130</v>
      </c>
      <c r="B160" s="174" t="s">
        <v>131</v>
      </c>
      <c r="C160" s="174"/>
      <c r="D160" s="174"/>
      <c r="E160" s="174"/>
      <c r="F160" s="186" t="s">
        <v>132</v>
      </c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94"/>
      <c r="XEZ160"/>
      <c r="XFA160"/>
    </row>
    <row r="161" s="22" customFormat="1" ht="30" customHeight="1" spans="1:16381">
      <c r="A161" s="173" t="s">
        <v>133</v>
      </c>
      <c r="B161" s="174" t="s">
        <v>134</v>
      </c>
      <c r="C161" s="174"/>
      <c r="D161" s="174"/>
      <c r="E161" s="174"/>
      <c r="F161" s="186" t="s">
        <v>135</v>
      </c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94"/>
      <c r="XEZ161"/>
      <c r="XFA161"/>
    </row>
    <row r="162" s="22" customFormat="1" ht="30" customHeight="1" spans="1:16381">
      <c r="A162" s="173">
        <v>9</v>
      </c>
      <c r="B162" s="174" t="s">
        <v>136</v>
      </c>
      <c r="C162" s="174"/>
      <c r="D162" s="174"/>
      <c r="E162" s="174"/>
      <c r="F162" s="186" t="s">
        <v>137</v>
      </c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94"/>
      <c r="XEZ162"/>
      <c r="XFA162"/>
    </row>
    <row r="163" s="24" customFormat="1" ht="30" customHeight="1" spans="1:239">
      <c r="A163" s="173">
        <v>10</v>
      </c>
      <c r="B163" s="174" t="s">
        <v>138</v>
      </c>
      <c r="C163" s="174"/>
      <c r="D163" s="174"/>
      <c r="E163" s="174"/>
      <c r="F163" s="186" t="s">
        <v>139</v>
      </c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94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</row>
    <row r="164" s="22" customFormat="1" ht="30" customHeight="1" spans="1:16381">
      <c r="A164" s="173">
        <v>11</v>
      </c>
      <c r="B164" s="174" t="s">
        <v>140</v>
      </c>
      <c r="C164" s="174"/>
      <c r="D164" s="174"/>
      <c r="E164" s="174"/>
      <c r="F164" s="186" t="s">
        <v>141</v>
      </c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94"/>
      <c r="XEZ164"/>
      <c r="XFA164"/>
    </row>
    <row r="165" s="22" customFormat="1" ht="30" customHeight="1" spans="1:16381">
      <c r="A165" s="173" t="s">
        <v>142</v>
      </c>
      <c r="B165" s="174" t="s">
        <v>143</v>
      </c>
      <c r="C165" s="174"/>
      <c r="D165" s="174"/>
      <c r="E165" s="174"/>
      <c r="F165" s="186" t="s">
        <v>144</v>
      </c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94"/>
      <c r="XEZ165"/>
      <c r="XFA165"/>
    </row>
    <row r="166" s="22" customFormat="1" ht="37" customHeight="1" spans="1:16381">
      <c r="A166" s="173">
        <v>12</v>
      </c>
      <c r="B166" s="174" t="s">
        <v>145</v>
      </c>
      <c r="C166" s="174"/>
      <c r="D166" s="174"/>
      <c r="E166" s="174"/>
      <c r="F166" s="186" t="s">
        <v>146</v>
      </c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94"/>
      <c r="XEZ166"/>
      <c r="XFA166"/>
    </row>
    <row r="167" s="22" customFormat="1" ht="94" customHeight="1" spans="1:16381">
      <c r="A167" s="173" t="s">
        <v>147</v>
      </c>
      <c r="B167" s="174" t="s">
        <v>148</v>
      </c>
      <c r="C167" s="174"/>
      <c r="D167" s="174"/>
      <c r="E167" s="174"/>
      <c r="F167" s="186" t="s">
        <v>149</v>
      </c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94"/>
      <c r="XEZ167"/>
      <c r="XFA167"/>
    </row>
    <row r="168" s="22" customFormat="1" ht="121" customHeight="1" spans="1:16381">
      <c r="A168" s="173">
        <v>13</v>
      </c>
      <c r="B168" s="177" t="s">
        <v>150</v>
      </c>
      <c r="C168" s="175"/>
      <c r="D168" s="175"/>
      <c r="E168" s="175"/>
      <c r="F168" s="186" t="s">
        <v>151</v>
      </c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94"/>
      <c r="XEZ168"/>
      <c r="XFA168"/>
    </row>
    <row r="169" s="22" customFormat="1" ht="186" customHeight="1" spans="1:16381">
      <c r="A169" s="173">
        <v>14</v>
      </c>
      <c r="B169" s="178" t="s">
        <v>152</v>
      </c>
      <c r="C169" s="178"/>
      <c r="D169" s="178"/>
      <c r="E169" s="178"/>
      <c r="F169" s="186" t="s">
        <v>153</v>
      </c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94"/>
      <c r="XEZ169"/>
      <c r="XFA169"/>
    </row>
    <row r="170" s="22" customFormat="1" ht="210" customHeight="1" spans="1:16381">
      <c r="A170" s="173">
        <v>15</v>
      </c>
      <c r="B170" s="177" t="s">
        <v>154</v>
      </c>
      <c r="C170" s="175"/>
      <c r="D170" s="175"/>
      <c r="E170" s="175"/>
      <c r="F170" s="186" t="s">
        <v>155</v>
      </c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94"/>
      <c r="XEZ170"/>
      <c r="XFA170"/>
    </row>
    <row r="171" s="22" customFormat="1" ht="180" customHeight="1" spans="1:16381">
      <c r="A171" s="173">
        <v>16</v>
      </c>
      <c r="B171" s="178" t="s">
        <v>156</v>
      </c>
      <c r="C171" s="178"/>
      <c r="D171" s="178"/>
      <c r="E171" s="178"/>
      <c r="F171" s="186" t="s">
        <v>157</v>
      </c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94"/>
      <c r="XEZ171"/>
      <c r="XFA171"/>
    </row>
    <row r="172" s="24" customFormat="1" ht="58" customHeight="1" spans="1:239">
      <c r="A172" s="173" t="s">
        <v>158</v>
      </c>
      <c r="B172" s="174" t="s">
        <v>159</v>
      </c>
      <c r="C172" s="174"/>
      <c r="D172" s="174"/>
      <c r="E172" s="174"/>
      <c r="F172" s="186" t="s">
        <v>160</v>
      </c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94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</row>
    <row r="173" s="24" customFormat="1" ht="30" customHeight="1" spans="1:239">
      <c r="A173" s="173">
        <v>17</v>
      </c>
      <c r="B173" s="174" t="s">
        <v>161</v>
      </c>
      <c r="C173" s="174"/>
      <c r="D173" s="174"/>
      <c r="E173" s="174"/>
      <c r="F173" s="186" t="s">
        <v>162</v>
      </c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94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</row>
    <row r="174" s="22" customFormat="1" ht="30" customHeight="1" spans="1:16381">
      <c r="A174" s="173">
        <v>18</v>
      </c>
      <c r="B174" s="174" t="s">
        <v>163</v>
      </c>
      <c r="C174" s="174"/>
      <c r="D174" s="174"/>
      <c r="E174" s="174"/>
      <c r="F174" s="186" t="s">
        <v>164</v>
      </c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94"/>
      <c r="XEZ174"/>
      <c r="XFA174"/>
    </row>
    <row r="175" s="22" customFormat="1" ht="154" customHeight="1" spans="1:16381">
      <c r="A175" s="173">
        <v>19</v>
      </c>
      <c r="B175" s="177" t="s">
        <v>165</v>
      </c>
      <c r="C175" s="175"/>
      <c r="D175" s="175"/>
      <c r="E175" s="175"/>
      <c r="F175" s="186" t="s">
        <v>166</v>
      </c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94"/>
      <c r="XEZ175"/>
      <c r="XFA175"/>
    </row>
    <row r="176" s="22" customFormat="1" ht="34" customHeight="1" spans="1:16381">
      <c r="A176" s="173">
        <v>20</v>
      </c>
      <c r="B176" s="175" t="s">
        <v>167</v>
      </c>
      <c r="C176" s="175"/>
      <c r="D176" s="175"/>
      <c r="E176" s="175"/>
      <c r="F176" s="186" t="s">
        <v>168</v>
      </c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94"/>
      <c r="XEZ176"/>
      <c r="XFA176"/>
    </row>
    <row r="177" s="22" customFormat="1" ht="116" customHeight="1" spans="1:16381">
      <c r="A177" s="173">
        <v>21</v>
      </c>
      <c r="B177" s="175" t="s">
        <v>169</v>
      </c>
      <c r="C177" s="175"/>
      <c r="D177" s="175"/>
      <c r="E177" s="175"/>
      <c r="F177" s="186" t="s">
        <v>170</v>
      </c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94"/>
      <c r="XEZ177"/>
      <c r="XFA177"/>
    </row>
    <row r="178" s="22" customFormat="1" ht="30" customHeight="1" spans="1:16381">
      <c r="A178" s="173">
        <v>22</v>
      </c>
      <c r="B178" s="175" t="s">
        <v>171</v>
      </c>
      <c r="C178" s="175"/>
      <c r="D178" s="175"/>
      <c r="E178" s="175"/>
      <c r="F178" s="186" t="s">
        <v>172</v>
      </c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94"/>
      <c r="XEZ178"/>
      <c r="XFA178"/>
    </row>
    <row r="179" s="22" customFormat="1" ht="30" customHeight="1" spans="1:16381">
      <c r="A179" s="173">
        <v>23</v>
      </c>
      <c r="B179" s="174" t="s">
        <v>173</v>
      </c>
      <c r="C179" s="174"/>
      <c r="D179" s="174"/>
      <c r="E179" s="174"/>
      <c r="F179" s="186" t="s">
        <v>174</v>
      </c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94"/>
      <c r="XEZ179"/>
      <c r="XFA179"/>
    </row>
    <row r="180" s="22" customFormat="1" ht="30" customHeight="1" spans="1:16381">
      <c r="A180" s="173" t="s">
        <v>175</v>
      </c>
      <c r="B180" s="174" t="s">
        <v>176</v>
      </c>
      <c r="C180" s="174"/>
      <c r="D180" s="174"/>
      <c r="E180" s="174"/>
      <c r="F180" s="186" t="s">
        <v>177</v>
      </c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94"/>
      <c r="XEZ180"/>
      <c r="XFA180"/>
    </row>
    <row r="181" s="22" customFormat="1" ht="30" customHeight="1" spans="1:16381">
      <c r="A181" s="173" t="s">
        <v>178</v>
      </c>
      <c r="B181" s="174" t="s">
        <v>179</v>
      </c>
      <c r="C181" s="174"/>
      <c r="D181" s="174"/>
      <c r="E181" s="174"/>
      <c r="F181" s="186" t="s">
        <v>180</v>
      </c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94"/>
      <c r="XEZ181"/>
      <c r="XFA181"/>
    </row>
    <row r="182" s="22" customFormat="1" ht="30" customHeight="1" spans="1:16381">
      <c r="A182" s="173" t="s">
        <v>181</v>
      </c>
      <c r="B182" s="174" t="s">
        <v>182</v>
      </c>
      <c r="C182" s="174"/>
      <c r="D182" s="174"/>
      <c r="E182" s="174"/>
      <c r="F182" s="186" t="s">
        <v>183</v>
      </c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94"/>
      <c r="XEZ182"/>
      <c r="XFA182"/>
    </row>
    <row r="183" s="22" customFormat="1" ht="90" customHeight="1" spans="1:16381">
      <c r="A183" s="173" t="s">
        <v>181</v>
      </c>
      <c r="B183" s="175" t="s">
        <v>184</v>
      </c>
      <c r="C183" s="174"/>
      <c r="D183" s="174"/>
      <c r="E183" s="174"/>
      <c r="F183" s="186" t="s">
        <v>185</v>
      </c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94"/>
      <c r="XEZ183"/>
      <c r="XFA183"/>
    </row>
    <row r="184" s="22" customFormat="1" ht="30" customHeight="1" spans="1:16381">
      <c r="A184" s="173" t="s">
        <v>186</v>
      </c>
      <c r="B184" s="174" t="s">
        <v>187</v>
      </c>
      <c r="C184" s="174"/>
      <c r="D184" s="174"/>
      <c r="E184" s="174"/>
      <c r="F184" s="186" t="s">
        <v>188</v>
      </c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94"/>
      <c r="XEZ184"/>
      <c r="XFA184"/>
    </row>
    <row r="185" s="22" customFormat="1" ht="30" customHeight="1" spans="1:16381">
      <c r="A185" s="173">
        <v>24</v>
      </c>
      <c r="B185" s="174" t="s">
        <v>189</v>
      </c>
      <c r="C185" s="174"/>
      <c r="D185" s="174"/>
      <c r="E185" s="174"/>
      <c r="F185" s="186" t="s">
        <v>190</v>
      </c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94"/>
      <c r="XEZ185"/>
      <c r="XFA185"/>
    </row>
    <row r="186" s="22" customFormat="1" ht="30" customHeight="1" spans="1:16381">
      <c r="A186" s="173">
        <v>25</v>
      </c>
      <c r="B186" s="174" t="s">
        <v>191</v>
      </c>
      <c r="C186" s="174"/>
      <c r="D186" s="174"/>
      <c r="E186" s="174"/>
      <c r="F186" s="186" t="s">
        <v>192</v>
      </c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94"/>
      <c r="XEZ186"/>
      <c r="XFA186"/>
    </row>
    <row r="187" s="22" customFormat="1" ht="30" customHeight="1" spans="1:16381">
      <c r="A187" s="173">
        <v>26</v>
      </c>
      <c r="B187" s="174" t="s">
        <v>193</v>
      </c>
      <c r="C187" s="174"/>
      <c r="D187" s="174"/>
      <c r="E187" s="174"/>
      <c r="F187" s="186" t="s">
        <v>194</v>
      </c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94"/>
      <c r="XEZ187"/>
      <c r="XFA187"/>
    </row>
    <row r="188" s="22" customFormat="1" ht="30" customHeight="1" spans="1:16381">
      <c r="A188" s="179">
        <v>27</v>
      </c>
      <c r="B188" s="180" t="s">
        <v>125</v>
      </c>
      <c r="C188" s="180"/>
      <c r="D188" s="180"/>
      <c r="E188" s="180"/>
      <c r="F188" s="186" t="s">
        <v>195</v>
      </c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94"/>
      <c r="XEZ188"/>
      <c r="XFA188"/>
    </row>
    <row r="189" s="25" customFormat="1" ht="80" customHeight="1" spans="1:20">
      <c r="A189" s="181" t="s">
        <v>196</v>
      </c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96"/>
    </row>
    <row r="190" s="14" customFormat="1" ht="40" customHeight="1" spans="1:20">
      <c r="A190" s="183"/>
      <c r="B190" s="26"/>
      <c r="C190" s="26"/>
      <c r="D190" s="26"/>
      <c r="E190" s="26"/>
      <c r="F190" s="26"/>
      <c r="G190" s="26"/>
      <c r="H190" s="26"/>
      <c r="I190" s="27"/>
      <c r="J190"/>
      <c r="K190" s="28"/>
      <c r="L190"/>
      <c r="M190" s="26"/>
      <c r="N190"/>
      <c r="O190"/>
      <c r="P190"/>
      <c r="Q190" s="26"/>
      <c r="R190" s="26"/>
      <c r="S190" s="26"/>
      <c r="T190" s="197"/>
    </row>
    <row r="191" s="14" customFormat="1" ht="40" customHeight="1" spans="1:20">
      <c r="A191" s="183"/>
      <c r="B191" s="26"/>
      <c r="C191" s="26"/>
      <c r="D191" s="26"/>
      <c r="E191" s="26"/>
      <c r="F191" s="26"/>
      <c r="G191" s="26"/>
      <c r="H191" s="26"/>
      <c r="I191" s="27"/>
      <c r="J191" s="28"/>
      <c r="K191" s="28"/>
      <c r="L191"/>
      <c r="M191" s="26"/>
      <c r="N191"/>
      <c r="O191" s="26"/>
      <c r="P191" s="26"/>
      <c r="Q191" s="26"/>
      <c r="R191" s="26"/>
      <c r="S191" s="26"/>
      <c r="T191" s="197"/>
    </row>
    <row r="192" s="14" customFormat="1" ht="40" customHeight="1" spans="1:20">
      <c r="A192" s="183"/>
      <c r="B192" s="26"/>
      <c r="C192" s="26"/>
      <c r="D192" s="26"/>
      <c r="E192" s="26"/>
      <c r="F192" s="26"/>
      <c r="G192" s="26"/>
      <c r="H192" s="26"/>
      <c r="I192" s="27"/>
      <c r="J192" s="28"/>
      <c r="K192" s="28"/>
      <c r="L192" s="26"/>
      <c r="M192" s="26"/>
      <c r="N192" s="26"/>
      <c r="O192" s="26"/>
      <c r="P192" s="26"/>
      <c r="Q192" s="26"/>
      <c r="R192" s="26"/>
      <c r="S192" s="26"/>
      <c r="T192" s="197"/>
    </row>
    <row r="193" s="14" customFormat="1" ht="40" customHeight="1" spans="1:20">
      <c r="A193" s="183"/>
      <c r="B193" s="26"/>
      <c r="C193" s="26"/>
      <c r="D193" s="26"/>
      <c r="E193" s="26"/>
      <c r="F193" s="26"/>
      <c r="G193" s="26"/>
      <c r="H193" s="26"/>
      <c r="I193" s="27"/>
      <c r="J193" s="28"/>
      <c r="K193" s="28"/>
      <c r="L193" s="26"/>
      <c r="M193" s="26"/>
      <c r="N193" s="26"/>
      <c r="O193" s="26"/>
      <c r="P193" s="26"/>
      <c r="Q193" s="26"/>
      <c r="R193" s="26"/>
      <c r="S193" s="26"/>
      <c r="T193" s="197"/>
    </row>
    <row r="194" s="14" customFormat="1" ht="40" customHeight="1" spans="1:20">
      <c r="A194" s="198" t="s">
        <v>197</v>
      </c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7"/>
    </row>
    <row r="195" s="14" customFormat="1" spans="1:20">
      <c r="A195" s="200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7"/>
    </row>
    <row r="196" s="14" customFormat="1" spans="1:20">
      <c r="A196" s="201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3"/>
    </row>
    <row r="197" s="14" customFormat="1" ht="24.95" customHeight="1" spans="1:20">
      <c r="A197" s="26"/>
      <c r="B197" s="26"/>
      <c r="C197" s="26"/>
      <c r="D197" s="26"/>
      <c r="E197" s="26"/>
      <c r="F197" s="26"/>
      <c r="G197" s="26"/>
      <c r="H197" s="26"/>
      <c r="I197" s="27"/>
      <c r="J197" s="28"/>
      <c r="K197" s="28"/>
      <c r="L197" s="26"/>
      <c r="M197" s="26"/>
      <c r="N197" s="26"/>
      <c r="O197" s="26"/>
      <c r="P197" s="26"/>
      <c r="Q197" s="26"/>
      <c r="R197" s="26"/>
      <c r="S197" s="26"/>
      <c r="T197" s="26"/>
    </row>
    <row r="198" s="14" customFormat="1" ht="24.95" customHeight="1" spans="1:20">
      <c r="A198" s="26"/>
      <c r="B198" s="26"/>
      <c r="C198" s="26"/>
      <c r="D198" s="26"/>
      <c r="E198" s="26"/>
      <c r="F198" s="26"/>
      <c r="G198" s="26"/>
      <c r="H198" s="26"/>
      <c r="I198" s="27"/>
      <c r="J198" s="28"/>
      <c r="K198" s="28"/>
      <c r="L198" s="26"/>
      <c r="M198" s="26"/>
      <c r="N198" s="26"/>
      <c r="O198" s="26"/>
      <c r="P198" s="26"/>
      <c r="Q198" s="26"/>
      <c r="R198" s="26"/>
      <c r="S198" s="26"/>
      <c r="T198" s="26"/>
    </row>
    <row r="199" s="14" customFormat="1" ht="24.95" customHeight="1" spans="1:20">
      <c r="A199" s="26"/>
      <c r="B199" s="26"/>
      <c r="C199" s="26"/>
      <c r="D199" s="26"/>
      <c r="E199" s="26"/>
      <c r="F199" s="26"/>
      <c r="G199" s="26"/>
      <c r="H199" s="26"/>
      <c r="I199" s="27"/>
      <c r="J199" s="28"/>
      <c r="K199" s="28"/>
      <c r="L199" s="26"/>
      <c r="M199" s="26"/>
      <c r="N199" s="26"/>
      <c r="O199" s="26"/>
      <c r="P199" s="26"/>
      <c r="Q199" s="26"/>
      <c r="R199" s="26"/>
      <c r="S199" s="26"/>
      <c r="T199" s="26"/>
    </row>
    <row r="200" s="14" customFormat="1" ht="24.95" customHeight="1" spans="1:20">
      <c r="A200" s="26"/>
      <c r="B200" s="26"/>
      <c r="C200" s="26"/>
      <c r="D200" s="26"/>
      <c r="E200" s="26"/>
      <c r="F200" s="26"/>
      <c r="G200" s="26"/>
      <c r="H200" s="26"/>
      <c r="I200" s="27"/>
      <c r="J200" s="28"/>
      <c r="K200" s="28"/>
      <c r="L200" s="26"/>
      <c r="M200" s="26"/>
      <c r="N200" s="26"/>
      <c r="O200" s="26"/>
      <c r="P200" s="26"/>
      <c r="Q200" s="26"/>
      <c r="R200" s="26"/>
      <c r="S200" s="26"/>
      <c r="T200" s="26"/>
    </row>
    <row r="201" s="14" customFormat="1" ht="24.95" customHeight="1" spans="1:20">
      <c r="A201" s="26"/>
      <c r="B201" s="26"/>
      <c r="C201" s="26"/>
      <c r="D201" s="26"/>
      <c r="E201" s="26"/>
      <c r="F201" s="26"/>
      <c r="G201" s="26"/>
      <c r="H201" s="26"/>
      <c r="I201" s="27"/>
      <c r="J201" s="28"/>
      <c r="K201" s="28"/>
      <c r="L201" s="26"/>
      <c r="M201" s="26"/>
      <c r="N201" s="26"/>
      <c r="O201" s="26"/>
      <c r="P201" s="26"/>
      <c r="Q201" s="26"/>
      <c r="R201" s="26"/>
      <c r="S201" s="26"/>
      <c r="T201" s="26"/>
    </row>
    <row r="202" s="14" customFormat="1" ht="24.95" customHeight="1" spans="1:20">
      <c r="A202" s="26"/>
      <c r="B202" s="26"/>
      <c r="C202" s="26"/>
      <c r="D202" s="26"/>
      <c r="E202" s="26"/>
      <c r="F202" s="26"/>
      <c r="G202" s="26"/>
      <c r="H202" s="26"/>
      <c r="I202" s="27"/>
      <c r="J202" s="28"/>
      <c r="K202" s="28"/>
      <c r="L202" s="26"/>
      <c r="M202" s="26"/>
      <c r="N202" s="26"/>
      <c r="O202" s="26"/>
      <c r="P202" s="26"/>
      <c r="Q202" s="26"/>
      <c r="R202" s="26"/>
      <c r="S202" s="26"/>
      <c r="T202" s="26"/>
    </row>
    <row r="203" s="14" customFormat="1" ht="24.95" customHeight="1" spans="1:20">
      <c r="A203" s="26"/>
      <c r="B203" s="26"/>
      <c r="C203" s="26"/>
      <c r="D203" s="26"/>
      <c r="E203" s="26"/>
      <c r="F203" s="26"/>
      <c r="G203" s="26"/>
      <c r="H203" s="26"/>
      <c r="I203" s="27"/>
      <c r="J203" s="28"/>
      <c r="K203" s="28"/>
      <c r="L203" s="26"/>
      <c r="M203" s="26"/>
      <c r="N203" s="26"/>
      <c r="O203" s="26"/>
      <c r="P203" s="26"/>
      <c r="Q203" s="26"/>
      <c r="R203" s="26"/>
      <c r="S203" s="26"/>
      <c r="T203" s="26"/>
    </row>
    <row r="204" s="14" customFormat="1" ht="24.95" customHeight="1" spans="1:20">
      <c r="A204" s="26"/>
      <c r="B204" s="26"/>
      <c r="C204" s="26"/>
      <c r="D204" s="26"/>
      <c r="E204" s="26"/>
      <c r="F204" s="26"/>
      <c r="G204" s="26"/>
      <c r="H204" s="26"/>
      <c r="I204" s="27"/>
      <c r="J204" s="28"/>
      <c r="K204" s="28"/>
      <c r="L204" s="26"/>
      <c r="M204" s="26"/>
      <c r="N204" s="26"/>
      <c r="O204" s="26"/>
      <c r="P204" s="26"/>
      <c r="Q204" s="26"/>
      <c r="R204" s="26"/>
      <c r="S204" s="26"/>
      <c r="T204" s="26"/>
    </row>
    <row r="205" s="14" customFormat="1" ht="24.95" customHeight="1" spans="1:20">
      <c r="A205" s="26"/>
      <c r="B205" s="26"/>
      <c r="C205" s="26"/>
      <c r="D205" s="26"/>
      <c r="E205" s="26"/>
      <c r="F205" s="26"/>
      <c r="G205" s="26"/>
      <c r="H205" s="26"/>
      <c r="I205" s="27"/>
      <c r="J205" s="28"/>
      <c r="K205" s="28"/>
      <c r="L205" s="26"/>
      <c r="M205" s="26"/>
      <c r="N205" s="26"/>
      <c r="O205" s="26"/>
      <c r="P205" s="26"/>
      <c r="Q205" s="26"/>
      <c r="R205" s="26"/>
      <c r="S205" s="26"/>
      <c r="T205" s="26"/>
    </row>
    <row r="206" s="14" customFormat="1" ht="24.95" customHeight="1" spans="1:20">
      <c r="A206" s="26"/>
      <c r="B206" s="26"/>
      <c r="C206" s="26"/>
      <c r="D206" s="26"/>
      <c r="E206" s="26"/>
      <c r="F206" s="26"/>
      <c r="G206" s="26"/>
      <c r="H206" s="26"/>
      <c r="I206" s="27"/>
      <c r="J206" s="28"/>
      <c r="K206" s="28"/>
      <c r="L206" s="26"/>
      <c r="M206" s="26"/>
      <c r="N206" s="26"/>
      <c r="O206" s="26"/>
      <c r="P206" s="26"/>
      <c r="Q206" s="26"/>
      <c r="R206" s="26"/>
      <c r="S206" s="26"/>
      <c r="T206" s="26"/>
    </row>
    <row r="207" s="14" customFormat="1" ht="24.95" customHeight="1" spans="1:20">
      <c r="A207" s="26"/>
      <c r="B207" s="26"/>
      <c r="C207" s="26"/>
      <c r="D207" s="26"/>
      <c r="E207" s="26"/>
      <c r="F207" s="26"/>
      <c r="G207" s="26"/>
      <c r="H207" s="26"/>
      <c r="I207" s="27"/>
      <c r="J207" s="28"/>
      <c r="K207" s="28"/>
      <c r="L207" s="26"/>
      <c r="M207" s="26"/>
      <c r="N207" s="26"/>
      <c r="O207" s="26"/>
      <c r="P207" s="26"/>
      <c r="Q207" s="26"/>
      <c r="R207" s="26"/>
      <c r="S207" s="26"/>
      <c r="T207" s="26"/>
    </row>
    <row r="208" s="14" customFormat="1" ht="24.95" customHeight="1" spans="1:20">
      <c r="A208" s="26"/>
      <c r="B208" s="26"/>
      <c r="C208" s="26"/>
      <c r="D208" s="26"/>
      <c r="E208" s="26"/>
      <c r="F208" s="26"/>
      <c r="G208" s="26"/>
      <c r="H208" s="26"/>
      <c r="I208" s="27"/>
      <c r="J208" s="28"/>
      <c r="K208" s="28"/>
      <c r="L208" s="26"/>
      <c r="M208" s="26"/>
      <c r="N208" s="26"/>
      <c r="O208" s="26"/>
      <c r="P208" s="26"/>
      <c r="Q208" s="26"/>
      <c r="R208" s="26"/>
      <c r="S208" s="26"/>
      <c r="T208" s="26"/>
    </row>
    <row r="209" s="14" customFormat="1" ht="24.95" customHeight="1" spans="1:20">
      <c r="A209" s="26"/>
      <c r="B209" s="26"/>
      <c r="C209" s="26"/>
      <c r="D209" s="26"/>
      <c r="E209" s="26"/>
      <c r="F209" s="26"/>
      <c r="G209" s="26"/>
      <c r="H209" s="26"/>
      <c r="I209" s="27"/>
      <c r="J209" s="28"/>
      <c r="K209" s="28"/>
      <c r="L209" s="26"/>
      <c r="M209" s="26"/>
      <c r="N209" s="26"/>
      <c r="O209" s="26"/>
      <c r="P209" s="26"/>
      <c r="Q209" s="26"/>
      <c r="R209" s="26"/>
      <c r="S209" s="26"/>
      <c r="T209" s="26"/>
    </row>
    <row r="210" s="14" customFormat="1" ht="24.95" customHeight="1" spans="1:20">
      <c r="A210" s="26"/>
      <c r="B210" s="26"/>
      <c r="C210" s="26"/>
      <c r="D210" s="26"/>
      <c r="E210" s="26"/>
      <c r="F210" s="26"/>
      <c r="G210" s="26"/>
      <c r="H210" s="26"/>
      <c r="I210" s="27"/>
      <c r="J210" s="28"/>
      <c r="K210" s="28"/>
      <c r="L210" s="26"/>
      <c r="M210" s="26"/>
      <c r="N210" s="26"/>
      <c r="O210" s="26"/>
      <c r="P210" s="26"/>
      <c r="Q210" s="26"/>
      <c r="R210" s="26"/>
      <c r="S210" s="26"/>
      <c r="T210" s="26"/>
    </row>
    <row r="211" s="14" customFormat="1" ht="24.95" customHeight="1" spans="1:20">
      <c r="A211" s="26"/>
      <c r="B211" s="26"/>
      <c r="C211" s="26"/>
      <c r="D211" s="26"/>
      <c r="E211" s="26"/>
      <c r="F211" s="26"/>
      <c r="G211" s="26"/>
      <c r="H211" s="26"/>
      <c r="I211" s="27"/>
      <c r="J211" s="28"/>
      <c r="K211" s="28"/>
      <c r="L211" s="26"/>
      <c r="M211" s="26"/>
      <c r="N211" s="26"/>
      <c r="O211" s="26"/>
      <c r="P211" s="26"/>
      <c r="Q211" s="26"/>
      <c r="R211" s="26"/>
      <c r="S211" s="26"/>
      <c r="T211" s="26"/>
    </row>
    <row r="212" s="14" customFormat="1" ht="24.95" customHeight="1" spans="1:20">
      <c r="A212" s="26"/>
      <c r="B212" s="26"/>
      <c r="C212" s="26"/>
      <c r="D212" s="26"/>
      <c r="E212" s="26"/>
      <c r="F212" s="26"/>
      <c r="G212" s="26"/>
      <c r="H212" s="26"/>
      <c r="I212" s="27"/>
      <c r="J212" s="28"/>
      <c r="K212" s="28"/>
      <c r="L212" s="26"/>
      <c r="M212" s="26"/>
      <c r="N212" s="26"/>
      <c r="O212" s="26"/>
      <c r="P212" s="26"/>
      <c r="Q212" s="26"/>
      <c r="R212" s="26"/>
      <c r="S212" s="26"/>
      <c r="T212" s="26"/>
    </row>
    <row r="213" s="14" customFormat="1" ht="24.95" customHeight="1" spans="1:20">
      <c r="A213" s="26"/>
      <c r="B213" s="26"/>
      <c r="C213" s="26"/>
      <c r="D213" s="26"/>
      <c r="E213" s="26"/>
      <c r="F213" s="26"/>
      <c r="G213" s="26"/>
      <c r="H213" s="26"/>
      <c r="I213" s="27"/>
      <c r="J213" s="28"/>
      <c r="K213" s="28"/>
      <c r="L213" s="26"/>
      <c r="M213" s="26"/>
      <c r="N213" s="26"/>
      <c r="O213" s="26"/>
      <c r="P213" s="26"/>
      <c r="Q213" s="26"/>
      <c r="R213" s="26"/>
      <c r="S213" s="26"/>
      <c r="T213" s="26"/>
    </row>
    <row r="214" s="14" customFormat="1" ht="24.95" customHeight="1" spans="1:20">
      <c r="A214" s="26"/>
      <c r="B214" s="26"/>
      <c r="C214" s="26"/>
      <c r="D214" s="26"/>
      <c r="E214" s="26"/>
      <c r="F214" s="26"/>
      <c r="G214" s="26"/>
      <c r="H214" s="26"/>
      <c r="I214" s="27"/>
      <c r="J214" s="28"/>
      <c r="K214" s="28"/>
      <c r="L214" s="26"/>
      <c r="M214" s="26"/>
      <c r="N214" s="26"/>
      <c r="O214" s="26"/>
      <c r="P214" s="26"/>
      <c r="Q214" s="26"/>
      <c r="R214" s="26"/>
      <c r="S214" s="26"/>
      <c r="T214" s="26"/>
    </row>
    <row r="215" s="14" customFormat="1" ht="24.95" customHeight="1" spans="1:20">
      <c r="A215" s="26"/>
      <c r="B215" s="26"/>
      <c r="C215" s="26"/>
      <c r="D215" s="26"/>
      <c r="E215" s="26"/>
      <c r="F215" s="26"/>
      <c r="G215" s="26"/>
      <c r="H215" s="26"/>
      <c r="I215" s="27"/>
      <c r="J215" s="28"/>
      <c r="K215" s="28"/>
      <c r="L215" s="26"/>
      <c r="M215" s="26"/>
      <c r="N215" s="26"/>
      <c r="O215" s="26"/>
      <c r="P215" s="26"/>
      <c r="Q215" s="26"/>
      <c r="R215" s="26"/>
      <c r="S215" s="26"/>
      <c r="T215" s="26"/>
    </row>
  </sheetData>
  <sheetProtection password="C793" sheet="1"/>
  <mergeCells count="282">
    <mergeCell ref="M1:R1"/>
    <mergeCell ref="M2:T2"/>
    <mergeCell ref="M3:T3"/>
    <mergeCell ref="A6:J6"/>
    <mergeCell ref="L6:O6"/>
    <mergeCell ref="L7:O7"/>
    <mergeCell ref="R7:T7"/>
    <mergeCell ref="L8:O8"/>
    <mergeCell ref="L9:O9"/>
    <mergeCell ref="A10:T10"/>
    <mergeCell ref="E11:I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A147:T147"/>
    <mergeCell ref="A148:I148"/>
    <mergeCell ref="B149:E149"/>
    <mergeCell ref="F149:P149"/>
    <mergeCell ref="Q149:S149"/>
    <mergeCell ref="B150:E150"/>
    <mergeCell ref="F150:P150"/>
    <mergeCell ref="Q150:S150"/>
    <mergeCell ref="B151:E151"/>
    <mergeCell ref="F151:P151"/>
    <mergeCell ref="Q151:S151"/>
    <mergeCell ref="B152:E152"/>
    <mergeCell ref="F152:P152"/>
    <mergeCell ref="Q152:S152"/>
    <mergeCell ref="B153:E153"/>
    <mergeCell ref="F153:P153"/>
    <mergeCell ref="Q153:S153"/>
    <mergeCell ref="B154:E154"/>
    <mergeCell ref="F154:P154"/>
    <mergeCell ref="Q154:S154"/>
    <mergeCell ref="B155:E155"/>
    <mergeCell ref="F155:P155"/>
    <mergeCell ref="Q155:S155"/>
    <mergeCell ref="B156:E156"/>
    <mergeCell ref="F156:P156"/>
    <mergeCell ref="Q156:S156"/>
    <mergeCell ref="B157:E157"/>
    <mergeCell ref="F157:S157"/>
    <mergeCell ref="B158:E158"/>
    <mergeCell ref="F158:S158"/>
    <mergeCell ref="B159:E159"/>
    <mergeCell ref="F159:S159"/>
    <mergeCell ref="B160:E160"/>
    <mergeCell ref="F160:S160"/>
    <mergeCell ref="B161:E161"/>
    <mergeCell ref="F161:S161"/>
    <mergeCell ref="B162:E162"/>
    <mergeCell ref="F162:S162"/>
    <mergeCell ref="B163:E163"/>
    <mergeCell ref="F163:S163"/>
    <mergeCell ref="B164:E164"/>
    <mergeCell ref="F164:S164"/>
    <mergeCell ref="B165:E165"/>
    <mergeCell ref="F165:S165"/>
    <mergeCell ref="B166:E166"/>
    <mergeCell ref="F166:S166"/>
    <mergeCell ref="B167:E167"/>
    <mergeCell ref="F167:S167"/>
    <mergeCell ref="B168:E168"/>
    <mergeCell ref="F168:S168"/>
    <mergeCell ref="B169:E169"/>
    <mergeCell ref="F169:S169"/>
    <mergeCell ref="B170:E170"/>
    <mergeCell ref="F170:S170"/>
    <mergeCell ref="B171:E171"/>
    <mergeCell ref="F171:S171"/>
    <mergeCell ref="B172:E172"/>
    <mergeCell ref="F172:S172"/>
    <mergeCell ref="B173:E173"/>
    <mergeCell ref="F173:S173"/>
    <mergeCell ref="B174:E174"/>
    <mergeCell ref="F174:S174"/>
    <mergeCell ref="B175:E175"/>
    <mergeCell ref="F175:S175"/>
    <mergeCell ref="B176:E176"/>
    <mergeCell ref="F176:S176"/>
    <mergeCell ref="B177:E177"/>
    <mergeCell ref="F177:S177"/>
    <mergeCell ref="B178:E178"/>
    <mergeCell ref="F178:S178"/>
    <mergeCell ref="B179:E179"/>
    <mergeCell ref="F179:S179"/>
    <mergeCell ref="B180:E180"/>
    <mergeCell ref="F180:S180"/>
    <mergeCell ref="B181:E181"/>
    <mergeCell ref="F181:S181"/>
    <mergeCell ref="B182:E182"/>
    <mergeCell ref="F182:S182"/>
    <mergeCell ref="B183:E183"/>
    <mergeCell ref="F183:S183"/>
    <mergeCell ref="B184:E184"/>
    <mergeCell ref="F184:S184"/>
    <mergeCell ref="F185:S185"/>
    <mergeCell ref="B186:E186"/>
    <mergeCell ref="F186:S186"/>
    <mergeCell ref="B187:E187"/>
    <mergeCell ref="F187:S187"/>
    <mergeCell ref="B188:E188"/>
    <mergeCell ref="F188:S188"/>
    <mergeCell ref="A189:S189"/>
    <mergeCell ref="A1:A2"/>
    <mergeCell ref="A11:A12"/>
    <mergeCell ref="A13:A52"/>
    <mergeCell ref="A53:A99"/>
    <mergeCell ref="A100:A119"/>
    <mergeCell ref="A120:A129"/>
    <mergeCell ref="A130:A146"/>
    <mergeCell ref="B11:B12"/>
    <mergeCell ref="B13:B17"/>
    <mergeCell ref="B18:B25"/>
    <mergeCell ref="B26:B30"/>
    <mergeCell ref="B31:B39"/>
    <mergeCell ref="B40:B44"/>
    <mergeCell ref="B45:B48"/>
    <mergeCell ref="B49:B52"/>
    <mergeCell ref="B53:B57"/>
    <mergeCell ref="B58:B62"/>
    <mergeCell ref="B63:B67"/>
    <mergeCell ref="B68:B74"/>
    <mergeCell ref="B75:B79"/>
    <mergeCell ref="B80:B84"/>
    <mergeCell ref="B85:B89"/>
    <mergeCell ref="B90:B94"/>
    <mergeCell ref="B95:B99"/>
    <mergeCell ref="B100:B104"/>
    <mergeCell ref="B105:B109"/>
    <mergeCell ref="B110:B114"/>
    <mergeCell ref="B115:B119"/>
    <mergeCell ref="B120:B124"/>
    <mergeCell ref="B125:B129"/>
    <mergeCell ref="B130:B131"/>
    <mergeCell ref="B132:B136"/>
    <mergeCell ref="B137:B141"/>
    <mergeCell ref="B142:B146"/>
    <mergeCell ref="J11:J12"/>
    <mergeCell ref="L11:L12"/>
    <mergeCell ref="M11:M12"/>
    <mergeCell ref="N11:N12"/>
    <mergeCell ref="O11:O12"/>
    <mergeCell ref="P11:P12"/>
    <mergeCell ref="Q11:Q12"/>
    <mergeCell ref="C11:D12"/>
    <mergeCell ref="R11:T12"/>
    <mergeCell ref="E1:J3"/>
    <mergeCell ref="A7:J9"/>
    <mergeCell ref="A4:T5"/>
    <mergeCell ref="A194:S196"/>
  </mergeCells>
  <hyperlinks>
    <hyperlink ref="C15:D15" location="'AC_Interior 1'!A1" display="Interior 1"/>
    <hyperlink ref="C16:D16" location="'AC_Interior 2'!A1" display="Interior 2"/>
    <hyperlink ref="C20:D20" location="'AM_Interior 1'!A1" display="Interior 1"/>
    <hyperlink ref="C23:D23" location="'AM_Interior Fluvial 1'!A1" display="Interior / Fluvial 1"/>
    <hyperlink ref="C17:D17" location="'AC_Interior 3'!A1" display="Interior 3"/>
    <hyperlink ref="C24:D24" location="'AM_Interior Fluvial 2'!A1" display="Interior / Fluvial 2"/>
    <hyperlink ref="C18:D18" location="AM_Manaus!A1" display="Manaus"/>
    <hyperlink ref="C21" location="'AM_Interior 1'!A1" display="Interior 2"/>
    <hyperlink ref="C20" location="'AM_Interior 1'!A1" display="Interior 1"/>
    <hyperlink ref="D20" location="'AM_Interior 1'!A1"/>
    <hyperlink ref="D21" location="'AM_Interior 1'!A1"/>
    <hyperlink ref="C22" location="'AM_Interior 1'!A1" display="Interior 3"/>
    <hyperlink ref="D22" location="'AM_Interior 1'!A1"/>
    <hyperlink ref="C24" location="'AM_Interior Fluvial 2'!A1" display="Interior / Fluvial 2"/>
    <hyperlink ref="C25" location="'AM_Interior Fluvial 2'!A1" display="Interior / Fluvial 3"/>
    <hyperlink ref="D24" location="'AM_Interior Fluvial 2'!A1"/>
    <hyperlink ref="D25" location="'AM_Interior Fluvial 2'!A1"/>
    <hyperlink ref="C14:D14" location="'AC_Interior 0'!A1" display="Interior 0"/>
    <hyperlink ref="C13:D13" location="'AC_Rio Branco'!A1" display="Rio Branco"/>
    <hyperlink ref="C19:D19" location="'AM_Interior 0'!A1" display="Interior 0"/>
    <hyperlink ref="C21:D21" location="'AM_Interior 2 '!A1" display="Interior 2"/>
    <hyperlink ref="C22:D22" location="'AM_Interior 3'!A1" display="Interior 3"/>
    <hyperlink ref="C25:D25" location="'AM_Interior Fluvial 3'!A1" display="Interior / Fluvial 3"/>
    <hyperlink ref="C26:D26" location="AP_Macapá!A1" display="Macapá"/>
    <hyperlink ref="C28:D28" location="'AP_Interior 1'!A1" display="Interior 1"/>
    <hyperlink ref="C29:D29" location="'AP_Interior 2'!A1" display="Interior 2"/>
    <hyperlink ref="C31:D31" location="PA_Belém!A1" display="Belém"/>
    <hyperlink ref="C40:D40" location="'RO_Porto Velho'!A1" display="Porto Velho"/>
    <hyperlink ref="C42:D42" location="'RO_Interior 1'!A1" display="Interior 1"/>
    <hyperlink ref="C43:D43" location="'RO_Interior 2'!A1" display="Interior 2"/>
    <hyperlink ref="C45:D45" location="'RR_Boa Vista'!A1" display="Boa Vista"/>
    <hyperlink ref="C46:D46" location="'RR_Interior 1'!A1" display="Interior 1"/>
    <hyperlink ref="C49:D49" location="TO_Palmas!A1" display="Palmas "/>
    <hyperlink ref="C50:D50" location="'TO_Interior 1'!A1" display="Interior 1"/>
    <hyperlink ref="C51:D51" location="'TO_Interior 2'!A1" display="Interior 2"/>
    <hyperlink ref="C68:D68" location="'MA_São Luis'!A1" display="São Luís "/>
    <hyperlink ref="C69:D69" location="'MA_Sul do Maranhão 1'!A1" display="Sul do Maranhão 1"/>
    <hyperlink ref="C70:D70" location="'MA_Sul do Maranhão 2'!A1" display="Sul do Maranhão 2"/>
    <hyperlink ref="C72:D72" location="'MA_Interior 1 '!A1" display="Interior 1"/>
    <hyperlink ref="C87:D87" location="'PI_Interior 1'!A1" display="Interior 1"/>
    <hyperlink ref="C88:D88" location="'PI_Interior 2'!A1" display="interior 2"/>
    <hyperlink ref="C90:D90" location="RN_Parnamirim!A1" display="Natal"/>
    <hyperlink ref="C92:D92" location="'RN_Interior 1'!A1" display="Interior 1"/>
    <hyperlink ref="C93:D93" location="'RN_Interior 2'!A1" display="Interior 2"/>
    <hyperlink ref="C30:D30" location="'AP_Interior 3'!A1" display="Interior 3"/>
    <hyperlink ref="C44:D44" location="'RO_Interior 3'!A1" display="Interior 3"/>
    <hyperlink ref="C52:D52" location="'TO_Interior 3'!A1" display="Interior 3"/>
    <hyperlink ref="C94:D94" location="'RN_Interior 3'!A1" display="Interior 3"/>
    <hyperlink ref="C73:D73" location="'MA_Interior 2'!A1" display="Interior 2"/>
    <hyperlink ref="C74:D74" location="'MA_Interior 3'!A1" display="Interior 3"/>
    <hyperlink ref="C47:D47" location="'RR_Interior 2'!A1" display="Interior 2"/>
    <hyperlink ref="C85:D85" location="PI_Teresina!A1" display="Teresina"/>
    <hyperlink ref="C89:D89" location="'PI_Interior 3'!A1" display="Interior 3"/>
    <hyperlink ref="C41:D41" location="'RO_Interior 0'!A1" display="Interior 0"/>
    <hyperlink ref="C47" location="'RR_Interior 2'!A1" display="Interior 2"/>
    <hyperlink ref="C48" location="'RR_Interior 2'!A1" display="Interior 3"/>
    <hyperlink ref="D47" location="'RR_Interior 2'!A1"/>
    <hyperlink ref="D48" location="'RR_Interior 2'!A1"/>
    <hyperlink ref="C91:D91" location="'RN_Interior 0'!A1" display="Interior 0"/>
    <hyperlink ref="C32:D32" location="'AP_Interior 1'!A1" display="Interior 0"/>
    <hyperlink ref="C32" location="'AP_Interior 1'!A1" display="Interior 0"/>
    <hyperlink ref="D32" location="'AP_Interior 1'!A1"/>
    <hyperlink ref="C27:D27" location="'AP_Interior 0'!A1" display="Interior 0"/>
    <hyperlink ref="C32:D32" location="'PA_Interior 0'!A1" display="Interior 0"/>
    <hyperlink ref="C33:D33" location="'PA_Interior 1'!A1" display="Interior 1"/>
    <hyperlink ref="C34:D34" location="'PA_Interior 2'!A1" display="Interior 2"/>
    <hyperlink ref="C35:D35" location="'PA_Interior 3'!A1" display="Interior 3"/>
    <hyperlink ref="C37:D37" location="'PA_Interior Fluvial 1'!A1" display="Interior / Fluvial 1"/>
    <hyperlink ref="C38:D38" location="'PA_Interior Fluvial 2'!A1" display="Interior / Fluvial 2"/>
    <hyperlink ref="C39:D39" location="'PA_Interior Fluvial 3'!A1" display="Interior / Fluvial 3"/>
    <hyperlink ref="C47:D47" location="'RR_Interior 2'!A1" display="Interior 2"/>
    <hyperlink ref="C48:D48" location="'RR_Interior 3'!A1" display="Interior 3"/>
    <hyperlink ref="C71:D71" location="'MA_Interior 0'!A1" display="Interior 0"/>
    <hyperlink ref="C86:D86" location="'PI_Interior 0'!A1" display="Interior 0"/>
    <hyperlink ref="C55:D55" location="'PE_Interior 1'!A1" display="Interior 1"/>
    <hyperlink ref="C56:D56" location="'PE_Interior 2'!A1" display="Interior 2"/>
    <hyperlink ref="C57:D57" location="'PE_Interior 3'!A1" display="Interior 3"/>
    <hyperlink ref="C53:D53" location="PE_Recife!A1" display="Maceió"/>
    <hyperlink ref="C77:D77" location="'PE_Interior 1'!A1" display="Interior 1"/>
    <hyperlink ref="C78:D78" location="'PE_Interior 2'!A1" display="Interior 2"/>
    <hyperlink ref="C79:D79" location="'PE_Interior 3'!A1" display="Interior 3"/>
    <hyperlink ref="C75:D75" location="PE_Recife!A1" display="João Pessoa"/>
    <hyperlink ref="C76:D76" location="'PE_Interior 0'!A1" display="Interior 0"/>
    <hyperlink ref="C54:D54" location="'PE_Interior 0'!A1" display="Interior 0"/>
    <hyperlink ref="C80:D80" location="'PB_João Pessoa'!A1" display="Recife"/>
    <hyperlink ref="C82:D82" location="'PB_Interior 1'!A1" display="Interior 1"/>
    <hyperlink ref="C83:D83" location="'PB_Interior 2'!A1" display="Interior 2"/>
    <hyperlink ref="C84:D84" location="'PB_Interior 3'!A1" display="Interior 3"/>
    <hyperlink ref="C81:D81" location="'PB_Interior 0'!A1" display="Interior 0"/>
    <hyperlink ref="C63:D63" location="AL_Maceió!A1" display="Fortaleza"/>
    <hyperlink ref="C65:D65" location="'AL_Interior 1'!A1" display="Interior 1"/>
    <hyperlink ref="C66:D66" location="'AL_Interior 2'!A1" display="Interior 2"/>
    <hyperlink ref="C67:D67" location="'AL_Interior 3'!A1" display="Interior 3"/>
    <hyperlink ref="C64:D64" location="'AL_Interior 0'!A1" display="Interior 0"/>
    <hyperlink ref="C95:D95" location="RN_Parnamirim!A1" display="Aracaju"/>
    <hyperlink ref="C97:D97" location="'RN_Interior 1'!A1" display="Interior 1"/>
    <hyperlink ref="C98:D98" location="'RN_Interior 2'!A1" display="Interior 2"/>
    <hyperlink ref="C99:D99" location="'RN_Interior 3'!A1" display="Interior 3"/>
    <hyperlink ref="C96:D96" location="'RN_Interior 0'!A1" display="Interior 0"/>
    <hyperlink ref="C58:D58" location="AL_Maceió!A1" display="Salvador"/>
    <hyperlink ref="C60:D60" location="'AL_Interior 1'!A1" display="Interior 1"/>
    <hyperlink ref="C61:D61" location="'AL_Interior 2'!A1" display="Interior 2"/>
    <hyperlink ref="C62:D62" location="'AL_Interior 3'!A1" display="Interior 3"/>
    <hyperlink ref="C59:D59" location="'AL_Interior 0'!A1" display="Interior 0"/>
    <hyperlink ref="C36:D36" location="'PA_Interior Fluvial 1'!A1" display="Interior / Fluvial 0"/>
    <hyperlink ref="C132:D132" location="GO_Goiânia!A1" display="Goiânia"/>
    <hyperlink ref="C134:D134" location="'GO_Interior 1 '!A1" display="Interior 1"/>
    <hyperlink ref="C135:D135" location="'GO_Interior 2'!A1" display="Interior 2"/>
    <hyperlink ref="C136:D136" location="'GO_Interior 3'!A1" display="Interior 3"/>
    <hyperlink ref="C130:D130" location="DF_Brasília!A1" display="Brasília"/>
    <hyperlink ref="C137:D137" location="'MS_Campo Grande'!A1" display="Campo Grande"/>
    <hyperlink ref="C139:D139" location="'MS_Interior 1'!A1" display="Interior 1"/>
    <hyperlink ref="C140:D140" location="'MS_Interior 2'!A1" display="Interior 2"/>
    <hyperlink ref="C141:D141" location="'MS_Interior 3'!A1" display="Interior 3"/>
    <hyperlink ref="C142:D142" location="MT_Cuiabá!A1" display="Cuiabá "/>
    <hyperlink ref="C144:D144" location="'MT_Interior 1'!A1" display="Interior 1"/>
    <hyperlink ref="C145:D145" location="'MT_Interior 2'!A1" display="Interior 2"/>
    <hyperlink ref="C120:D120" location="'RS_Porto Alegre'!A1" display="Porto Alegre"/>
    <hyperlink ref="C122:D122" location="'RS_Interior 1'!A1" display="Interior 1"/>
    <hyperlink ref="C123:D123" location="'RS_Interior 2'!A1" display="Interior 2"/>
    <hyperlink ref="C124:D124" location="'RS_Interior 3'!A1" display="Interior 3"/>
    <hyperlink ref="C121:D121" location="'RS_Interior 0'!A1" display="Interior 0"/>
    <hyperlink ref="C138:D138" location="'MS_Interior 0'!A1" display="Interior 0"/>
    <hyperlink ref="C143:D143" location="'MT_Interior 0'!A1" display="Interior 0"/>
    <hyperlink ref="C133:D133" location="'GO_Interior 0'!A1" display="Interior 0"/>
    <hyperlink ref="C125:D125" location="SC_Joinville!A1" display="Joinville"/>
    <hyperlink ref="C127:D127" location="'SC_Interior 1'!A1" display="Interior 1"/>
    <hyperlink ref="C128:D128" location="'SC_Interior 2'!A1" display="Interior 2"/>
    <hyperlink ref="C129:D129" location="'SC_Interior 3'!A1" display="Interior 3"/>
    <hyperlink ref="C126:D126" location="'SC_Interior 0'!A1" display="Interior 0"/>
    <hyperlink ref="C146:D146" location="'MT_Interior 3'!A1" display="Interior 3"/>
    <hyperlink ref="A194" r:id="rId2" display="http://www.todobrasil.log.br/?navegar=site"/>
    <hyperlink ref="C131:D131" location="'DF_Cidade Satélite'!A1" display="Cidade Satélite"/>
    <hyperlink ref="C117:D117" location="'RJ_Interior 1'!A1" display="Interior 1"/>
    <hyperlink ref="C118:D118" location="'RJ_Interior 2'!A1" display="Interior 2"/>
    <hyperlink ref="C119:D119" location="'RJ_Interior 3'!A1" display="Interior 3"/>
    <hyperlink ref="C116:D116" location="'RJ_Interior 0'!A1" display="Interior 0"/>
    <hyperlink ref="C105:D105" location="'MG_Belo Horizonte'!A1" display="Belo Horizonte "/>
    <hyperlink ref="C110:D110" location="'RJ_Rio de Janeiro'!A1" display="Rio de Janeiro"/>
    <hyperlink ref="C107:D107" location="'MG_Interior 1'!A1" display="Interior 1"/>
    <hyperlink ref="C108:D108" location="'MG_Interior 2'!A1" display="Interior 2"/>
    <hyperlink ref="C109:D109" location="'MG_interior 3'!A1" display="Interior 3"/>
    <hyperlink ref="C106:D106" location="'MG_Interior 0'!A1" display="Interior 0"/>
    <hyperlink ref="C112:D112" location="'RJ_Interior 1'!A1" display="Interior 1"/>
    <hyperlink ref="C113:D113" location="'RJ_Interior 2'!A1" display="Interior 2"/>
    <hyperlink ref="C114:D114" location="'RJ_Interior 3'!A1" display="Interior 3"/>
    <hyperlink ref="C111:D111" location="'RJ_Interior 0'!A1" display="Interior 0"/>
    <hyperlink ref="C100:D100" location="'RJ_Rio de Janeiro'!A1" display="Vitoria"/>
    <hyperlink ref="C102:D102" location="'RJ_Interior 1'!A1" display="Interior 1"/>
    <hyperlink ref="C103:D103" location="'RJ_Interior 2'!A1" display="Interior 2"/>
    <hyperlink ref="C104:D104" location="'RJ_Interior 3'!A1" display="Interior 3"/>
    <hyperlink ref="C101:D101" location="'RJ_Interior 0'!A1" display="Interior 0"/>
    <hyperlink ref="C115:D115" location="PR_Curitiba!A1" display="São Paulo"/>
  </hyperlinks>
  <pageMargins left="0.05" right="0.05" top="0.05" bottom="0.05" header="0.05" footer="0.05"/>
  <pageSetup paperSize="9" scale="27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92"/>
  <sheetViews>
    <sheetView workbookViewId="0">
      <selection activeCell="D4" sqref="D4"/>
    </sheetView>
  </sheetViews>
  <sheetFormatPr defaultColWidth="9.14285714285714" defaultRowHeight="12.75" outlineLevelCol="7"/>
  <cols>
    <col min="1" max="1" width="21.2857142857143" style="2" customWidth="1"/>
    <col min="2" max="2" width="15.2857142857143" style="2" customWidth="1"/>
    <col min="3" max="3" width="6.85714285714286" style="2" customWidth="1"/>
    <col min="4" max="4" width="24.4285714285714" style="2" customWidth="1"/>
    <col min="5" max="5" width="10.2857142857143" style="2"/>
    <col min="6" max="6" width="21.5714285714286" style="2" customWidth="1"/>
    <col min="7" max="7" width="16.1428571428571" style="2" customWidth="1"/>
    <col min="8" max="8" width="16" style="2" customWidth="1"/>
    <col min="9" max="16384" width="9.14285714285714" style="1"/>
  </cols>
  <sheetData>
    <row r="1" s="1" customFormat="1" ht="24" spans="1:8">
      <c r="A1" s="3" t="s">
        <v>198</v>
      </c>
      <c r="B1" s="3" t="s">
        <v>199</v>
      </c>
      <c r="C1" s="3" t="s">
        <v>17</v>
      </c>
      <c r="D1" s="3" t="s">
        <v>200</v>
      </c>
      <c r="E1" s="3" t="s">
        <v>201</v>
      </c>
      <c r="F1" s="5" t="s">
        <v>202</v>
      </c>
      <c r="G1" s="5" t="s">
        <v>203</v>
      </c>
      <c r="H1" s="6" t="s">
        <v>204</v>
      </c>
    </row>
    <row r="2" s="1" customFormat="1" spans="1:8">
      <c r="A2" s="4" t="s">
        <v>205</v>
      </c>
      <c r="B2" s="4" t="s">
        <v>33</v>
      </c>
      <c r="C2" s="4" t="s">
        <v>34</v>
      </c>
      <c r="D2" s="4" t="s">
        <v>35</v>
      </c>
      <c r="E2" s="4">
        <v>1200401</v>
      </c>
      <c r="F2" s="4" t="s">
        <v>206</v>
      </c>
      <c r="G2" s="4" t="s">
        <v>207</v>
      </c>
      <c r="H2" s="4"/>
    </row>
    <row r="3" s="1" customFormat="1" spans="1:8">
      <c r="A3" s="4" t="s">
        <v>205</v>
      </c>
      <c r="B3" s="4" t="s">
        <v>33</v>
      </c>
      <c r="C3" s="4" t="s">
        <v>34</v>
      </c>
      <c r="D3" s="4" t="s">
        <v>208</v>
      </c>
      <c r="E3" s="4">
        <v>1200138</v>
      </c>
      <c r="F3" s="4" t="s">
        <v>209</v>
      </c>
      <c r="G3" s="4" t="s">
        <v>210</v>
      </c>
      <c r="H3" s="4"/>
    </row>
    <row r="4" s="1" customFormat="1" spans="1:8">
      <c r="A4" s="4" t="s">
        <v>205</v>
      </c>
      <c r="B4" s="4" t="s">
        <v>33</v>
      </c>
      <c r="C4" s="4" t="s">
        <v>34</v>
      </c>
      <c r="D4" s="4" t="s">
        <v>211</v>
      </c>
      <c r="E4" s="4">
        <v>1200450</v>
      </c>
      <c r="F4" s="4" t="s">
        <v>212</v>
      </c>
      <c r="G4" s="4" t="s">
        <v>210</v>
      </c>
      <c r="H4" s="4"/>
    </row>
    <row r="5" s="1" customFormat="1" spans="1:8">
      <c r="A5" s="4" t="s">
        <v>205</v>
      </c>
      <c r="B5" s="4" t="s">
        <v>33</v>
      </c>
      <c r="C5" s="4" t="s">
        <v>34</v>
      </c>
      <c r="D5" s="4" t="s">
        <v>213</v>
      </c>
      <c r="E5" s="4">
        <v>1200013</v>
      </c>
      <c r="F5" s="4" t="s">
        <v>214</v>
      </c>
      <c r="G5" s="4" t="s">
        <v>215</v>
      </c>
      <c r="H5" s="4"/>
    </row>
    <row r="6" s="1" customFormat="1" spans="1:8">
      <c r="A6" s="4" t="s">
        <v>205</v>
      </c>
      <c r="B6" s="4" t="s">
        <v>33</v>
      </c>
      <c r="C6" s="4" t="s">
        <v>34</v>
      </c>
      <c r="D6" s="4" t="s">
        <v>216</v>
      </c>
      <c r="E6" s="4">
        <v>1200179</v>
      </c>
      <c r="F6" s="4" t="s">
        <v>217</v>
      </c>
      <c r="G6" s="4" t="s">
        <v>215</v>
      </c>
      <c r="H6" s="4"/>
    </row>
    <row r="7" s="1" customFormat="1" spans="1:8">
      <c r="A7" s="4" t="s">
        <v>205</v>
      </c>
      <c r="B7" s="4" t="s">
        <v>33</v>
      </c>
      <c r="C7" s="4" t="s">
        <v>34</v>
      </c>
      <c r="D7" s="4" t="s">
        <v>218</v>
      </c>
      <c r="E7" s="4">
        <v>1200252</v>
      </c>
      <c r="F7" s="4" t="s">
        <v>219</v>
      </c>
      <c r="G7" s="4" t="s">
        <v>215</v>
      </c>
      <c r="H7" s="4"/>
    </row>
    <row r="8" s="1" customFormat="1" spans="1:8">
      <c r="A8" s="4" t="s">
        <v>205</v>
      </c>
      <c r="B8" s="4" t="s">
        <v>33</v>
      </c>
      <c r="C8" s="4" t="s">
        <v>34</v>
      </c>
      <c r="D8" s="4" t="s">
        <v>220</v>
      </c>
      <c r="E8" s="4">
        <v>1200344</v>
      </c>
      <c r="F8" s="4" t="s">
        <v>221</v>
      </c>
      <c r="G8" s="4" t="s">
        <v>215</v>
      </c>
      <c r="H8" s="4"/>
    </row>
    <row r="9" s="1" customFormat="1" spans="1:8">
      <c r="A9" s="4" t="s">
        <v>205</v>
      </c>
      <c r="B9" s="4" t="s">
        <v>33</v>
      </c>
      <c r="C9" s="4" t="s">
        <v>34</v>
      </c>
      <c r="D9" s="4" t="s">
        <v>222</v>
      </c>
      <c r="E9" s="4">
        <v>1200385</v>
      </c>
      <c r="F9" s="4" t="s">
        <v>223</v>
      </c>
      <c r="G9" s="4" t="s">
        <v>215</v>
      </c>
      <c r="H9" s="4"/>
    </row>
    <row r="10" s="1" customFormat="1" spans="1:8">
      <c r="A10" s="4" t="s">
        <v>205</v>
      </c>
      <c r="B10" s="4" t="s">
        <v>33</v>
      </c>
      <c r="C10" s="4" t="s">
        <v>34</v>
      </c>
      <c r="D10" s="4" t="s">
        <v>224</v>
      </c>
      <c r="E10" s="4">
        <v>1200807</v>
      </c>
      <c r="F10" s="4" t="s">
        <v>225</v>
      </c>
      <c r="G10" s="4" t="s">
        <v>215</v>
      </c>
      <c r="H10" s="4"/>
    </row>
    <row r="11" s="1" customFormat="1" spans="1:8">
      <c r="A11" s="4" t="s">
        <v>205</v>
      </c>
      <c r="B11" s="4" t="s">
        <v>33</v>
      </c>
      <c r="C11" s="4" t="s">
        <v>34</v>
      </c>
      <c r="D11" s="4" t="s">
        <v>226</v>
      </c>
      <c r="E11" s="4">
        <v>1200500</v>
      </c>
      <c r="F11" s="4" t="s">
        <v>227</v>
      </c>
      <c r="G11" s="4" t="s">
        <v>215</v>
      </c>
      <c r="H11" s="4"/>
    </row>
    <row r="12" s="1" customFormat="1" spans="1:8">
      <c r="A12" s="4" t="s">
        <v>205</v>
      </c>
      <c r="B12" s="4" t="s">
        <v>33</v>
      </c>
      <c r="C12" s="4" t="s">
        <v>34</v>
      </c>
      <c r="D12" s="4" t="s">
        <v>228</v>
      </c>
      <c r="E12" s="4">
        <v>1200708</v>
      </c>
      <c r="F12" s="4" t="s">
        <v>229</v>
      </c>
      <c r="G12" s="4" t="s">
        <v>215</v>
      </c>
      <c r="H12" s="4"/>
    </row>
    <row r="13" s="1" customFormat="1" spans="1:8">
      <c r="A13" s="4" t="s">
        <v>205</v>
      </c>
      <c r="B13" s="4" t="s">
        <v>33</v>
      </c>
      <c r="C13" s="4" t="s">
        <v>34</v>
      </c>
      <c r="D13" s="4" t="s">
        <v>230</v>
      </c>
      <c r="E13" s="4">
        <v>1200054</v>
      </c>
      <c r="F13" s="4" t="s">
        <v>231</v>
      </c>
      <c r="G13" s="4" t="s">
        <v>232</v>
      </c>
      <c r="H13" s="4"/>
    </row>
    <row r="14" s="1" customFormat="1" spans="1:8">
      <c r="A14" s="4" t="s">
        <v>205</v>
      </c>
      <c r="B14" s="4" t="s">
        <v>33</v>
      </c>
      <c r="C14" s="4" t="s">
        <v>34</v>
      </c>
      <c r="D14" s="4" t="s">
        <v>233</v>
      </c>
      <c r="E14" s="4">
        <v>1200104</v>
      </c>
      <c r="F14" s="4" t="s">
        <v>234</v>
      </c>
      <c r="G14" s="4" t="s">
        <v>232</v>
      </c>
      <c r="H14" s="4"/>
    </row>
    <row r="15" s="1" customFormat="1" spans="1:8">
      <c r="A15" s="4" t="s">
        <v>205</v>
      </c>
      <c r="B15" s="4" t="s">
        <v>33</v>
      </c>
      <c r="C15" s="4" t="s">
        <v>34</v>
      </c>
      <c r="D15" s="4" t="s">
        <v>235</v>
      </c>
      <c r="E15" s="4">
        <v>1200302</v>
      </c>
      <c r="F15" s="4" t="s">
        <v>236</v>
      </c>
      <c r="G15" s="4" t="s">
        <v>232</v>
      </c>
      <c r="H15" s="4"/>
    </row>
    <row r="16" s="1" customFormat="1" spans="1:8">
      <c r="A16" s="4" t="s">
        <v>205</v>
      </c>
      <c r="B16" s="4" t="s">
        <v>33</v>
      </c>
      <c r="C16" s="4" t="s">
        <v>34</v>
      </c>
      <c r="D16" s="4" t="s">
        <v>237</v>
      </c>
      <c r="E16" s="4">
        <v>1200435</v>
      </c>
      <c r="F16" s="4" t="s">
        <v>238</v>
      </c>
      <c r="G16" s="4" t="s">
        <v>232</v>
      </c>
      <c r="H16" s="4"/>
    </row>
    <row r="17" s="1" customFormat="1" spans="1:8">
      <c r="A17" s="4" t="s">
        <v>205</v>
      </c>
      <c r="B17" s="4" t="s">
        <v>33</v>
      </c>
      <c r="C17" s="4" t="s">
        <v>34</v>
      </c>
      <c r="D17" s="4" t="s">
        <v>239</v>
      </c>
      <c r="E17" s="4">
        <v>1200609</v>
      </c>
      <c r="F17" s="4" t="s">
        <v>240</v>
      </c>
      <c r="G17" s="4" t="s">
        <v>232</v>
      </c>
      <c r="H17" s="4"/>
    </row>
    <row r="18" s="1" customFormat="1" spans="1:8">
      <c r="A18" s="4" t="s">
        <v>205</v>
      </c>
      <c r="B18" s="4" t="s">
        <v>33</v>
      </c>
      <c r="C18" s="4" t="s">
        <v>34</v>
      </c>
      <c r="D18" s="4" t="s">
        <v>241</v>
      </c>
      <c r="E18" s="4">
        <v>1200203</v>
      </c>
      <c r="F18" s="4" t="s">
        <v>242</v>
      </c>
      <c r="G18" s="4" t="s">
        <v>243</v>
      </c>
      <c r="H18" s="4"/>
    </row>
    <row r="19" s="1" customFormat="1" spans="1:8">
      <c r="A19" s="4" t="s">
        <v>205</v>
      </c>
      <c r="B19" s="4" t="s">
        <v>33</v>
      </c>
      <c r="C19" s="4" t="s">
        <v>34</v>
      </c>
      <c r="D19" s="4" t="s">
        <v>244</v>
      </c>
      <c r="E19" s="4">
        <v>1200328</v>
      </c>
      <c r="F19" s="4" t="s">
        <v>245</v>
      </c>
      <c r="G19" s="4" t="s">
        <v>243</v>
      </c>
      <c r="H19" s="4"/>
    </row>
    <row r="20" s="1" customFormat="1" spans="1:8">
      <c r="A20" s="4" t="s">
        <v>205</v>
      </c>
      <c r="B20" s="4" t="s">
        <v>33</v>
      </c>
      <c r="C20" s="4" t="s">
        <v>34</v>
      </c>
      <c r="D20" s="4" t="s">
        <v>246</v>
      </c>
      <c r="E20" s="4">
        <v>1200351</v>
      </c>
      <c r="F20" s="4" t="s">
        <v>247</v>
      </c>
      <c r="G20" s="4" t="s">
        <v>243</v>
      </c>
      <c r="H20" s="4"/>
    </row>
    <row r="21" s="1" customFormat="1" spans="1:8">
      <c r="A21" s="4" t="s">
        <v>205</v>
      </c>
      <c r="B21" s="4" t="s">
        <v>33</v>
      </c>
      <c r="C21" s="4" t="s">
        <v>34</v>
      </c>
      <c r="D21" s="4" t="s">
        <v>248</v>
      </c>
      <c r="E21" s="4">
        <v>1200336</v>
      </c>
      <c r="F21" s="4" t="s">
        <v>249</v>
      </c>
      <c r="G21" s="4" t="s">
        <v>243</v>
      </c>
      <c r="H21" s="4"/>
    </row>
    <row r="22" s="1" customFormat="1" spans="1:8">
      <c r="A22" s="4" t="s">
        <v>205</v>
      </c>
      <c r="B22" s="4" t="s">
        <v>33</v>
      </c>
      <c r="C22" s="4" t="s">
        <v>34</v>
      </c>
      <c r="D22" s="4" t="s">
        <v>250</v>
      </c>
      <c r="E22" s="4">
        <v>1200393</v>
      </c>
      <c r="F22" s="4" t="s">
        <v>251</v>
      </c>
      <c r="G22" s="4" t="s">
        <v>243</v>
      </c>
      <c r="H22" s="4"/>
    </row>
    <row r="23" s="1" customFormat="1" spans="1:8">
      <c r="A23" s="4" t="s">
        <v>205</v>
      </c>
      <c r="B23" s="4" t="s">
        <v>33</v>
      </c>
      <c r="C23" s="4" t="s">
        <v>34</v>
      </c>
      <c r="D23" s="4" t="s">
        <v>252</v>
      </c>
      <c r="E23" s="4">
        <v>1200427</v>
      </c>
      <c r="F23" s="4" t="s">
        <v>253</v>
      </c>
      <c r="G23" s="4" t="s">
        <v>243</v>
      </c>
      <c r="H23" s="4"/>
    </row>
    <row r="24" s="1" customFormat="1" spans="1:8">
      <c r="A24" s="4" t="s">
        <v>205</v>
      </c>
      <c r="B24" s="4" t="s">
        <v>57</v>
      </c>
      <c r="C24" s="4" t="s">
        <v>58</v>
      </c>
      <c r="D24" s="4" t="s">
        <v>59</v>
      </c>
      <c r="E24" s="4">
        <v>2704302</v>
      </c>
      <c r="F24" s="4" t="s">
        <v>254</v>
      </c>
      <c r="G24" s="4" t="s">
        <v>207</v>
      </c>
      <c r="H24" s="4"/>
    </row>
    <row r="25" s="1" customFormat="1" spans="1:8">
      <c r="A25" s="4" t="s">
        <v>205</v>
      </c>
      <c r="B25" s="4" t="s">
        <v>57</v>
      </c>
      <c r="C25" s="4" t="s">
        <v>58</v>
      </c>
      <c r="D25" s="4" t="s">
        <v>255</v>
      </c>
      <c r="E25" s="4">
        <v>2700508</v>
      </c>
      <c r="F25" s="4" t="s">
        <v>256</v>
      </c>
      <c r="G25" s="4" t="s">
        <v>210</v>
      </c>
      <c r="H25" s="4"/>
    </row>
    <row r="26" s="1" customFormat="1" spans="1:8">
      <c r="A26" s="4" t="s">
        <v>205</v>
      </c>
      <c r="B26" s="4" t="s">
        <v>57</v>
      </c>
      <c r="C26" s="4" t="s">
        <v>58</v>
      </c>
      <c r="D26" s="4" t="s">
        <v>257</v>
      </c>
      <c r="E26" s="4">
        <v>2700607</v>
      </c>
      <c r="F26" s="4" t="s">
        <v>258</v>
      </c>
      <c r="G26" s="4" t="s">
        <v>210</v>
      </c>
      <c r="H26" s="4"/>
    </row>
    <row r="27" s="1" customFormat="1" spans="1:8">
      <c r="A27" s="4" t="s">
        <v>205</v>
      </c>
      <c r="B27" s="4" t="s">
        <v>57</v>
      </c>
      <c r="C27" s="4" t="s">
        <v>58</v>
      </c>
      <c r="D27" s="4" t="s">
        <v>259</v>
      </c>
      <c r="E27" s="4">
        <v>2702207</v>
      </c>
      <c r="F27" s="4" t="s">
        <v>260</v>
      </c>
      <c r="G27" s="4" t="s">
        <v>210</v>
      </c>
      <c r="H27" s="4"/>
    </row>
    <row r="28" s="1" customFormat="1" spans="1:8">
      <c r="A28" s="4" t="s">
        <v>205</v>
      </c>
      <c r="B28" s="4" t="s">
        <v>57</v>
      </c>
      <c r="C28" s="4" t="s">
        <v>58</v>
      </c>
      <c r="D28" s="4" t="s">
        <v>261</v>
      </c>
      <c r="E28" s="4">
        <v>2704708</v>
      </c>
      <c r="F28" s="4" t="s">
        <v>262</v>
      </c>
      <c r="G28" s="4" t="s">
        <v>210</v>
      </c>
      <c r="H28" s="4"/>
    </row>
    <row r="29" s="1" customFormat="1" spans="1:8">
      <c r="A29" s="4" t="s">
        <v>205</v>
      </c>
      <c r="B29" s="4" t="s">
        <v>57</v>
      </c>
      <c r="C29" s="4" t="s">
        <v>58</v>
      </c>
      <c r="D29" s="4" t="s">
        <v>263</v>
      </c>
      <c r="E29" s="4">
        <v>2705200</v>
      </c>
      <c r="F29" s="4" t="s">
        <v>264</v>
      </c>
      <c r="G29" s="4" t="s">
        <v>210</v>
      </c>
      <c r="H29" s="4"/>
    </row>
    <row r="30" s="1" customFormat="1" spans="1:8">
      <c r="A30" s="4" t="s">
        <v>205</v>
      </c>
      <c r="B30" s="4" t="s">
        <v>57</v>
      </c>
      <c r="C30" s="4" t="s">
        <v>58</v>
      </c>
      <c r="D30" s="4" t="s">
        <v>265</v>
      </c>
      <c r="E30" s="4">
        <v>2706448</v>
      </c>
      <c r="F30" s="4" t="s">
        <v>266</v>
      </c>
      <c r="G30" s="4" t="s">
        <v>210</v>
      </c>
      <c r="H30" s="4"/>
    </row>
    <row r="31" s="1" customFormat="1" spans="1:8">
      <c r="A31" s="4" t="s">
        <v>205</v>
      </c>
      <c r="B31" s="4" t="s">
        <v>57</v>
      </c>
      <c r="C31" s="4" t="s">
        <v>58</v>
      </c>
      <c r="D31" s="4" t="s">
        <v>267</v>
      </c>
      <c r="E31" s="4">
        <v>2706901</v>
      </c>
      <c r="F31" s="4" t="s">
        <v>268</v>
      </c>
      <c r="G31" s="4" t="s">
        <v>210</v>
      </c>
      <c r="H31" s="4"/>
    </row>
    <row r="32" s="1" customFormat="1" spans="1:8">
      <c r="A32" s="4" t="s">
        <v>205</v>
      </c>
      <c r="B32" s="4" t="s">
        <v>57</v>
      </c>
      <c r="C32" s="4" t="s">
        <v>58</v>
      </c>
      <c r="D32" s="4" t="s">
        <v>269</v>
      </c>
      <c r="E32" s="4">
        <v>2707701</v>
      </c>
      <c r="F32" s="4" t="s">
        <v>270</v>
      </c>
      <c r="G32" s="4" t="s">
        <v>210</v>
      </c>
      <c r="H32" s="4"/>
    </row>
    <row r="33" s="1" customFormat="1" spans="1:8">
      <c r="A33" s="4" t="s">
        <v>205</v>
      </c>
      <c r="B33" s="4" t="s">
        <v>57</v>
      </c>
      <c r="C33" s="4" t="s">
        <v>58</v>
      </c>
      <c r="D33" s="4" t="s">
        <v>271</v>
      </c>
      <c r="E33" s="4">
        <v>2707909</v>
      </c>
      <c r="F33" s="4" t="s">
        <v>272</v>
      </c>
      <c r="G33" s="4" t="s">
        <v>210</v>
      </c>
      <c r="H33" s="4"/>
    </row>
    <row r="34" s="1" customFormat="1" spans="1:8">
      <c r="A34" s="4" t="s">
        <v>205</v>
      </c>
      <c r="B34" s="4" t="s">
        <v>57</v>
      </c>
      <c r="C34" s="4" t="s">
        <v>58</v>
      </c>
      <c r="D34" s="4" t="s">
        <v>273</v>
      </c>
      <c r="E34" s="4">
        <v>2708907</v>
      </c>
      <c r="F34" s="4" t="s">
        <v>274</v>
      </c>
      <c r="G34" s="4" t="s">
        <v>210</v>
      </c>
      <c r="H34" s="4"/>
    </row>
    <row r="35" s="1" customFormat="1" spans="1:8">
      <c r="A35" s="4" t="s">
        <v>205</v>
      </c>
      <c r="B35" s="4" t="s">
        <v>57</v>
      </c>
      <c r="C35" s="4" t="s">
        <v>58</v>
      </c>
      <c r="D35" s="4" t="s">
        <v>275</v>
      </c>
      <c r="E35" s="4">
        <v>2700201</v>
      </c>
      <c r="F35" s="4" t="s">
        <v>276</v>
      </c>
      <c r="G35" s="4" t="s">
        <v>215</v>
      </c>
      <c r="H35" s="4"/>
    </row>
    <row r="36" s="1" customFormat="1" spans="1:8">
      <c r="A36" s="4" t="s">
        <v>205</v>
      </c>
      <c r="B36" s="4" t="s">
        <v>57</v>
      </c>
      <c r="C36" s="4" t="s">
        <v>58</v>
      </c>
      <c r="D36" s="4" t="s">
        <v>277</v>
      </c>
      <c r="E36" s="4">
        <v>2700409</v>
      </c>
      <c r="F36" s="4" t="s">
        <v>278</v>
      </c>
      <c r="G36" s="4" t="s">
        <v>215</v>
      </c>
      <c r="H36" s="4"/>
    </row>
    <row r="37" s="1" customFormat="1" spans="1:8">
      <c r="A37" s="4" t="s">
        <v>205</v>
      </c>
      <c r="B37" s="4" t="s">
        <v>57</v>
      </c>
      <c r="C37" s="4" t="s">
        <v>58</v>
      </c>
      <c r="D37" s="4" t="s">
        <v>279</v>
      </c>
      <c r="E37" s="4">
        <v>2701001</v>
      </c>
      <c r="F37" s="4" t="s">
        <v>280</v>
      </c>
      <c r="G37" s="4" t="s">
        <v>215</v>
      </c>
      <c r="H37" s="4"/>
    </row>
    <row r="38" s="1" customFormat="1" spans="1:8">
      <c r="A38" s="4" t="s">
        <v>205</v>
      </c>
      <c r="B38" s="4" t="s">
        <v>57</v>
      </c>
      <c r="C38" s="4" t="s">
        <v>58</v>
      </c>
      <c r="D38" s="4" t="s">
        <v>281</v>
      </c>
      <c r="E38" s="4">
        <v>2701100</v>
      </c>
      <c r="F38" s="4" t="s">
        <v>282</v>
      </c>
      <c r="G38" s="4" t="s">
        <v>215</v>
      </c>
      <c r="H38" s="4"/>
    </row>
    <row r="39" s="1" customFormat="1" spans="1:8">
      <c r="A39" s="4" t="s">
        <v>205</v>
      </c>
      <c r="B39" s="4" t="s">
        <v>57</v>
      </c>
      <c r="C39" s="4" t="s">
        <v>58</v>
      </c>
      <c r="D39" s="4" t="s">
        <v>283</v>
      </c>
      <c r="E39" s="4">
        <v>2701308</v>
      </c>
      <c r="F39" s="4" t="s">
        <v>284</v>
      </c>
      <c r="G39" s="4" t="s">
        <v>215</v>
      </c>
      <c r="H39" s="4"/>
    </row>
    <row r="40" s="1" customFormat="1" spans="1:8">
      <c r="A40" s="4" t="s">
        <v>205</v>
      </c>
      <c r="B40" s="4" t="s">
        <v>57</v>
      </c>
      <c r="C40" s="4" t="s">
        <v>58</v>
      </c>
      <c r="D40" s="4" t="s">
        <v>285</v>
      </c>
      <c r="E40" s="4">
        <v>2701407</v>
      </c>
      <c r="F40" s="4" t="s">
        <v>286</v>
      </c>
      <c r="G40" s="4" t="s">
        <v>215</v>
      </c>
      <c r="H40" s="4"/>
    </row>
    <row r="41" s="1" customFormat="1" spans="1:8">
      <c r="A41" s="4" t="s">
        <v>205</v>
      </c>
      <c r="B41" s="4" t="s">
        <v>57</v>
      </c>
      <c r="C41" s="4" t="s">
        <v>58</v>
      </c>
      <c r="D41" s="4" t="s">
        <v>287</v>
      </c>
      <c r="E41" s="4">
        <v>2701704</v>
      </c>
      <c r="F41" s="4" t="s">
        <v>288</v>
      </c>
      <c r="G41" s="4" t="s">
        <v>215</v>
      </c>
      <c r="H41" s="4"/>
    </row>
    <row r="42" s="1" customFormat="1" spans="1:8">
      <c r="A42" s="4" t="s">
        <v>205</v>
      </c>
      <c r="B42" s="4" t="s">
        <v>57</v>
      </c>
      <c r="C42" s="4" t="s">
        <v>58</v>
      </c>
      <c r="D42" s="4" t="s">
        <v>289</v>
      </c>
      <c r="E42" s="4">
        <v>2702306</v>
      </c>
      <c r="F42" s="4" t="s">
        <v>290</v>
      </c>
      <c r="G42" s="4" t="s">
        <v>215</v>
      </c>
      <c r="H42" s="4"/>
    </row>
    <row r="43" s="1" customFormat="1" spans="1:8">
      <c r="A43" s="4" t="s">
        <v>205</v>
      </c>
      <c r="B43" s="4" t="s">
        <v>57</v>
      </c>
      <c r="C43" s="4" t="s">
        <v>58</v>
      </c>
      <c r="D43" s="4" t="s">
        <v>291</v>
      </c>
      <c r="E43" s="4">
        <v>2702801</v>
      </c>
      <c r="F43" s="4" t="s">
        <v>292</v>
      </c>
      <c r="G43" s="4" t="s">
        <v>215</v>
      </c>
      <c r="H43" s="4"/>
    </row>
    <row r="44" s="1" customFormat="1" spans="1:8">
      <c r="A44" s="4" t="s">
        <v>205</v>
      </c>
      <c r="B44" s="4" t="s">
        <v>57</v>
      </c>
      <c r="C44" s="4" t="s">
        <v>58</v>
      </c>
      <c r="D44" s="4" t="s">
        <v>293</v>
      </c>
      <c r="E44" s="4">
        <v>2703759</v>
      </c>
      <c r="F44" s="4" t="s">
        <v>294</v>
      </c>
      <c r="G44" s="4" t="s">
        <v>215</v>
      </c>
      <c r="H44" s="4"/>
    </row>
    <row r="45" s="1" customFormat="1" spans="1:8">
      <c r="A45" s="4" t="s">
        <v>205</v>
      </c>
      <c r="B45" s="4" t="s">
        <v>57</v>
      </c>
      <c r="C45" s="4" t="s">
        <v>58</v>
      </c>
      <c r="D45" s="4" t="s">
        <v>295</v>
      </c>
      <c r="E45" s="4">
        <v>2703809</v>
      </c>
      <c r="F45" s="4" t="s">
        <v>296</v>
      </c>
      <c r="G45" s="4" t="s">
        <v>215</v>
      </c>
      <c r="H45" s="4"/>
    </row>
    <row r="46" s="1" customFormat="1" spans="1:8">
      <c r="A46" s="4" t="s">
        <v>205</v>
      </c>
      <c r="B46" s="4" t="s">
        <v>57</v>
      </c>
      <c r="C46" s="4" t="s">
        <v>58</v>
      </c>
      <c r="D46" s="4" t="s">
        <v>297</v>
      </c>
      <c r="E46" s="4">
        <v>2704807</v>
      </c>
      <c r="F46" s="4" t="s">
        <v>298</v>
      </c>
      <c r="G46" s="4" t="s">
        <v>215</v>
      </c>
      <c r="H46" s="4"/>
    </row>
    <row r="47" s="1" customFormat="1" spans="1:8">
      <c r="A47" s="4" t="s">
        <v>205</v>
      </c>
      <c r="B47" s="4" t="s">
        <v>57</v>
      </c>
      <c r="C47" s="4" t="s">
        <v>58</v>
      </c>
      <c r="D47" s="4" t="s">
        <v>299</v>
      </c>
      <c r="E47" s="4">
        <v>2705101</v>
      </c>
      <c r="F47" s="4" t="s">
        <v>300</v>
      </c>
      <c r="G47" s="4" t="s">
        <v>215</v>
      </c>
      <c r="H47" s="4"/>
    </row>
    <row r="48" s="1" customFormat="1" spans="1:8">
      <c r="A48" s="4" t="s">
        <v>205</v>
      </c>
      <c r="B48" s="4" t="s">
        <v>57</v>
      </c>
      <c r="C48" s="4" t="s">
        <v>58</v>
      </c>
      <c r="D48" s="4" t="s">
        <v>301</v>
      </c>
      <c r="E48" s="4">
        <v>2705507</v>
      </c>
      <c r="F48" s="4" t="s">
        <v>302</v>
      </c>
      <c r="G48" s="4" t="s">
        <v>215</v>
      </c>
      <c r="H48" s="4"/>
    </row>
    <row r="49" s="1" customFormat="1" spans="1:8">
      <c r="A49" s="4" t="s">
        <v>205</v>
      </c>
      <c r="B49" s="4" t="s">
        <v>57</v>
      </c>
      <c r="C49" s="4" t="s">
        <v>58</v>
      </c>
      <c r="D49" s="4" t="s">
        <v>303</v>
      </c>
      <c r="E49" s="4">
        <v>2705606</v>
      </c>
      <c r="F49" s="4" t="s">
        <v>304</v>
      </c>
      <c r="G49" s="4" t="s">
        <v>215</v>
      </c>
      <c r="H49" s="4"/>
    </row>
    <row r="50" s="1" customFormat="1" spans="1:8">
      <c r="A50" s="4" t="s">
        <v>205</v>
      </c>
      <c r="B50" s="4" t="s">
        <v>57</v>
      </c>
      <c r="C50" s="4" t="s">
        <v>58</v>
      </c>
      <c r="D50" s="4" t="s">
        <v>305</v>
      </c>
      <c r="E50" s="4">
        <v>2706505</v>
      </c>
      <c r="F50" s="4" t="s">
        <v>306</v>
      </c>
      <c r="G50" s="4" t="s">
        <v>215</v>
      </c>
      <c r="H50" s="4"/>
    </row>
    <row r="51" s="1" customFormat="1" spans="1:8">
      <c r="A51" s="4" t="s">
        <v>205</v>
      </c>
      <c r="B51" s="4" t="s">
        <v>57</v>
      </c>
      <c r="C51" s="4" t="s">
        <v>58</v>
      </c>
      <c r="D51" s="4" t="s">
        <v>307</v>
      </c>
      <c r="E51" s="4">
        <v>2707008</v>
      </c>
      <c r="F51" s="4" t="s">
        <v>308</v>
      </c>
      <c r="G51" s="4" t="s">
        <v>215</v>
      </c>
      <c r="H51" s="4"/>
    </row>
    <row r="52" s="1" customFormat="1" spans="1:8">
      <c r="A52" s="4" t="s">
        <v>205</v>
      </c>
      <c r="B52" s="4" t="s">
        <v>57</v>
      </c>
      <c r="C52" s="4" t="s">
        <v>58</v>
      </c>
      <c r="D52" s="4" t="s">
        <v>309</v>
      </c>
      <c r="E52" s="4">
        <v>2707800</v>
      </c>
      <c r="F52" s="4" t="s">
        <v>310</v>
      </c>
      <c r="G52" s="4" t="s">
        <v>215</v>
      </c>
      <c r="H52" s="4"/>
    </row>
    <row r="53" s="1" customFormat="1" spans="1:8">
      <c r="A53" s="4" t="s">
        <v>205</v>
      </c>
      <c r="B53" s="4" t="s">
        <v>57</v>
      </c>
      <c r="C53" s="4" t="s">
        <v>58</v>
      </c>
      <c r="D53" s="4" t="s">
        <v>311</v>
      </c>
      <c r="E53" s="4">
        <v>2708303</v>
      </c>
      <c r="F53" s="4" t="s">
        <v>312</v>
      </c>
      <c r="G53" s="4" t="s">
        <v>215</v>
      </c>
      <c r="H53" s="4"/>
    </row>
    <row r="54" s="1" customFormat="1" spans="1:8">
      <c r="A54" s="4" t="s">
        <v>205</v>
      </c>
      <c r="B54" s="4" t="s">
        <v>57</v>
      </c>
      <c r="C54" s="4" t="s">
        <v>58</v>
      </c>
      <c r="D54" s="4" t="s">
        <v>313</v>
      </c>
      <c r="E54" s="4">
        <v>2708501</v>
      </c>
      <c r="F54" s="4" t="s">
        <v>314</v>
      </c>
      <c r="G54" s="4" t="s">
        <v>215</v>
      </c>
      <c r="H54" s="4"/>
    </row>
    <row r="55" s="1" customFormat="1" spans="1:8">
      <c r="A55" s="4" t="s">
        <v>205</v>
      </c>
      <c r="B55" s="4" t="s">
        <v>57</v>
      </c>
      <c r="C55" s="4" t="s">
        <v>58</v>
      </c>
      <c r="D55" s="4" t="s">
        <v>315</v>
      </c>
      <c r="E55" s="4">
        <v>2708600</v>
      </c>
      <c r="F55" s="4" t="s">
        <v>316</v>
      </c>
      <c r="G55" s="4" t="s">
        <v>215</v>
      </c>
      <c r="H55" s="4"/>
    </row>
    <row r="56" s="1" customFormat="1" spans="1:8">
      <c r="A56" s="4" t="s">
        <v>205</v>
      </c>
      <c r="B56" s="4" t="s">
        <v>57</v>
      </c>
      <c r="C56" s="4" t="s">
        <v>58</v>
      </c>
      <c r="D56" s="4" t="s">
        <v>317</v>
      </c>
      <c r="E56" s="4">
        <v>2708709</v>
      </c>
      <c r="F56" s="4" t="s">
        <v>318</v>
      </c>
      <c r="G56" s="4" t="s">
        <v>215</v>
      </c>
      <c r="H56" s="4"/>
    </row>
    <row r="57" s="1" customFormat="1" spans="1:8">
      <c r="A57" s="4" t="s">
        <v>205</v>
      </c>
      <c r="B57" s="4" t="s">
        <v>57</v>
      </c>
      <c r="C57" s="4" t="s">
        <v>58</v>
      </c>
      <c r="D57" s="4" t="s">
        <v>319</v>
      </c>
      <c r="E57" s="4">
        <v>2709301</v>
      </c>
      <c r="F57" s="4" t="s">
        <v>320</v>
      </c>
      <c r="G57" s="4" t="s">
        <v>215</v>
      </c>
      <c r="H57" s="4"/>
    </row>
    <row r="58" s="1" customFormat="1" spans="1:8">
      <c r="A58" s="4" t="s">
        <v>205</v>
      </c>
      <c r="B58" s="4" t="s">
        <v>57</v>
      </c>
      <c r="C58" s="4" t="s">
        <v>58</v>
      </c>
      <c r="D58" s="4" t="s">
        <v>321</v>
      </c>
      <c r="E58" s="4">
        <v>2709400</v>
      </c>
      <c r="F58" s="4" t="s">
        <v>322</v>
      </c>
      <c r="G58" s="4" t="s">
        <v>215</v>
      </c>
      <c r="H58" s="4"/>
    </row>
    <row r="59" s="1" customFormat="1" spans="1:8">
      <c r="A59" s="4" t="s">
        <v>205</v>
      </c>
      <c r="B59" s="4" t="s">
        <v>57</v>
      </c>
      <c r="C59" s="4" t="s">
        <v>58</v>
      </c>
      <c r="D59" s="4" t="s">
        <v>323</v>
      </c>
      <c r="E59" s="4">
        <v>2700300</v>
      </c>
      <c r="F59" s="4" t="s">
        <v>324</v>
      </c>
      <c r="G59" s="4" t="s">
        <v>232</v>
      </c>
      <c r="H59" s="4"/>
    </row>
    <row r="60" s="1" customFormat="1" spans="1:8">
      <c r="A60" s="4" t="s">
        <v>205</v>
      </c>
      <c r="B60" s="4" t="s">
        <v>57</v>
      </c>
      <c r="C60" s="4" t="s">
        <v>58</v>
      </c>
      <c r="D60" s="4" t="s">
        <v>325</v>
      </c>
      <c r="E60" s="4">
        <v>2700706</v>
      </c>
      <c r="F60" s="4" t="s">
        <v>326</v>
      </c>
      <c r="G60" s="4" t="s">
        <v>232</v>
      </c>
      <c r="H60" s="4"/>
    </row>
    <row r="61" s="1" customFormat="1" spans="1:8">
      <c r="A61" s="4" t="s">
        <v>205</v>
      </c>
      <c r="B61" s="4" t="s">
        <v>57</v>
      </c>
      <c r="C61" s="4" t="s">
        <v>58</v>
      </c>
      <c r="D61" s="4" t="s">
        <v>49</v>
      </c>
      <c r="E61" s="4">
        <v>2700805</v>
      </c>
      <c r="F61" s="4" t="s">
        <v>327</v>
      </c>
      <c r="G61" s="4" t="s">
        <v>232</v>
      </c>
      <c r="H61" s="4"/>
    </row>
    <row r="62" s="1" customFormat="1" spans="1:8">
      <c r="A62" s="4" t="s">
        <v>205</v>
      </c>
      <c r="B62" s="4" t="s">
        <v>57</v>
      </c>
      <c r="C62" s="4" t="s">
        <v>58</v>
      </c>
      <c r="D62" s="4" t="s">
        <v>328</v>
      </c>
      <c r="E62" s="4">
        <v>2701209</v>
      </c>
      <c r="F62" s="4" t="s">
        <v>329</v>
      </c>
      <c r="G62" s="4" t="s">
        <v>232</v>
      </c>
      <c r="H62" s="4"/>
    </row>
    <row r="63" s="1" customFormat="1" spans="1:8">
      <c r="A63" s="4" t="s">
        <v>205</v>
      </c>
      <c r="B63" s="4" t="s">
        <v>57</v>
      </c>
      <c r="C63" s="4" t="s">
        <v>58</v>
      </c>
      <c r="D63" s="4" t="s">
        <v>330</v>
      </c>
      <c r="E63" s="4">
        <v>2701357</v>
      </c>
      <c r="F63" s="4" t="s">
        <v>331</v>
      </c>
      <c r="G63" s="4" t="s">
        <v>232</v>
      </c>
      <c r="H63" s="4"/>
    </row>
    <row r="64" s="1" customFormat="1" spans="1:8">
      <c r="A64" s="4" t="s">
        <v>205</v>
      </c>
      <c r="B64" s="4" t="s">
        <v>57</v>
      </c>
      <c r="C64" s="4" t="s">
        <v>58</v>
      </c>
      <c r="D64" s="4" t="s">
        <v>100</v>
      </c>
      <c r="E64" s="4">
        <v>2701506</v>
      </c>
      <c r="F64" s="4" t="s">
        <v>332</v>
      </c>
      <c r="G64" s="4" t="s">
        <v>232</v>
      </c>
      <c r="H64" s="4"/>
    </row>
    <row r="65" s="1" customFormat="1" spans="1:8">
      <c r="A65" s="4" t="s">
        <v>205</v>
      </c>
      <c r="B65" s="4" t="s">
        <v>57</v>
      </c>
      <c r="C65" s="4" t="s">
        <v>58</v>
      </c>
      <c r="D65" s="4" t="s">
        <v>333</v>
      </c>
      <c r="E65" s="4">
        <v>2701902</v>
      </c>
      <c r="F65" s="4" t="s">
        <v>334</v>
      </c>
      <c r="G65" s="4" t="s">
        <v>232</v>
      </c>
      <c r="H65" s="4"/>
    </row>
    <row r="66" s="1" customFormat="1" spans="1:8">
      <c r="A66" s="4" t="s">
        <v>205</v>
      </c>
      <c r="B66" s="4" t="s">
        <v>57</v>
      </c>
      <c r="C66" s="4" t="s">
        <v>58</v>
      </c>
      <c r="D66" s="4" t="s">
        <v>335</v>
      </c>
      <c r="E66" s="4">
        <v>2702009</v>
      </c>
      <c r="F66" s="4" t="s">
        <v>336</v>
      </c>
      <c r="G66" s="4" t="s">
        <v>232</v>
      </c>
      <c r="H66" s="4"/>
    </row>
    <row r="67" s="1" customFormat="1" spans="1:8">
      <c r="A67" s="4" t="s">
        <v>205</v>
      </c>
      <c r="B67" s="4" t="s">
        <v>57</v>
      </c>
      <c r="C67" s="4" t="s">
        <v>58</v>
      </c>
      <c r="D67" s="4" t="s">
        <v>337</v>
      </c>
      <c r="E67" s="4">
        <v>2702108</v>
      </c>
      <c r="F67" s="4" t="s">
        <v>338</v>
      </c>
      <c r="G67" s="4" t="s">
        <v>232</v>
      </c>
      <c r="H67" s="4"/>
    </row>
    <row r="68" s="1" customFormat="1" spans="1:8">
      <c r="A68" s="4" t="s">
        <v>205</v>
      </c>
      <c r="B68" s="4" t="s">
        <v>57</v>
      </c>
      <c r="C68" s="4" t="s">
        <v>58</v>
      </c>
      <c r="D68" s="4" t="s">
        <v>339</v>
      </c>
      <c r="E68" s="4">
        <v>2702355</v>
      </c>
      <c r="F68" s="4" t="s">
        <v>340</v>
      </c>
      <c r="G68" s="4" t="s">
        <v>232</v>
      </c>
      <c r="H68" s="4"/>
    </row>
    <row r="69" s="1" customFormat="1" spans="1:8">
      <c r="A69" s="4" t="s">
        <v>205</v>
      </c>
      <c r="B69" s="4" t="s">
        <v>57</v>
      </c>
      <c r="C69" s="4" t="s">
        <v>58</v>
      </c>
      <c r="D69" s="4" t="s">
        <v>341</v>
      </c>
      <c r="E69" s="4">
        <v>2702504</v>
      </c>
      <c r="F69" s="4" t="s">
        <v>342</v>
      </c>
      <c r="G69" s="4" t="s">
        <v>232</v>
      </c>
      <c r="H69" s="4"/>
    </row>
    <row r="70" s="1" customFormat="1" spans="1:8">
      <c r="A70" s="4" t="s">
        <v>205</v>
      </c>
      <c r="B70" s="4" t="s">
        <v>57</v>
      </c>
      <c r="C70" s="4" t="s">
        <v>58</v>
      </c>
      <c r="D70" s="4" t="s">
        <v>343</v>
      </c>
      <c r="E70" s="4">
        <v>2702553</v>
      </c>
      <c r="F70" s="4" t="s">
        <v>344</v>
      </c>
      <c r="G70" s="4" t="s">
        <v>232</v>
      </c>
      <c r="H70" s="4"/>
    </row>
    <row r="71" s="1" customFormat="1" spans="1:8">
      <c r="A71" s="4" t="s">
        <v>205</v>
      </c>
      <c r="B71" s="4" t="s">
        <v>57</v>
      </c>
      <c r="C71" s="4" t="s">
        <v>58</v>
      </c>
      <c r="D71" s="4" t="s">
        <v>345</v>
      </c>
      <c r="E71" s="4">
        <v>2702603</v>
      </c>
      <c r="F71" s="4" t="s">
        <v>346</v>
      </c>
      <c r="G71" s="4" t="s">
        <v>232</v>
      </c>
      <c r="H71" s="4"/>
    </row>
    <row r="72" s="1" customFormat="1" spans="1:8">
      <c r="A72" s="4" t="s">
        <v>205</v>
      </c>
      <c r="B72" s="4" t="s">
        <v>57</v>
      </c>
      <c r="C72" s="4" t="s">
        <v>58</v>
      </c>
      <c r="D72" s="4" t="s">
        <v>347</v>
      </c>
      <c r="E72" s="4">
        <v>2702702</v>
      </c>
      <c r="F72" s="4" t="s">
        <v>348</v>
      </c>
      <c r="G72" s="4" t="s">
        <v>232</v>
      </c>
      <c r="H72" s="4"/>
    </row>
    <row r="73" s="1" customFormat="1" spans="1:8">
      <c r="A73" s="4" t="s">
        <v>205</v>
      </c>
      <c r="B73" s="4" t="s">
        <v>57</v>
      </c>
      <c r="C73" s="4" t="s">
        <v>58</v>
      </c>
      <c r="D73" s="4" t="s">
        <v>349</v>
      </c>
      <c r="E73" s="4">
        <v>2702900</v>
      </c>
      <c r="F73" s="4" t="s">
        <v>350</v>
      </c>
      <c r="G73" s="4" t="s">
        <v>232</v>
      </c>
      <c r="H73" s="4"/>
    </row>
    <row r="74" s="1" customFormat="1" spans="1:8">
      <c r="A74" s="4" t="s">
        <v>205</v>
      </c>
      <c r="B74" s="4" t="s">
        <v>57</v>
      </c>
      <c r="C74" s="4" t="s">
        <v>58</v>
      </c>
      <c r="D74" s="4" t="s">
        <v>351</v>
      </c>
      <c r="E74" s="4">
        <v>2703007</v>
      </c>
      <c r="F74" s="4" t="s">
        <v>352</v>
      </c>
      <c r="G74" s="4" t="s">
        <v>232</v>
      </c>
      <c r="H74" s="4"/>
    </row>
    <row r="75" s="1" customFormat="1" spans="1:8">
      <c r="A75" s="4" t="s">
        <v>205</v>
      </c>
      <c r="B75" s="4" t="s">
        <v>57</v>
      </c>
      <c r="C75" s="4" t="s">
        <v>58</v>
      </c>
      <c r="D75" s="4" t="s">
        <v>353</v>
      </c>
      <c r="E75" s="4">
        <v>2703106</v>
      </c>
      <c r="F75" s="4" t="s">
        <v>354</v>
      </c>
      <c r="G75" s="4" t="s">
        <v>232</v>
      </c>
      <c r="H75" s="4"/>
    </row>
    <row r="76" s="1" customFormat="1" spans="1:8">
      <c r="A76" s="4" t="s">
        <v>205</v>
      </c>
      <c r="B76" s="4" t="s">
        <v>57</v>
      </c>
      <c r="C76" s="4" t="s">
        <v>58</v>
      </c>
      <c r="D76" s="4" t="s">
        <v>355</v>
      </c>
      <c r="E76" s="4">
        <v>2703205</v>
      </c>
      <c r="F76" s="4" t="s">
        <v>356</v>
      </c>
      <c r="G76" s="4" t="s">
        <v>232</v>
      </c>
      <c r="H76" s="4"/>
    </row>
    <row r="77" s="1" customFormat="1" spans="1:8">
      <c r="A77" s="4" t="s">
        <v>205</v>
      </c>
      <c r="B77" s="4" t="s">
        <v>57</v>
      </c>
      <c r="C77" s="4" t="s">
        <v>58</v>
      </c>
      <c r="D77" s="4" t="s">
        <v>357</v>
      </c>
      <c r="E77" s="4">
        <v>2703403</v>
      </c>
      <c r="F77" s="4" t="s">
        <v>358</v>
      </c>
      <c r="G77" s="4" t="s">
        <v>232</v>
      </c>
      <c r="H77" s="4"/>
    </row>
    <row r="78" s="1" customFormat="1" spans="1:8">
      <c r="A78" s="4" t="s">
        <v>205</v>
      </c>
      <c r="B78" s="4" t="s">
        <v>57</v>
      </c>
      <c r="C78" s="4" t="s">
        <v>58</v>
      </c>
      <c r="D78" s="4" t="s">
        <v>359</v>
      </c>
      <c r="E78" s="4">
        <v>2703502</v>
      </c>
      <c r="F78" s="4" t="s">
        <v>360</v>
      </c>
      <c r="G78" s="4" t="s">
        <v>232</v>
      </c>
      <c r="H78" s="4"/>
    </row>
    <row r="79" s="1" customFormat="1" spans="1:8">
      <c r="A79" s="4" t="s">
        <v>205</v>
      </c>
      <c r="B79" s="4" t="s">
        <v>57</v>
      </c>
      <c r="C79" s="4" t="s">
        <v>58</v>
      </c>
      <c r="D79" s="4" t="s">
        <v>361</v>
      </c>
      <c r="E79" s="4">
        <v>2703601</v>
      </c>
      <c r="F79" s="4" t="s">
        <v>362</v>
      </c>
      <c r="G79" s="4" t="s">
        <v>232</v>
      </c>
      <c r="H79" s="4"/>
    </row>
    <row r="80" s="1" customFormat="1" spans="1:8">
      <c r="A80" s="4" t="s">
        <v>205</v>
      </c>
      <c r="B80" s="4" t="s">
        <v>57</v>
      </c>
      <c r="C80" s="4" t="s">
        <v>58</v>
      </c>
      <c r="D80" s="4" t="s">
        <v>363</v>
      </c>
      <c r="E80" s="4">
        <v>2703700</v>
      </c>
      <c r="F80" s="4" t="s">
        <v>364</v>
      </c>
      <c r="G80" s="4" t="s">
        <v>232</v>
      </c>
      <c r="H80" s="4"/>
    </row>
    <row r="81" s="1" customFormat="1" spans="1:8">
      <c r="A81" s="4" t="s">
        <v>205</v>
      </c>
      <c r="B81" s="4" t="s">
        <v>57</v>
      </c>
      <c r="C81" s="4" t="s">
        <v>58</v>
      </c>
      <c r="D81" s="4" t="s">
        <v>365</v>
      </c>
      <c r="E81" s="4">
        <v>2703908</v>
      </c>
      <c r="F81" s="4" t="s">
        <v>366</v>
      </c>
      <c r="G81" s="4" t="s">
        <v>232</v>
      </c>
      <c r="H81" s="4"/>
    </row>
    <row r="82" s="1" customFormat="1" spans="1:8">
      <c r="A82" s="4" t="s">
        <v>205</v>
      </c>
      <c r="B82" s="4" t="s">
        <v>57</v>
      </c>
      <c r="C82" s="4" t="s">
        <v>58</v>
      </c>
      <c r="D82" s="4" t="s">
        <v>367</v>
      </c>
      <c r="E82" s="4">
        <v>2704005</v>
      </c>
      <c r="F82" s="4" t="s">
        <v>368</v>
      </c>
      <c r="G82" s="4" t="s">
        <v>232</v>
      </c>
      <c r="H82" s="4"/>
    </row>
    <row r="83" s="1" customFormat="1" spans="1:8">
      <c r="A83" s="4" t="s">
        <v>205</v>
      </c>
      <c r="B83" s="4" t="s">
        <v>57</v>
      </c>
      <c r="C83" s="4" t="s">
        <v>58</v>
      </c>
      <c r="D83" s="4" t="s">
        <v>369</v>
      </c>
      <c r="E83" s="4">
        <v>2704104</v>
      </c>
      <c r="F83" s="4" t="s">
        <v>370</v>
      </c>
      <c r="G83" s="4" t="s">
        <v>232</v>
      </c>
      <c r="H83" s="4"/>
    </row>
    <row r="84" s="1" customFormat="1" spans="1:8">
      <c r="A84" s="4" t="s">
        <v>205</v>
      </c>
      <c r="B84" s="4" t="s">
        <v>57</v>
      </c>
      <c r="C84" s="4" t="s">
        <v>58</v>
      </c>
      <c r="D84" s="4" t="s">
        <v>371</v>
      </c>
      <c r="E84" s="4">
        <v>2704203</v>
      </c>
      <c r="F84" s="4" t="s">
        <v>372</v>
      </c>
      <c r="G84" s="4" t="s">
        <v>232</v>
      </c>
      <c r="H84" s="4"/>
    </row>
    <row r="85" s="1" customFormat="1" spans="1:8">
      <c r="A85" s="4" t="s">
        <v>205</v>
      </c>
      <c r="B85" s="4" t="s">
        <v>57</v>
      </c>
      <c r="C85" s="4" t="s">
        <v>58</v>
      </c>
      <c r="D85" s="4" t="s">
        <v>373</v>
      </c>
      <c r="E85" s="4">
        <v>2704401</v>
      </c>
      <c r="F85" s="4" t="s">
        <v>374</v>
      </c>
      <c r="G85" s="4" t="s">
        <v>232</v>
      </c>
      <c r="H85" s="4"/>
    </row>
    <row r="86" s="1" customFormat="1" spans="1:8">
      <c r="A86" s="4" t="s">
        <v>205</v>
      </c>
      <c r="B86" s="4" t="s">
        <v>57</v>
      </c>
      <c r="C86" s="4" t="s">
        <v>58</v>
      </c>
      <c r="D86" s="4" t="s">
        <v>375</v>
      </c>
      <c r="E86" s="4">
        <v>2704906</v>
      </c>
      <c r="F86" s="4" t="s">
        <v>376</v>
      </c>
      <c r="G86" s="4" t="s">
        <v>232</v>
      </c>
      <c r="H86" s="4"/>
    </row>
    <row r="87" s="1" customFormat="1" spans="1:8">
      <c r="A87" s="4" t="s">
        <v>205</v>
      </c>
      <c r="B87" s="4" t="s">
        <v>57</v>
      </c>
      <c r="C87" s="4" t="s">
        <v>58</v>
      </c>
      <c r="D87" s="4" t="s">
        <v>377</v>
      </c>
      <c r="E87" s="4">
        <v>2704500</v>
      </c>
      <c r="F87" s="4" t="s">
        <v>378</v>
      </c>
      <c r="G87" s="4" t="s">
        <v>232</v>
      </c>
      <c r="H87" s="4"/>
    </row>
    <row r="88" s="1" customFormat="1" spans="1:8">
      <c r="A88" s="4" t="s">
        <v>205</v>
      </c>
      <c r="B88" s="4" t="s">
        <v>57</v>
      </c>
      <c r="C88" s="4" t="s">
        <v>58</v>
      </c>
      <c r="D88" s="4" t="s">
        <v>379</v>
      </c>
      <c r="E88" s="4">
        <v>2704609</v>
      </c>
      <c r="F88" s="4" t="s">
        <v>380</v>
      </c>
      <c r="G88" s="4" t="s">
        <v>232</v>
      </c>
      <c r="H88" s="4"/>
    </row>
    <row r="89" s="1" customFormat="1" spans="1:8">
      <c r="A89" s="4" t="s">
        <v>205</v>
      </c>
      <c r="B89" s="4" t="s">
        <v>57</v>
      </c>
      <c r="C89" s="4" t="s">
        <v>58</v>
      </c>
      <c r="D89" s="4" t="s">
        <v>381</v>
      </c>
      <c r="E89" s="4">
        <v>2705309</v>
      </c>
      <c r="F89" s="4" t="s">
        <v>382</v>
      </c>
      <c r="G89" s="4" t="s">
        <v>232</v>
      </c>
      <c r="H89" s="4"/>
    </row>
    <row r="90" s="1" customFormat="1" spans="1:8">
      <c r="A90" s="4" t="s">
        <v>205</v>
      </c>
      <c r="B90" s="4" t="s">
        <v>57</v>
      </c>
      <c r="C90" s="4" t="s">
        <v>58</v>
      </c>
      <c r="D90" s="4" t="s">
        <v>383</v>
      </c>
      <c r="E90" s="4">
        <v>2705408</v>
      </c>
      <c r="F90" s="4" t="s">
        <v>384</v>
      </c>
      <c r="G90" s="4" t="s">
        <v>232</v>
      </c>
      <c r="H90" s="4"/>
    </row>
    <row r="91" s="1" customFormat="1" spans="1:8">
      <c r="A91" s="4" t="s">
        <v>205</v>
      </c>
      <c r="B91" s="4" t="s">
        <v>57</v>
      </c>
      <c r="C91" s="4" t="s">
        <v>58</v>
      </c>
      <c r="D91" s="4" t="s">
        <v>385</v>
      </c>
      <c r="E91" s="4">
        <v>2705903</v>
      </c>
      <c r="F91" s="4" t="s">
        <v>386</v>
      </c>
      <c r="G91" s="4" t="s">
        <v>232</v>
      </c>
      <c r="H91" s="4"/>
    </row>
    <row r="92" s="1" customFormat="1" spans="1:8">
      <c r="A92" s="4" t="s">
        <v>205</v>
      </c>
      <c r="B92" s="4" t="s">
        <v>57</v>
      </c>
      <c r="C92" s="4" t="s">
        <v>58</v>
      </c>
      <c r="D92" s="4" t="s">
        <v>387</v>
      </c>
      <c r="E92" s="4">
        <v>2706000</v>
      </c>
      <c r="F92" s="4" t="s">
        <v>388</v>
      </c>
      <c r="G92" s="4" t="s">
        <v>232</v>
      </c>
      <c r="H92" s="4"/>
    </row>
    <row r="93" s="1" customFormat="1" spans="1:8">
      <c r="A93" s="4" t="s">
        <v>205</v>
      </c>
      <c r="B93" s="4" t="s">
        <v>57</v>
      </c>
      <c r="C93" s="4" t="s">
        <v>58</v>
      </c>
      <c r="D93" s="4" t="s">
        <v>389</v>
      </c>
      <c r="E93" s="4">
        <v>2706307</v>
      </c>
      <c r="F93" s="4" t="s">
        <v>390</v>
      </c>
      <c r="G93" s="4" t="s">
        <v>232</v>
      </c>
      <c r="H93" s="4"/>
    </row>
    <row r="94" s="1" customFormat="1" spans="1:8">
      <c r="A94" s="4" t="s">
        <v>205</v>
      </c>
      <c r="B94" s="4" t="s">
        <v>57</v>
      </c>
      <c r="C94" s="4" t="s">
        <v>58</v>
      </c>
      <c r="D94" s="4" t="s">
        <v>391</v>
      </c>
      <c r="E94" s="4">
        <v>2706604</v>
      </c>
      <c r="F94" s="4" t="s">
        <v>392</v>
      </c>
      <c r="G94" s="4" t="s">
        <v>232</v>
      </c>
      <c r="H94" s="4"/>
    </row>
    <row r="95" s="1" customFormat="1" spans="1:8">
      <c r="A95" s="4" t="s">
        <v>205</v>
      </c>
      <c r="B95" s="4" t="s">
        <v>57</v>
      </c>
      <c r="C95" s="4" t="s">
        <v>58</v>
      </c>
      <c r="D95" s="4" t="s">
        <v>393</v>
      </c>
      <c r="E95" s="4">
        <v>2706703</v>
      </c>
      <c r="F95" s="4" t="s">
        <v>394</v>
      </c>
      <c r="G95" s="4" t="s">
        <v>232</v>
      </c>
      <c r="H95" s="4"/>
    </row>
    <row r="96" s="1" customFormat="1" spans="1:8">
      <c r="A96" s="4" t="s">
        <v>205</v>
      </c>
      <c r="B96" s="4" t="s">
        <v>57</v>
      </c>
      <c r="C96" s="4" t="s">
        <v>58</v>
      </c>
      <c r="D96" s="4" t="s">
        <v>395</v>
      </c>
      <c r="E96" s="4">
        <v>2706802</v>
      </c>
      <c r="F96" s="4" t="s">
        <v>396</v>
      </c>
      <c r="G96" s="4" t="s">
        <v>232</v>
      </c>
      <c r="H96" s="4"/>
    </row>
    <row r="97" s="1" customFormat="1" spans="1:8">
      <c r="A97" s="4" t="s">
        <v>205</v>
      </c>
      <c r="B97" s="4" t="s">
        <v>57</v>
      </c>
      <c r="C97" s="4" t="s">
        <v>58</v>
      </c>
      <c r="D97" s="4" t="s">
        <v>397</v>
      </c>
      <c r="E97" s="4">
        <v>2707305</v>
      </c>
      <c r="F97" s="4" t="s">
        <v>398</v>
      </c>
      <c r="G97" s="4" t="s">
        <v>232</v>
      </c>
      <c r="H97" s="4"/>
    </row>
    <row r="98" s="1" customFormat="1" spans="1:8">
      <c r="A98" s="4" t="s">
        <v>205</v>
      </c>
      <c r="B98" s="4" t="s">
        <v>57</v>
      </c>
      <c r="C98" s="4" t="s">
        <v>58</v>
      </c>
      <c r="D98" s="4" t="s">
        <v>399</v>
      </c>
      <c r="E98" s="4">
        <v>2707404</v>
      </c>
      <c r="F98" s="4" t="s">
        <v>400</v>
      </c>
      <c r="G98" s="4" t="s">
        <v>232</v>
      </c>
      <c r="H98" s="4"/>
    </row>
    <row r="99" s="1" customFormat="1" spans="1:8">
      <c r="A99" s="4" t="s">
        <v>205</v>
      </c>
      <c r="B99" s="4" t="s">
        <v>57</v>
      </c>
      <c r="C99" s="4" t="s">
        <v>58</v>
      </c>
      <c r="D99" s="4" t="s">
        <v>401</v>
      </c>
      <c r="E99" s="4">
        <v>2707503</v>
      </c>
      <c r="F99" s="4" t="s">
        <v>402</v>
      </c>
      <c r="G99" s="4" t="s">
        <v>232</v>
      </c>
      <c r="H99" s="4"/>
    </row>
    <row r="100" s="1" customFormat="1" spans="1:8">
      <c r="A100" s="4" t="s">
        <v>205</v>
      </c>
      <c r="B100" s="4" t="s">
        <v>57</v>
      </c>
      <c r="C100" s="4" t="s">
        <v>58</v>
      </c>
      <c r="D100" s="4" t="s">
        <v>403</v>
      </c>
      <c r="E100" s="4">
        <v>2707602</v>
      </c>
      <c r="F100" s="4" t="s">
        <v>404</v>
      </c>
      <c r="G100" s="4" t="s">
        <v>232</v>
      </c>
      <c r="H100" s="4"/>
    </row>
    <row r="101" s="1" customFormat="1" spans="1:8">
      <c r="A101" s="4" t="s">
        <v>205</v>
      </c>
      <c r="B101" s="4" t="s">
        <v>57</v>
      </c>
      <c r="C101" s="4" t="s">
        <v>58</v>
      </c>
      <c r="D101" s="4" t="s">
        <v>405</v>
      </c>
      <c r="E101" s="4">
        <v>2708105</v>
      </c>
      <c r="F101" s="4" t="s">
        <v>406</v>
      </c>
      <c r="G101" s="4" t="s">
        <v>232</v>
      </c>
      <c r="H101" s="4"/>
    </row>
    <row r="102" s="1" customFormat="1" spans="1:8">
      <c r="A102" s="4" t="s">
        <v>205</v>
      </c>
      <c r="B102" s="4" t="s">
        <v>57</v>
      </c>
      <c r="C102" s="4" t="s">
        <v>58</v>
      </c>
      <c r="D102" s="4" t="s">
        <v>407</v>
      </c>
      <c r="E102" s="4">
        <v>2708808</v>
      </c>
      <c r="F102" s="4" t="s">
        <v>408</v>
      </c>
      <c r="G102" s="4" t="s">
        <v>232</v>
      </c>
      <c r="H102" s="4"/>
    </row>
    <row r="103" s="1" customFormat="1" spans="1:8">
      <c r="A103" s="4" t="s">
        <v>205</v>
      </c>
      <c r="B103" s="4" t="s">
        <v>57</v>
      </c>
      <c r="C103" s="4" t="s">
        <v>58</v>
      </c>
      <c r="D103" s="4" t="s">
        <v>409</v>
      </c>
      <c r="E103" s="4">
        <v>2709004</v>
      </c>
      <c r="F103" s="4" t="s">
        <v>410</v>
      </c>
      <c r="G103" s="4" t="s">
        <v>232</v>
      </c>
      <c r="H103" s="4"/>
    </row>
    <row r="104" s="1" customFormat="1" spans="1:8">
      <c r="A104" s="4" t="s">
        <v>205</v>
      </c>
      <c r="B104" s="4" t="s">
        <v>57</v>
      </c>
      <c r="C104" s="4" t="s">
        <v>58</v>
      </c>
      <c r="D104" s="4" t="s">
        <v>411</v>
      </c>
      <c r="E104" s="4">
        <v>2709103</v>
      </c>
      <c r="F104" s="4" t="s">
        <v>412</v>
      </c>
      <c r="G104" s="4" t="s">
        <v>232</v>
      </c>
      <c r="H104" s="4"/>
    </row>
    <row r="105" s="1" customFormat="1" spans="1:8">
      <c r="A105" s="4" t="s">
        <v>205</v>
      </c>
      <c r="B105" s="4" t="s">
        <v>57</v>
      </c>
      <c r="C105" s="4" t="s">
        <v>58</v>
      </c>
      <c r="D105" s="4" t="s">
        <v>413</v>
      </c>
      <c r="E105" s="4">
        <v>2709152</v>
      </c>
      <c r="F105" s="4" t="s">
        <v>414</v>
      </c>
      <c r="G105" s="4" t="s">
        <v>232</v>
      </c>
      <c r="H105" s="4"/>
    </row>
    <row r="106" s="1" customFormat="1" spans="1:8">
      <c r="A106" s="4" t="s">
        <v>205</v>
      </c>
      <c r="B106" s="4" t="s">
        <v>57</v>
      </c>
      <c r="C106" s="4" t="s">
        <v>58</v>
      </c>
      <c r="D106" s="4" t="s">
        <v>415</v>
      </c>
      <c r="E106" s="4">
        <v>2709202</v>
      </c>
      <c r="F106" s="4" t="s">
        <v>416</v>
      </c>
      <c r="G106" s="4" t="s">
        <v>232</v>
      </c>
      <c r="H106" s="4"/>
    </row>
    <row r="107" s="1" customFormat="1" spans="1:8">
      <c r="A107" s="4" t="s">
        <v>205</v>
      </c>
      <c r="B107" s="4" t="s">
        <v>57</v>
      </c>
      <c r="C107" s="4" t="s">
        <v>58</v>
      </c>
      <c r="D107" s="4" t="s">
        <v>417</v>
      </c>
      <c r="E107" s="4">
        <v>2700904</v>
      </c>
      <c r="F107" s="4" t="s">
        <v>418</v>
      </c>
      <c r="G107" s="4" t="s">
        <v>243</v>
      </c>
      <c r="H107" s="4"/>
    </row>
    <row r="108" s="1" customFormat="1" spans="1:8">
      <c r="A108" s="4" t="s">
        <v>205</v>
      </c>
      <c r="B108" s="4" t="s">
        <v>57</v>
      </c>
      <c r="C108" s="4" t="s">
        <v>58</v>
      </c>
      <c r="D108" s="4" t="s">
        <v>419</v>
      </c>
      <c r="E108" s="4">
        <v>2701605</v>
      </c>
      <c r="F108" s="4" t="s">
        <v>420</v>
      </c>
      <c r="G108" s="4" t="s">
        <v>243</v>
      </c>
      <c r="H108" s="4"/>
    </row>
    <row r="109" s="1" customFormat="1" spans="1:8">
      <c r="A109" s="4" t="s">
        <v>205</v>
      </c>
      <c r="B109" s="4" t="s">
        <v>57</v>
      </c>
      <c r="C109" s="4" t="s">
        <v>58</v>
      </c>
      <c r="D109" s="4" t="s">
        <v>421</v>
      </c>
      <c r="E109" s="4">
        <v>2701803</v>
      </c>
      <c r="F109" s="4" t="s">
        <v>422</v>
      </c>
      <c r="G109" s="4" t="s">
        <v>243</v>
      </c>
      <c r="H109" s="4"/>
    </row>
    <row r="110" s="1" customFormat="1" spans="1:8">
      <c r="A110" s="4" t="s">
        <v>205</v>
      </c>
      <c r="B110" s="4" t="s">
        <v>57</v>
      </c>
      <c r="C110" s="4" t="s">
        <v>58</v>
      </c>
      <c r="D110" s="4" t="s">
        <v>423</v>
      </c>
      <c r="E110" s="4">
        <v>2702405</v>
      </c>
      <c r="F110" s="4" t="s">
        <v>424</v>
      </c>
      <c r="G110" s="4" t="s">
        <v>243</v>
      </c>
      <c r="H110" s="4"/>
    </row>
    <row r="111" s="1" customFormat="1" spans="1:8">
      <c r="A111" s="4" t="s">
        <v>205</v>
      </c>
      <c r="B111" s="4" t="s">
        <v>57</v>
      </c>
      <c r="C111" s="4" t="s">
        <v>58</v>
      </c>
      <c r="D111" s="4" t="s">
        <v>425</v>
      </c>
      <c r="E111" s="4">
        <v>2703304</v>
      </c>
      <c r="F111" s="4" t="s">
        <v>426</v>
      </c>
      <c r="G111" s="4" t="s">
        <v>243</v>
      </c>
      <c r="H111" s="4"/>
    </row>
    <row r="112" s="1" customFormat="1" spans="1:8">
      <c r="A112" s="4" t="s">
        <v>205</v>
      </c>
      <c r="B112" s="4" t="s">
        <v>57</v>
      </c>
      <c r="C112" s="4" t="s">
        <v>58</v>
      </c>
      <c r="D112" s="4" t="s">
        <v>427</v>
      </c>
      <c r="E112" s="4">
        <v>2705002</v>
      </c>
      <c r="F112" s="4" t="s">
        <v>428</v>
      </c>
      <c r="G112" s="4" t="s">
        <v>243</v>
      </c>
      <c r="H112" s="4"/>
    </row>
    <row r="113" s="1" customFormat="1" spans="1:8">
      <c r="A113" s="4" t="s">
        <v>205</v>
      </c>
      <c r="B113" s="4" t="s">
        <v>57</v>
      </c>
      <c r="C113" s="4" t="s">
        <v>58</v>
      </c>
      <c r="D113" s="4" t="s">
        <v>429</v>
      </c>
      <c r="E113" s="4">
        <v>2705705</v>
      </c>
      <c r="F113" s="4" t="s">
        <v>430</v>
      </c>
      <c r="G113" s="4" t="s">
        <v>243</v>
      </c>
      <c r="H113" s="4"/>
    </row>
    <row r="114" s="1" customFormat="1" spans="1:8">
      <c r="A114" s="4" t="s">
        <v>205</v>
      </c>
      <c r="B114" s="4" t="s">
        <v>57</v>
      </c>
      <c r="C114" s="4" t="s">
        <v>58</v>
      </c>
      <c r="D114" s="4" t="s">
        <v>431</v>
      </c>
      <c r="E114" s="4">
        <v>2705804</v>
      </c>
      <c r="F114" s="4" t="s">
        <v>432</v>
      </c>
      <c r="G114" s="4" t="s">
        <v>243</v>
      </c>
      <c r="H114" s="4"/>
    </row>
    <row r="115" s="1" customFormat="1" spans="1:8">
      <c r="A115" s="4" t="s">
        <v>205</v>
      </c>
      <c r="B115" s="4" t="s">
        <v>57</v>
      </c>
      <c r="C115" s="4" t="s">
        <v>58</v>
      </c>
      <c r="D115" s="4" t="s">
        <v>433</v>
      </c>
      <c r="E115" s="4">
        <v>2706109</v>
      </c>
      <c r="F115" s="4" t="s">
        <v>434</v>
      </c>
      <c r="G115" s="4" t="s">
        <v>243</v>
      </c>
      <c r="H115" s="4"/>
    </row>
    <row r="116" s="1" customFormat="1" spans="1:8">
      <c r="A116" s="4" t="s">
        <v>205</v>
      </c>
      <c r="B116" s="4" t="s">
        <v>57</v>
      </c>
      <c r="C116" s="4" t="s">
        <v>58</v>
      </c>
      <c r="D116" s="4" t="s">
        <v>435</v>
      </c>
      <c r="E116" s="4">
        <v>2706208</v>
      </c>
      <c r="F116" s="4" t="s">
        <v>436</v>
      </c>
      <c r="G116" s="4" t="s">
        <v>243</v>
      </c>
      <c r="H116" s="4"/>
    </row>
    <row r="117" s="1" customFormat="1" spans="1:8">
      <c r="A117" s="4" t="s">
        <v>205</v>
      </c>
      <c r="B117" s="4" t="s">
        <v>57</v>
      </c>
      <c r="C117" s="4" t="s">
        <v>58</v>
      </c>
      <c r="D117" s="4" t="s">
        <v>437</v>
      </c>
      <c r="E117" s="4">
        <v>2706422</v>
      </c>
      <c r="F117" s="4" t="s">
        <v>438</v>
      </c>
      <c r="G117" s="4" t="s">
        <v>243</v>
      </c>
      <c r="H117" s="4"/>
    </row>
    <row r="118" s="1" customFormat="1" spans="1:8">
      <c r="A118" s="4" t="s">
        <v>205</v>
      </c>
      <c r="B118" s="4" t="s">
        <v>57</v>
      </c>
      <c r="C118" s="4" t="s">
        <v>58</v>
      </c>
      <c r="D118" s="4" t="s">
        <v>439</v>
      </c>
      <c r="E118" s="4">
        <v>2707107</v>
      </c>
      <c r="F118" s="4" t="s">
        <v>440</v>
      </c>
      <c r="G118" s="4" t="s">
        <v>243</v>
      </c>
      <c r="H118" s="4"/>
    </row>
    <row r="119" s="1" customFormat="1" spans="1:8">
      <c r="A119" s="4" t="s">
        <v>205</v>
      </c>
      <c r="B119" s="4" t="s">
        <v>57</v>
      </c>
      <c r="C119" s="4" t="s">
        <v>58</v>
      </c>
      <c r="D119" s="4" t="s">
        <v>441</v>
      </c>
      <c r="E119" s="4">
        <v>2707206</v>
      </c>
      <c r="F119" s="4" t="s">
        <v>442</v>
      </c>
      <c r="G119" s="4" t="s">
        <v>243</v>
      </c>
      <c r="H119" s="4"/>
    </row>
    <row r="120" s="1" customFormat="1" spans="1:8">
      <c r="A120" s="4" t="s">
        <v>205</v>
      </c>
      <c r="B120" s="4" t="s">
        <v>57</v>
      </c>
      <c r="C120" s="4" t="s">
        <v>58</v>
      </c>
      <c r="D120" s="4" t="s">
        <v>443</v>
      </c>
      <c r="E120" s="4">
        <v>2706406</v>
      </c>
      <c r="F120" s="4" t="s">
        <v>444</v>
      </c>
      <c r="G120" s="4" t="s">
        <v>243</v>
      </c>
      <c r="H120" s="4"/>
    </row>
    <row r="121" s="1" customFormat="1" spans="1:8">
      <c r="A121" s="4" t="s">
        <v>205</v>
      </c>
      <c r="B121" s="4" t="s">
        <v>57</v>
      </c>
      <c r="C121" s="4" t="s">
        <v>58</v>
      </c>
      <c r="D121" s="4" t="s">
        <v>445</v>
      </c>
      <c r="E121" s="4">
        <v>2708006</v>
      </c>
      <c r="F121" s="4" t="s">
        <v>446</v>
      </c>
      <c r="G121" s="4" t="s">
        <v>243</v>
      </c>
      <c r="H121" s="4"/>
    </row>
    <row r="122" s="1" customFormat="1" spans="1:8">
      <c r="A122" s="4" t="s">
        <v>205</v>
      </c>
      <c r="B122" s="4" t="s">
        <v>57</v>
      </c>
      <c r="C122" s="4" t="s">
        <v>58</v>
      </c>
      <c r="D122" s="4" t="s">
        <v>447</v>
      </c>
      <c r="E122" s="4">
        <v>2708956</v>
      </c>
      <c r="F122" s="4" t="s">
        <v>448</v>
      </c>
      <c r="G122" s="4" t="s">
        <v>243</v>
      </c>
      <c r="H122" s="4"/>
    </row>
    <row r="123" s="1" customFormat="1" spans="1:8">
      <c r="A123" s="4" t="s">
        <v>205</v>
      </c>
      <c r="B123" s="4" t="s">
        <v>57</v>
      </c>
      <c r="C123" s="4" t="s">
        <v>58</v>
      </c>
      <c r="D123" s="4" t="s">
        <v>449</v>
      </c>
      <c r="E123" s="4">
        <v>2708204</v>
      </c>
      <c r="F123" s="4" t="s">
        <v>450</v>
      </c>
      <c r="G123" s="4" t="s">
        <v>243</v>
      </c>
      <c r="H123" s="4"/>
    </row>
    <row r="124" s="1" customFormat="1" spans="1:8">
      <c r="A124" s="4" t="s">
        <v>205</v>
      </c>
      <c r="B124" s="4" t="s">
        <v>57</v>
      </c>
      <c r="C124" s="4" t="s">
        <v>58</v>
      </c>
      <c r="D124" s="4" t="s">
        <v>451</v>
      </c>
      <c r="E124" s="4">
        <v>2708402</v>
      </c>
      <c r="F124" s="4" t="s">
        <v>452</v>
      </c>
      <c r="G124" s="4" t="s">
        <v>243</v>
      </c>
      <c r="H124" s="4"/>
    </row>
    <row r="125" s="1" customFormat="1" spans="1:8">
      <c r="A125" s="4" t="s">
        <v>205</v>
      </c>
      <c r="B125" s="4" t="s">
        <v>57</v>
      </c>
      <c r="C125" s="4" t="s">
        <v>58</v>
      </c>
      <c r="D125" s="4" t="s">
        <v>453</v>
      </c>
      <c r="E125" s="4">
        <v>2700102</v>
      </c>
      <c r="F125" s="4" t="s">
        <v>454</v>
      </c>
      <c r="G125" s="4" t="s">
        <v>243</v>
      </c>
      <c r="H125" s="4"/>
    </row>
    <row r="126" s="1" customFormat="1" spans="1:8">
      <c r="A126" s="4" t="s">
        <v>205</v>
      </c>
      <c r="B126" s="4" t="s">
        <v>33</v>
      </c>
      <c r="C126" s="4" t="s">
        <v>41</v>
      </c>
      <c r="D126" s="4" t="s">
        <v>42</v>
      </c>
      <c r="E126" s="4">
        <v>1302603</v>
      </c>
      <c r="F126" s="4" t="s">
        <v>455</v>
      </c>
      <c r="G126" s="4" t="s">
        <v>207</v>
      </c>
      <c r="H126" s="4"/>
    </row>
    <row r="127" s="1" customFormat="1" spans="1:8">
      <c r="A127" s="4" t="s">
        <v>205</v>
      </c>
      <c r="B127" s="4" t="s">
        <v>33</v>
      </c>
      <c r="C127" s="4" t="s">
        <v>41</v>
      </c>
      <c r="D127" s="4" t="s">
        <v>456</v>
      </c>
      <c r="E127" s="4">
        <v>1300029</v>
      </c>
      <c r="F127" s="4" t="s">
        <v>457</v>
      </c>
      <c r="G127" s="4" t="s">
        <v>458</v>
      </c>
      <c r="H127" s="4"/>
    </row>
    <row r="128" s="1" customFormat="1" spans="1:8">
      <c r="A128" s="4" t="s">
        <v>205</v>
      </c>
      <c r="B128" s="4" t="s">
        <v>33</v>
      </c>
      <c r="C128" s="4" t="s">
        <v>41</v>
      </c>
      <c r="D128" s="4" t="s">
        <v>459</v>
      </c>
      <c r="E128" s="4">
        <v>1300086</v>
      </c>
      <c r="F128" s="4" t="s">
        <v>460</v>
      </c>
      <c r="G128" s="4" t="s">
        <v>458</v>
      </c>
      <c r="H128" s="4"/>
    </row>
    <row r="129" s="1" customFormat="1" spans="1:8">
      <c r="A129" s="4" t="s">
        <v>205</v>
      </c>
      <c r="B129" s="4" t="s">
        <v>33</v>
      </c>
      <c r="C129" s="4" t="s">
        <v>41</v>
      </c>
      <c r="D129" s="4" t="s">
        <v>461</v>
      </c>
      <c r="E129" s="4">
        <v>1300102</v>
      </c>
      <c r="F129" s="4" t="s">
        <v>462</v>
      </c>
      <c r="G129" s="4" t="s">
        <v>458</v>
      </c>
      <c r="H129" s="4"/>
    </row>
    <row r="130" s="1" customFormat="1" spans="1:8">
      <c r="A130" s="4" t="s">
        <v>205</v>
      </c>
      <c r="B130" s="4" t="s">
        <v>33</v>
      </c>
      <c r="C130" s="4" t="s">
        <v>41</v>
      </c>
      <c r="D130" s="4" t="s">
        <v>463</v>
      </c>
      <c r="E130" s="4">
        <v>1300300</v>
      </c>
      <c r="F130" s="4" t="s">
        <v>464</v>
      </c>
      <c r="G130" s="4" t="s">
        <v>458</v>
      </c>
      <c r="H130" s="4"/>
    </row>
    <row r="131" s="1" customFormat="1" spans="1:8">
      <c r="A131" s="4" t="s">
        <v>205</v>
      </c>
      <c r="B131" s="4" t="s">
        <v>33</v>
      </c>
      <c r="C131" s="4" t="s">
        <v>41</v>
      </c>
      <c r="D131" s="4" t="s">
        <v>465</v>
      </c>
      <c r="E131" s="4">
        <v>1300409</v>
      </c>
      <c r="F131" s="4" t="s">
        <v>466</v>
      </c>
      <c r="G131" s="4" t="s">
        <v>458</v>
      </c>
      <c r="H131" s="4"/>
    </row>
    <row r="132" s="1" customFormat="1" spans="1:8">
      <c r="A132" s="4" t="s">
        <v>205</v>
      </c>
      <c r="B132" s="4" t="s">
        <v>33</v>
      </c>
      <c r="C132" s="4" t="s">
        <v>41</v>
      </c>
      <c r="D132" s="4" t="s">
        <v>467</v>
      </c>
      <c r="E132" s="4">
        <v>1300508</v>
      </c>
      <c r="F132" s="4" t="s">
        <v>468</v>
      </c>
      <c r="G132" s="4" t="s">
        <v>458</v>
      </c>
      <c r="H132" s="4"/>
    </row>
    <row r="133" s="1" customFormat="1" spans="1:8">
      <c r="A133" s="4" t="s">
        <v>205</v>
      </c>
      <c r="B133" s="4" t="s">
        <v>33</v>
      </c>
      <c r="C133" s="4" t="s">
        <v>41</v>
      </c>
      <c r="D133" s="4" t="s">
        <v>469</v>
      </c>
      <c r="E133" s="4">
        <v>1300631</v>
      </c>
      <c r="F133" s="4" t="s">
        <v>470</v>
      </c>
      <c r="G133" s="4" t="s">
        <v>458</v>
      </c>
      <c r="H133" s="4"/>
    </row>
    <row r="134" s="1" customFormat="1" spans="1:8">
      <c r="A134" s="4" t="s">
        <v>205</v>
      </c>
      <c r="B134" s="4" t="s">
        <v>33</v>
      </c>
      <c r="C134" s="4" t="s">
        <v>41</v>
      </c>
      <c r="D134" s="4" t="s">
        <v>471</v>
      </c>
      <c r="E134" s="4">
        <v>1300680</v>
      </c>
      <c r="F134" s="4" t="s">
        <v>472</v>
      </c>
      <c r="G134" s="4" t="s">
        <v>458</v>
      </c>
      <c r="H134" s="4"/>
    </row>
    <row r="135" s="1" customFormat="1" spans="1:8">
      <c r="A135" s="4" t="s">
        <v>205</v>
      </c>
      <c r="B135" s="4" t="s">
        <v>33</v>
      </c>
      <c r="C135" s="4" t="s">
        <v>41</v>
      </c>
      <c r="D135" s="4" t="s">
        <v>473</v>
      </c>
      <c r="E135" s="4">
        <v>1300805</v>
      </c>
      <c r="F135" s="4" t="s">
        <v>474</v>
      </c>
      <c r="G135" s="4" t="s">
        <v>458</v>
      </c>
      <c r="H135" s="4"/>
    </row>
    <row r="136" s="1" customFormat="1" spans="1:8">
      <c r="A136" s="4" t="s">
        <v>205</v>
      </c>
      <c r="B136" s="4" t="s">
        <v>33</v>
      </c>
      <c r="C136" s="4" t="s">
        <v>41</v>
      </c>
      <c r="D136" s="4" t="s">
        <v>475</v>
      </c>
      <c r="E136" s="4">
        <v>1300839</v>
      </c>
      <c r="F136" s="4" t="s">
        <v>476</v>
      </c>
      <c r="G136" s="4" t="s">
        <v>458</v>
      </c>
      <c r="H136" s="4"/>
    </row>
    <row r="137" s="1" customFormat="1" spans="1:8">
      <c r="A137" s="4" t="s">
        <v>205</v>
      </c>
      <c r="B137" s="4" t="s">
        <v>33</v>
      </c>
      <c r="C137" s="4" t="s">
        <v>41</v>
      </c>
      <c r="D137" s="4" t="s">
        <v>477</v>
      </c>
      <c r="E137" s="4">
        <v>1301100</v>
      </c>
      <c r="F137" s="4" t="s">
        <v>478</v>
      </c>
      <c r="G137" s="4" t="s">
        <v>458</v>
      </c>
      <c r="H137" s="4"/>
    </row>
    <row r="138" s="1" customFormat="1" spans="1:8">
      <c r="A138" s="4" t="s">
        <v>205</v>
      </c>
      <c r="B138" s="4" t="s">
        <v>33</v>
      </c>
      <c r="C138" s="4" t="s">
        <v>41</v>
      </c>
      <c r="D138" s="4" t="s">
        <v>479</v>
      </c>
      <c r="E138" s="4">
        <v>1301159</v>
      </c>
      <c r="F138" s="4" t="s">
        <v>480</v>
      </c>
      <c r="G138" s="4" t="s">
        <v>458</v>
      </c>
      <c r="H138" s="4"/>
    </row>
    <row r="139" s="1" customFormat="1" spans="1:8">
      <c r="A139" s="4" t="s">
        <v>205</v>
      </c>
      <c r="B139" s="4" t="s">
        <v>33</v>
      </c>
      <c r="C139" s="4" t="s">
        <v>41</v>
      </c>
      <c r="D139" s="4" t="s">
        <v>481</v>
      </c>
      <c r="E139" s="4">
        <v>1301209</v>
      </c>
      <c r="F139" s="4" t="s">
        <v>482</v>
      </c>
      <c r="G139" s="4" t="s">
        <v>458</v>
      </c>
      <c r="H139" s="4"/>
    </row>
    <row r="140" s="1" customFormat="1" spans="1:8">
      <c r="A140" s="4" t="s">
        <v>205</v>
      </c>
      <c r="B140" s="4" t="s">
        <v>33</v>
      </c>
      <c r="C140" s="4" t="s">
        <v>41</v>
      </c>
      <c r="D140" s="4" t="s">
        <v>483</v>
      </c>
      <c r="E140" s="4">
        <v>1301308</v>
      </c>
      <c r="F140" s="4" t="s">
        <v>484</v>
      </c>
      <c r="G140" s="4" t="s">
        <v>458</v>
      </c>
      <c r="H140" s="4"/>
    </row>
    <row r="141" s="1" customFormat="1" spans="1:8">
      <c r="A141" s="4" t="s">
        <v>205</v>
      </c>
      <c r="B141" s="4" t="s">
        <v>33</v>
      </c>
      <c r="C141" s="4" t="s">
        <v>41</v>
      </c>
      <c r="D141" s="4" t="s">
        <v>485</v>
      </c>
      <c r="E141" s="4">
        <v>1301605</v>
      </c>
      <c r="F141" s="4" t="s">
        <v>486</v>
      </c>
      <c r="G141" s="4" t="s">
        <v>458</v>
      </c>
      <c r="H141" s="4"/>
    </row>
    <row r="142" s="1" customFormat="1" spans="1:8">
      <c r="A142" s="4" t="s">
        <v>205</v>
      </c>
      <c r="B142" s="4" t="s">
        <v>33</v>
      </c>
      <c r="C142" s="4" t="s">
        <v>41</v>
      </c>
      <c r="D142" s="4" t="s">
        <v>487</v>
      </c>
      <c r="E142" s="4">
        <v>1301704</v>
      </c>
      <c r="F142" s="4" t="s">
        <v>488</v>
      </c>
      <c r="G142" s="4" t="s">
        <v>458</v>
      </c>
      <c r="H142" s="4"/>
    </row>
    <row r="143" s="1" customFormat="1" spans="1:8">
      <c r="A143" s="4" t="s">
        <v>205</v>
      </c>
      <c r="B143" s="4" t="s">
        <v>33</v>
      </c>
      <c r="C143" s="4" t="s">
        <v>41</v>
      </c>
      <c r="D143" s="4" t="s">
        <v>489</v>
      </c>
      <c r="E143" s="4">
        <v>1302009</v>
      </c>
      <c r="F143" s="4" t="s">
        <v>490</v>
      </c>
      <c r="G143" s="4" t="s">
        <v>458</v>
      </c>
      <c r="H143" s="4"/>
    </row>
    <row r="144" s="1" customFormat="1" spans="1:8">
      <c r="A144" s="4" t="s">
        <v>205</v>
      </c>
      <c r="B144" s="4" t="s">
        <v>33</v>
      </c>
      <c r="C144" s="4" t="s">
        <v>41</v>
      </c>
      <c r="D144" s="4" t="s">
        <v>491</v>
      </c>
      <c r="E144" s="4">
        <v>1302108</v>
      </c>
      <c r="F144" s="4" t="s">
        <v>492</v>
      </c>
      <c r="G144" s="4" t="s">
        <v>458</v>
      </c>
      <c r="H144" s="4"/>
    </row>
    <row r="145" s="1" customFormat="1" spans="1:8">
      <c r="A145" s="4" t="s">
        <v>205</v>
      </c>
      <c r="B145" s="4" t="s">
        <v>33</v>
      </c>
      <c r="C145" s="4" t="s">
        <v>41</v>
      </c>
      <c r="D145" s="4" t="s">
        <v>493</v>
      </c>
      <c r="E145" s="4">
        <v>1302207</v>
      </c>
      <c r="F145" s="4" t="s">
        <v>494</v>
      </c>
      <c r="G145" s="4" t="s">
        <v>458</v>
      </c>
      <c r="H145" s="4"/>
    </row>
    <row r="146" s="1" customFormat="1" spans="1:8">
      <c r="A146" s="4" t="s">
        <v>205</v>
      </c>
      <c r="B146" s="4" t="s">
        <v>33</v>
      </c>
      <c r="C146" s="4" t="s">
        <v>41</v>
      </c>
      <c r="D146" s="4" t="s">
        <v>495</v>
      </c>
      <c r="E146" s="4">
        <v>1302306</v>
      </c>
      <c r="F146" s="4" t="s">
        <v>496</v>
      </c>
      <c r="G146" s="4" t="s">
        <v>458</v>
      </c>
      <c r="H146" s="4"/>
    </row>
    <row r="147" s="1" customFormat="1" spans="1:8">
      <c r="A147" s="4" t="s">
        <v>205</v>
      </c>
      <c r="B147" s="4" t="s">
        <v>33</v>
      </c>
      <c r="C147" s="4" t="s">
        <v>41</v>
      </c>
      <c r="D147" s="4" t="s">
        <v>497</v>
      </c>
      <c r="E147" s="4">
        <v>1302405</v>
      </c>
      <c r="F147" s="4" t="s">
        <v>498</v>
      </c>
      <c r="G147" s="4" t="s">
        <v>458</v>
      </c>
      <c r="H147" s="4"/>
    </row>
    <row r="148" s="1" customFormat="1" spans="1:8">
      <c r="A148" s="4" t="s">
        <v>205</v>
      </c>
      <c r="B148" s="4" t="s">
        <v>33</v>
      </c>
      <c r="C148" s="4" t="s">
        <v>41</v>
      </c>
      <c r="D148" s="4" t="s">
        <v>499</v>
      </c>
      <c r="E148" s="4">
        <v>1302553</v>
      </c>
      <c r="F148" s="4" t="s">
        <v>500</v>
      </c>
      <c r="G148" s="4" t="s">
        <v>458</v>
      </c>
      <c r="H148" s="4"/>
    </row>
    <row r="149" s="1" customFormat="1" spans="1:8">
      <c r="A149" s="4" t="s">
        <v>205</v>
      </c>
      <c r="B149" s="4" t="s">
        <v>33</v>
      </c>
      <c r="C149" s="4" t="s">
        <v>41</v>
      </c>
      <c r="D149" s="4" t="s">
        <v>501</v>
      </c>
      <c r="E149" s="4">
        <v>1302702</v>
      </c>
      <c r="F149" s="4" t="s">
        <v>502</v>
      </c>
      <c r="G149" s="4" t="s">
        <v>458</v>
      </c>
      <c r="H149" s="4"/>
    </row>
    <row r="150" s="1" customFormat="1" spans="1:8">
      <c r="A150" s="4" t="s">
        <v>205</v>
      </c>
      <c r="B150" s="4" t="s">
        <v>33</v>
      </c>
      <c r="C150" s="4" t="s">
        <v>41</v>
      </c>
      <c r="D150" s="4" t="s">
        <v>503</v>
      </c>
      <c r="E150" s="4">
        <v>1302801</v>
      </c>
      <c r="F150" s="4" t="s">
        <v>504</v>
      </c>
      <c r="G150" s="4" t="s">
        <v>458</v>
      </c>
      <c r="H150" s="4"/>
    </row>
    <row r="151" s="1" customFormat="1" spans="1:8">
      <c r="A151" s="4" t="s">
        <v>205</v>
      </c>
      <c r="B151" s="4" t="s">
        <v>33</v>
      </c>
      <c r="C151" s="4" t="s">
        <v>41</v>
      </c>
      <c r="D151" s="4" t="s">
        <v>505</v>
      </c>
      <c r="E151" s="4">
        <v>1302900</v>
      </c>
      <c r="F151" s="4" t="s">
        <v>506</v>
      </c>
      <c r="G151" s="4" t="s">
        <v>458</v>
      </c>
      <c r="H151" s="4"/>
    </row>
    <row r="152" s="1" customFormat="1" spans="1:8">
      <c r="A152" s="4" t="s">
        <v>205</v>
      </c>
      <c r="B152" s="4" t="s">
        <v>33</v>
      </c>
      <c r="C152" s="4" t="s">
        <v>41</v>
      </c>
      <c r="D152" s="4" t="s">
        <v>507</v>
      </c>
      <c r="E152" s="4">
        <v>1303007</v>
      </c>
      <c r="F152" s="4" t="s">
        <v>508</v>
      </c>
      <c r="G152" s="4" t="s">
        <v>458</v>
      </c>
      <c r="H152" s="4"/>
    </row>
    <row r="153" s="1" customFormat="1" spans="1:8">
      <c r="A153" s="4" t="s">
        <v>205</v>
      </c>
      <c r="B153" s="4" t="s">
        <v>33</v>
      </c>
      <c r="C153" s="4" t="s">
        <v>41</v>
      </c>
      <c r="D153" s="4" t="s">
        <v>509</v>
      </c>
      <c r="E153" s="4">
        <v>1303106</v>
      </c>
      <c r="F153" s="4" t="s">
        <v>510</v>
      </c>
      <c r="G153" s="4" t="s">
        <v>458</v>
      </c>
      <c r="H153" s="4"/>
    </row>
    <row r="154" s="1" customFormat="1" spans="1:8">
      <c r="A154" s="4" t="s">
        <v>205</v>
      </c>
      <c r="B154" s="4" t="s">
        <v>33</v>
      </c>
      <c r="C154" s="4" t="s">
        <v>41</v>
      </c>
      <c r="D154" s="4" t="s">
        <v>511</v>
      </c>
      <c r="E154" s="4">
        <v>1303304</v>
      </c>
      <c r="F154" s="4" t="s">
        <v>512</v>
      </c>
      <c r="G154" s="4" t="s">
        <v>458</v>
      </c>
      <c r="H154" s="4"/>
    </row>
    <row r="155" s="1" customFormat="1" spans="1:8">
      <c r="A155" s="4" t="s">
        <v>205</v>
      </c>
      <c r="B155" s="4" t="s">
        <v>33</v>
      </c>
      <c r="C155" s="4" t="s">
        <v>41</v>
      </c>
      <c r="D155" s="4" t="s">
        <v>513</v>
      </c>
      <c r="E155" s="4">
        <v>1303403</v>
      </c>
      <c r="F155" s="4" t="s">
        <v>514</v>
      </c>
      <c r="G155" s="4" t="s">
        <v>458</v>
      </c>
      <c r="H155" s="4"/>
    </row>
    <row r="156" s="1" customFormat="1" spans="1:8">
      <c r="A156" s="4" t="s">
        <v>205</v>
      </c>
      <c r="B156" s="4" t="s">
        <v>33</v>
      </c>
      <c r="C156" s="4" t="s">
        <v>41</v>
      </c>
      <c r="D156" s="4" t="s">
        <v>515</v>
      </c>
      <c r="E156" s="4">
        <v>1303601</v>
      </c>
      <c r="F156" s="4" t="s">
        <v>516</v>
      </c>
      <c r="G156" s="4" t="s">
        <v>458</v>
      </c>
      <c r="H156" s="4"/>
    </row>
    <row r="157" s="1" customFormat="1" spans="1:8">
      <c r="A157" s="4" t="s">
        <v>205</v>
      </c>
      <c r="B157" s="4" t="s">
        <v>33</v>
      </c>
      <c r="C157" s="4" t="s">
        <v>41</v>
      </c>
      <c r="D157" s="4" t="s">
        <v>517</v>
      </c>
      <c r="E157" s="4">
        <v>1303809</v>
      </c>
      <c r="F157" s="4" t="s">
        <v>518</v>
      </c>
      <c r="G157" s="4" t="s">
        <v>458</v>
      </c>
      <c r="H157" s="4"/>
    </row>
    <row r="158" s="1" customFormat="1" spans="1:8">
      <c r="A158" s="4" t="s">
        <v>205</v>
      </c>
      <c r="B158" s="4" t="s">
        <v>33</v>
      </c>
      <c r="C158" s="4" t="s">
        <v>41</v>
      </c>
      <c r="D158" s="4" t="s">
        <v>519</v>
      </c>
      <c r="E158" s="4">
        <v>1303957</v>
      </c>
      <c r="F158" s="4" t="s">
        <v>520</v>
      </c>
      <c r="G158" s="4" t="s">
        <v>458</v>
      </c>
      <c r="H158" s="4"/>
    </row>
    <row r="159" s="1" customFormat="1" spans="1:8">
      <c r="A159" s="4" t="s">
        <v>205</v>
      </c>
      <c r="B159" s="4" t="s">
        <v>33</v>
      </c>
      <c r="C159" s="4" t="s">
        <v>41</v>
      </c>
      <c r="D159" s="4" t="s">
        <v>521</v>
      </c>
      <c r="E159" s="4">
        <v>1304104</v>
      </c>
      <c r="F159" s="4" t="s">
        <v>522</v>
      </c>
      <c r="G159" s="4" t="s">
        <v>458</v>
      </c>
      <c r="H159" s="4"/>
    </row>
    <row r="160" s="1" customFormat="1" spans="1:8">
      <c r="A160" s="4" t="s">
        <v>205</v>
      </c>
      <c r="B160" s="4" t="s">
        <v>33</v>
      </c>
      <c r="C160" s="4" t="s">
        <v>41</v>
      </c>
      <c r="D160" s="4" t="s">
        <v>523</v>
      </c>
      <c r="E160" s="4">
        <v>1304203</v>
      </c>
      <c r="F160" s="4" t="s">
        <v>524</v>
      </c>
      <c r="G160" s="4" t="s">
        <v>458</v>
      </c>
      <c r="H160" s="4"/>
    </row>
    <row r="161" s="1" customFormat="1" spans="1:8">
      <c r="A161" s="4" t="s">
        <v>205</v>
      </c>
      <c r="B161" s="4" t="s">
        <v>33</v>
      </c>
      <c r="C161" s="4" t="s">
        <v>41</v>
      </c>
      <c r="D161" s="4" t="s">
        <v>525</v>
      </c>
      <c r="E161" s="4">
        <v>1304260</v>
      </c>
      <c r="F161" s="4" t="s">
        <v>526</v>
      </c>
      <c r="G161" s="4" t="s">
        <v>458</v>
      </c>
      <c r="H161" s="4"/>
    </row>
    <row r="162" s="1" customFormat="1" spans="1:8">
      <c r="A162" s="4" t="s">
        <v>205</v>
      </c>
      <c r="B162" s="4" t="s">
        <v>33</v>
      </c>
      <c r="C162" s="4" t="s">
        <v>41</v>
      </c>
      <c r="D162" s="4" t="s">
        <v>527</v>
      </c>
      <c r="E162" s="4">
        <v>1304302</v>
      </c>
      <c r="F162" s="4" t="s">
        <v>528</v>
      </c>
      <c r="G162" s="4" t="s">
        <v>458</v>
      </c>
      <c r="H162" s="4"/>
    </row>
    <row r="163" s="1" customFormat="1" spans="1:8">
      <c r="A163" s="4" t="s">
        <v>205</v>
      </c>
      <c r="B163" s="4" t="s">
        <v>33</v>
      </c>
      <c r="C163" s="4" t="s">
        <v>41</v>
      </c>
      <c r="D163" s="4" t="s">
        <v>529</v>
      </c>
      <c r="E163" s="4">
        <v>1304401</v>
      </c>
      <c r="F163" s="4" t="s">
        <v>530</v>
      </c>
      <c r="G163" s="4" t="s">
        <v>458</v>
      </c>
      <c r="H163" s="4"/>
    </row>
    <row r="164" s="1" customFormat="1" spans="1:8">
      <c r="A164" s="4" t="s">
        <v>205</v>
      </c>
      <c r="B164" s="4" t="s">
        <v>33</v>
      </c>
      <c r="C164" s="4" t="s">
        <v>41</v>
      </c>
      <c r="D164" s="4" t="s">
        <v>531</v>
      </c>
      <c r="E164" s="4">
        <v>1300060</v>
      </c>
      <c r="F164" s="4" t="s">
        <v>532</v>
      </c>
      <c r="G164" s="4" t="s">
        <v>533</v>
      </c>
      <c r="H164" s="4"/>
    </row>
    <row r="165" s="1" customFormat="1" spans="1:8">
      <c r="A165" s="4" t="s">
        <v>205</v>
      </c>
      <c r="B165" s="4" t="s">
        <v>33</v>
      </c>
      <c r="C165" s="4" t="s">
        <v>41</v>
      </c>
      <c r="D165" s="4" t="s">
        <v>534</v>
      </c>
      <c r="E165" s="4">
        <v>1300201</v>
      </c>
      <c r="F165" s="4" t="s">
        <v>535</v>
      </c>
      <c r="G165" s="4" t="s">
        <v>533</v>
      </c>
      <c r="H165" s="4"/>
    </row>
    <row r="166" s="1" customFormat="1" spans="1:8">
      <c r="A166" s="4" t="s">
        <v>205</v>
      </c>
      <c r="B166" s="4" t="s">
        <v>33</v>
      </c>
      <c r="C166" s="4" t="s">
        <v>41</v>
      </c>
      <c r="D166" s="4" t="s">
        <v>536</v>
      </c>
      <c r="E166" s="4">
        <v>1300607</v>
      </c>
      <c r="F166" s="4" t="s">
        <v>537</v>
      </c>
      <c r="G166" s="4" t="s">
        <v>533</v>
      </c>
      <c r="H166" s="4"/>
    </row>
    <row r="167" s="1" customFormat="1" spans="1:8">
      <c r="A167" s="4" t="s">
        <v>205</v>
      </c>
      <c r="B167" s="4" t="s">
        <v>33</v>
      </c>
      <c r="C167" s="4" t="s">
        <v>41</v>
      </c>
      <c r="D167" s="4" t="s">
        <v>538</v>
      </c>
      <c r="E167" s="4">
        <v>1300904</v>
      </c>
      <c r="F167" s="4" t="s">
        <v>539</v>
      </c>
      <c r="G167" s="4" t="s">
        <v>533</v>
      </c>
      <c r="H167" s="4"/>
    </row>
    <row r="168" s="1" customFormat="1" spans="1:8">
      <c r="A168" s="4" t="s">
        <v>205</v>
      </c>
      <c r="B168" s="4" t="s">
        <v>33</v>
      </c>
      <c r="C168" s="4" t="s">
        <v>41</v>
      </c>
      <c r="D168" s="4" t="s">
        <v>540</v>
      </c>
      <c r="E168" s="4">
        <v>1301001</v>
      </c>
      <c r="F168" s="4" t="s">
        <v>541</v>
      </c>
      <c r="G168" s="4" t="s">
        <v>533</v>
      </c>
      <c r="H168" s="4"/>
    </row>
    <row r="169" s="1" customFormat="1" spans="1:8">
      <c r="A169" s="4" t="s">
        <v>205</v>
      </c>
      <c r="B169" s="4" t="s">
        <v>33</v>
      </c>
      <c r="C169" s="4" t="s">
        <v>41</v>
      </c>
      <c r="D169" s="4" t="s">
        <v>542</v>
      </c>
      <c r="E169" s="4">
        <v>1301951</v>
      </c>
      <c r="F169" s="4" t="s">
        <v>543</v>
      </c>
      <c r="G169" s="4" t="s">
        <v>533</v>
      </c>
      <c r="H169" s="4"/>
    </row>
    <row r="170" s="1" customFormat="1" spans="1:8">
      <c r="A170" s="4" t="s">
        <v>205</v>
      </c>
      <c r="B170" s="4" t="s">
        <v>33</v>
      </c>
      <c r="C170" s="4" t="s">
        <v>41</v>
      </c>
      <c r="D170" s="4" t="s">
        <v>544</v>
      </c>
      <c r="E170" s="4">
        <v>1303700</v>
      </c>
      <c r="F170" s="4" t="s">
        <v>545</v>
      </c>
      <c r="G170" s="4" t="s">
        <v>533</v>
      </c>
      <c r="H170" s="4"/>
    </row>
    <row r="171" s="1" customFormat="1" spans="1:8">
      <c r="A171" s="4" t="s">
        <v>205</v>
      </c>
      <c r="B171" s="4" t="s">
        <v>33</v>
      </c>
      <c r="C171" s="4" t="s">
        <v>41</v>
      </c>
      <c r="D171" s="4" t="s">
        <v>546</v>
      </c>
      <c r="E171" s="4">
        <v>1303908</v>
      </c>
      <c r="F171" s="4" t="s">
        <v>547</v>
      </c>
      <c r="G171" s="4" t="s">
        <v>533</v>
      </c>
      <c r="H171" s="4"/>
    </row>
    <row r="172" s="1" customFormat="1" spans="1:8">
      <c r="A172" s="4" t="s">
        <v>205</v>
      </c>
      <c r="B172" s="4" t="s">
        <v>33</v>
      </c>
      <c r="C172" s="4" t="s">
        <v>41</v>
      </c>
      <c r="D172" s="4" t="s">
        <v>548</v>
      </c>
      <c r="E172" s="4">
        <v>1304062</v>
      </c>
      <c r="F172" s="4" t="s">
        <v>549</v>
      </c>
      <c r="G172" s="4" t="s">
        <v>533</v>
      </c>
      <c r="H172" s="4"/>
    </row>
    <row r="173" s="1" customFormat="1" spans="1:8">
      <c r="A173" s="4" t="s">
        <v>205</v>
      </c>
      <c r="B173" s="4" t="s">
        <v>33</v>
      </c>
      <c r="C173" s="4" t="s">
        <v>41</v>
      </c>
      <c r="D173" s="4" t="s">
        <v>550</v>
      </c>
      <c r="E173" s="4">
        <v>1304237</v>
      </c>
      <c r="F173" s="4" t="s">
        <v>551</v>
      </c>
      <c r="G173" s="4" t="s">
        <v>533</v>
      </c>
      <c r="H173" s="4"/>
    </row>
    <row r="174" s="1" customFormat="1" spans="1:8">
      <c r="A174" s="4" t="s">
        <v>205</v>
      </c>
      <c r="B174" s="4" t="s">
        <v>33</v>
      </c>
      <c r="C174" s="4" t="s">
        <v>41</v>
      </c>
      <c r="D174" s="4" t="s">
        <v>552</v>
      </c>
      <c r="E174" s="4">
        <v>1300706</v>
      </c>
      <c r="F174" s="4" t="s">
        <v>553</v>
      </c>
      <c r="G174" s="4" t="s">
        <v>554</v>
      </c>
      <c r="H174" s="4"/>
    </row>
    <row r="175" s="1" customFormat="1" spans="1:8">
      <c r="A175" s="4" t="s">
        <v>205</v>
      </c>
      <c r="B175" s="4" t="s">
        <v>33</v>
      </c>
      <c r="C175" s="4" t="s">
        <v>41</v>
      </c>
      <c r="D175" s="4" t="s">
        <v>555</v>
      </c>
      <c r="E175" s="4">
        <v>1301407</v>
      </c>
      <c r="F175" s="4" t="s">
        <v>556</v>
      </c>
      <c r="G175" s="4" t="s">
        <v>554</v>
      </c>
      <c r="H175" s="4"/>
    </row>
    <row r="176" s="1" customFormat="1" spans="1:8">
      <c r="A176" s="4" t="s">
        <v>205</v>
      </c>
      <c r="B176" s="4" t="s">
        <v>33</v>
      </c>
      <c r="C176" s="4" t="s">
        <v>41</v>
      </c>
      <c r="D176" s="4" t="s">
        <v>557</v>
      </c>
      <c r="E176" s="4">
        <v>1301506</v>
      </c>
      <c r="F176" s="4" t="s">
        <v>558</v>
      </c>
      <c r="G176" s="4" t="s">
        <v>554</v>
      </c>
      <c r="H176" s="4"/>
    </row>
    <row r="177" s="1" customFormat="1" spans="1:8">
      <c r="A177" s="4" t="s">
        <v>205</v>
      </c>
      <c r="B177" s="4" t="s">
        <v>33</v>
      </c>
      <c r="C177" s="4" t="s">
        <v>41</v>
      </c>
      <c r="D177" s="4" t="s">
        <v>559</v>
      </c>
      <c r="E177" s="4">
        <v>1301654</v>
      </c>
      <c r="F177" s="4" t="s">
        <v>560</v>
      </c>
      <c r="G177" s="4" t="s">
        <v>554</v>
      </c>
      <c r="H177" s="4"/>
    </row>
    <row r="178" s="1" customFormat="1" spans="1:8">
      <c r="A178" s="4" t="s">
        <v>205</v>
      </c>
      <c r="B178" s="4" t="s">
        <v>33</v>
      </c>
      <c r="C178" s="4" t="s">
        <v>41</v>
      </c>
      <c r="D178" s="4" t="s">
        <v>561</v>
      </c>
      <c r="E178" s="4">
        <v>1301803</v>
      </c>
      <c r="F178" s="4" t="s">
        <v>562</v>
      </c>
      <c r="G178" s="4" t="s">
        <v>554</v>
      </c>
      <c r="H178" s="4"/>
    </row>
    <row r="179" s="1" customFormat="1" spans="1:8">
      <c r="A179" s="4" t="s">
        <v>205</v>
      </c>
      <c r="B179" s="4" t="s">
        <v>33</v>
      </c>
      <c r="C179" s="4" t="s">
        <v>41</v>
      </c>
      <c r="D179" s="4" t="s">
        <v>563</v>
      </c>
      <c r="E179" s="4">
        <v>1303502</v>
      </c>
      <c r="F179" s="4" t="s">
        <v>564</v>
      </c>
      <c r="G179" s="4" t="s">
        <v>554</v>
      </c>
      <c r="H179" s="4"/>
    </row>
    <row r="180" s="1" customFormat="1" spans="1:8">
      <c r="A180" s="4" t="s">
        <v>205</v>
      </c>
      <c r="B180" s="4" t="s">
        <v>33</v>
      </c>
      <c r="C180" s="4" t="s">
        <v>41</v>
      </c>
      <c r="D180" s="4" t="s">
        <v>565</v>
      </c>
      <c r="E180" s="4">
        <v>1301852</v>
      </c>
      <c r="F180" s="4" t="s">
        <v>566</v>
      </c>
      <c r="G180" s="4" t="s">
        <v>210</v>
      </c>
      <c r="H180" s="4"/>
    </row>
    <row r="181" s="1" customFormat="1" spans="1:8">
      <c r="A181" s="4" t="s">
        <v>205</v>
      </c>
      <c r="B181" s="4" t="s">
        <v>33</v>
      </c>
      <c r="C181" s="4" t="s">
        <v>41</v>
      </c>
      <c r="D181" s="4" t="s">
        <v>567</v>
      </c>
      <c r="E181" s="4">
        <v>1302504</v>
      </c>
      <c r="F181" s="4" t="s">
        <v>568</v>
      </c>
      <c r="G181" s="4" t="s">
        <v>215</v>
      </c>
      <c r="H181" s="4"/>
    </row>
    <row r="182" s="1" customFormat="1" spans="1:8">
      <c r="A182" s="4" t="s">
        <v>205</v>
      </c>
      <c r="B182" s="4" t="s">
        <v>33</v>
      </c>
      <c r="C182" s="4" t="s">
        <v>41</v>
      </c>
      <c r="D182" s="4" t="s">
        <v>569</v>
      </c>
      <c r="E182" s="4">
        <v>1303536</v>
      </c>
      <c r="F182" s="4" t="s">
        <v>570</v>
      </c>
      <c r="G182" s="4" t="s">
        <v>215</v>
      </c>
      <c r="H182" s="4"/>
    </row>
    <row r="183" s="1" customFormat="1" spans="1:8">
      <c r="A183" s="4" t="s">
        <v>205</v>
      </c>
      <c r="B183" s="4" t="s">
        <v>33</v>
      </c>
      <c r="C183" s="4" t="s">
        <v>41</v>
      </c>
      <c r="D183" s="4" t="s">
        <v>571</v>
      </c>
      <c r="E183" s="4">
        <v>1303569</v>
      </c>
      <c r="F183" s="4" t="s">
        <v>572</v>
      </c>
      <c r="G183" s="4" t="s">
        <v>215</v>
      </c>
      <c r="H183" s="4"/>
    </row>
    <row r="184" s="1" customFormat="1" spans="1:8">
      <c r="A184" s="4" t="s">
        <v>205</v>
      </c>
      <c r="B184" s="4" t="s">
        <v>33</v>
      </c>
      <c r="C184" s="4" t="s">
        <v>41</v>
      </c>
      <c r="D184" s="4" t="s">
        <v>573</v>
      </c>
      <c r="E184" s="4">
        <v>1303205</v>
      </c>
      <c r="F184" s="4" t="s">
        <v>574</v>
      </c>
      <c r="G184" s="4" t="s">
        <v>232</v>
      </c>
      <c r="H184" s="4"/>
    </row>
    <row r="185" s="1" customFormat="1" spans="1:8">
      <c r="A185" s="4" t="s">
        <v>205</v>
      </c>
      <c r="B185" s="4" t="s">
        <v>33</v>
      </c>
      <c r="C185" s="4" t="s">
        <v>41</v>
      </c>
      <c r="D185" s="4" t="s">
        <v>575</v>
      </c>
      <c r="E185" s="4">
        <v>1300144</v>
      </c>
      <c r="F185" s="4" t="s">
        <v>576</v>
      </c>
      <c r="G185" s="4" t="s">
        <v>243</v>
      </c>
      <c r="H185" s="4"/>
    </row>
    <row r="186" s="1" customFormat="1" spans="1:8">
      <c r="A186" s="4" t="s">
        <v>205</v>
      </c>
      <c r="B186" s="4" t="s">
        <v>33</v>
      </c>
      <c r="C186" s="4" t="s">
        <v>41</v>
      </c>
      <c r="D186" s="4" t="s">
        <v>577</v>
      </c>
      <c r="E186" s="4">
        <v>1301902</v>
      </c>
      <c r="F186" s="4" t="s">
        <v>578</v>
      </c>
      <c r="G186" s="4" t="s">
        <v>243</v>
      </c>
      <c r="H186" s="4"/>
    </row>
    <row r="187" s="1" customFormat="1" spans="1:8">
      <c r="A187" s="4" t="s">
        <v>205</v>
      </c>
      <c r="B187" s="4" t="s">
        <v>33</v>
      </c>
      <c r="C187" s="4" t="s">
        <v>41</v>
      </c>
      <c r="D187" s="4" t="s">
        <v>579</v>
      </c>
      <c r="E187" s="4">
        <v>1304005</v>
      </c>
      <c r="F187" s="4" t="s">
        <v>580</v>
      </c>
      <c r="G187" s="4" t="s">
        <v>243</v>
      </c>
      <c r="H187" s="4"/>
    </row>
    <row r="188" s="1" customFormat="1" spans="1:8">
      <c r="A188" s="4" t="s">
        <v>205</v>
      </c>
      <c r="B188" s="4" t="s">
        <v>33</v>
      </c>
      <c r="C188" s="4" t="s">
        <v>46</v>
      </c>
      <c r="D188" s="4" t="s">
        <v>47</v>
      </c>
      <c r="E188" s="4">
        <v>1600303</v>
      </c>
      <c r="F188" s="4" t="s">
        <v>581</v>
      </c>
      <c r="G188" s="4" t="s">
        <v>207</v>
      </c>
      <c r="H188" s="4"/>
    </row>
    <row r="189" s="1" customFormat="1" spans="1:8">
      <c r="A189" s="4" t="s">
        <v>205</v>
      </c>
      <c r="B189" s="4" t="s">
        <v>33</v>
      </c>
      <c r="C189" s="4" t="s">
        <v>46</v>
      </c>
      <c r="D189" s="4" t="s">
        <v>582</v>
      </c>
      <c r="E189" s="4">
        <v>1600402</v>
      </c>
      <c r="F189" s="4" t="s">
        <v>583</v>
      </c>
      <c r="G189" s="4" t="s">
        <v>210</v>
      </c>
      <c r="H189" s="4"/>
    </row>
    <row r="190" s="1" customFormat="1" spans="1:8">
      <c r="A190" s="4" t="s">
        <v>205</v>
      </c>
      <c r="B190" s="4" t="s">
        <v>33</v>
      </c>
      <c r="C190" s="4" t="s">
        <v>46</v>
      </c>
      <c r="D190" s="4" t="s">
        <v>584</v>
      </c>
      <c r="E190" s="4">
        <v>1600600</v>
      </c>
      <c r="F190" s="4" t="s">
        <v>585</v>
      </c>
      <c r="G190" s="4" t="s">
        <v>210</v>
      </c>
      <c r="H190" s="4"/>
    </row>
    <row r="191" s="1" customFormat="1" spans="1:8">
      <c r="A191" s="4" t="s">
        <v>205</v>
      </c>
      <c r="B191" s="4" t="s">
        <v>33</v>
      </c>
      <c r="C191" s="4" t="s">
        <v>46</v>
      </c>
      <c r="D191" s="4" t="s">
        <v>586</v>
      </c>
      <c r="E191" s="4">
        <v>1600253</v>
      </c>
      <c r="F191" s="4" t="s">
        <v>587</v>
      </c>
      <c r="G191" s="4" t="s">
        <v>215</v>
      </c>
      <c r="H191" s="4"/>
    </row>
    <row r="192" s="1" customFormat="1" spans="1:8">
      <c r="A192" s="4" t="s">
        <v>205</v>
      </c>
      <c r="B192" s="4" t="s">
        <v>33</v>
      </c>
      <c r="C192" s="4" t="s">
        <v>46</v>
      </c>
      <c r="D192" s="4" t="s">
        <v>588</v>
      </c>
      <c r="E192" s="4">
        <v>1600535</v>
      </c>
      <c r="F192" s="4" t="s">
        <v>589</v>
      </c>
      <c r="G192" s="4" t="s">
        <v>215</v>
      </c>
      <c r="H192" s="4"/>
    </row>
    <row r="193" s="1" customFormat="1" spans="1:8">
      <c r="A193" s="4" t="s">
        <v>205</v>
      </c>
      <c r="B193" s="4" t="s">
        <v>33</v>
      </c>
      <c r="C193" s="4" t="s">
        <v>46</v>
      </c>
      <c r="D193" s="4" t="s">
        <v>590</v>
      </c>
      <c r="E193" s="4">
        <v>1600105</v>
      </c>
      <c r="F193" s="4" t="s">
        <v>591</v>
      </c>
      <c r="G193" s="4" t="s">
        <v>232</v>
      </c>
      <c r="H193" s="4"/>
    </row>
    <row r="194" s="1" customFormat="1" spans="1:8">
      <c r="A194" s="4" t="s">
        <v>205</v>
      </c>
      <c r="B194" s="4" t="s">
        <v>33</v>
      </c>
      <c r="C194" s="4" t="s">
        <v>46</v>
      </c>
      <c r="D194" s="4" t="s">
        <v>592</v>
      </c>
      <c r="E194" s="4">
        <v>1600212</v>
      </c>
      <c r="F194" s="4" t="s">
        <v>593</v>
      </c>
      <c r="G194" s="4" t="s">
        <v>232</v>
      </c>
      <c r="H194" s="4"/>
    </row>
    <row r="195" s="1" customFormat="1" spans="1:8">
      <c r="A195" s="4" t="s">
        <v>205</v>
      </c>
      <c r="B195" s="4" t="s">
        <v>33</v>
      </c>
      <c r="C195" s="4" t="s">
        <v>46</v>
      </c>
      <c r="D195" s="4" t="s">
        <v>594</v>
      </c>
      <c r="E195" s="4">
        <v>1600238</v>
      </c>
      <c r="F195" s="4" t="s">
        <v>595</v>
      </c>
      <c r="G195" s="4" t="s">
        <v>232</v>
      </c>
      <c r="H195" s="4"/>
    </row>
    <row r="196" s="1" customFormat="1" spans="1:8">
      <c r="A196" s="4" t="s">
        <v>205</v>
      </c>
      <c r="B196" s="4" t="s">
        <v>33</v>
      </c>
      <c r="C196" s="4" t="s">
        <v>46</v>
      </c>
      <c r="D196" s="7" t="s">
        <v>596</v>
      </c>
      <c r="E196" s="4">
        <v>1600154</v>
      </c>
      <c r="F196" s="4" t="s">
        <v>597</v>
      </c>
      <c r="G196" s="4" t="s">
        <v>232</v>
      </c>
      <c r="H196" s="4"/>
    </row>
    <row r="197" s="1" customFormat="1" spans="1:8">
      <c r="A197" s="4" t="s">
        <v>205</v>
      </c>
      <c r="B197" s="4" t="s">
        <v>33</v>
      </c>
      <c r="C197" s="4" t="s">
        <v>46</v>
      </c>
      <c r="D197" s="4" t="s">
        <v>598</v>
      </c>
      <c r="E197" s="4">
        <v>1600055</v>
      </c>
      <c r="F197" s="4" t="s">
        <v>599</v>
      </c>
      <c r="G197" s="4" t="s">
        <v>232</v>
      </c>
      <c r="H197" s="4"/>
    </row>
    <row r="198" s="1" customFormat="1" spans="1:8">
      <c r="A198" s="4" t="s">
        <v>205</v>
      </c>
      <c r="B198" s="4" t="s">
        <v>33</v>
      </c>
      <c r="C198" s="4" t="s">
        <v>46</v>
      </c>
      <c r="D198" s="4" t="s">
        <v>600</v>
      </c>
      <c r="E198" s="4">
        <v>1600204</v>
      </c>
      <c r="F198" s="4" t="s">
        <v>601</v>
      </c>
      <c r="G198" s="4" t="s">
        <v>243</v>
      </c>
      <c r="H198" s="4"/>
    </row>
    <row r="199" s="1" customFormat="1" spans="1:8">
      <c r="A199" s="4" t="s">
        <v>205</v>
      </c>
      <c r="B199" s="4" t="s">
        <v>33</v>
      </c>
      <c r="C199" s="4" t="s">
        <v>46</v>
      </c>
      <c r="D199" s="4" t="s">
        <v>602</v>
      </c>
      <c r="E199" s="4">
        <v>1600279</v>
      </c>
      <c r="F199" s="4" t="s">
        <v>603</v>
      </c>
      <c r="G199" s="4" t="s">
        <v>243</v>
      </c>
      <c r="H199" s="4"/>
    </row>
    <row r="200" s="1" customFormat="1" spans="1:8">
      <c r="A200" s="4" t="s">
        <v>205</v>
      </c>
      <c r="B200" s="4" t="s">
        <v>33</v>
      </c>
      <c r="C200" s="4" t="s">
        <v>46</v>
      </c>
      <c r="D200" s="4" t="s">
        <v>604</v>
      </c>
      <c r="E200" s="4">
        <v>1600501</v>
      </c>
      <c r="F200" s="4" t="s">
        <v>605</v>
      </c>
      <c r="G200" s="4" t="s">
        <v>243</v>
      </c>
      <c r="H200" s="4"/>
    </row>
    <row r="201" s="1" customFormat="1" spans="1:8">
      <c r="A201" s="4" t="s">
        <v>205</v>
      </c>
      <c r="B201" s="4" t="s">
        <v>33</v>
      </c>
      <c r="C201" s="4" t="s">
        <v>46</v>
      </c>
      <c r="D201" s="4" t="s">
        <v>606</v>
      </c>
      <c r="E201" s="4">
        <v>1600550</v>
      </c>
      <c r="F201" s="4" t="s">
        <v>607</v>
      </c>
      <c r="G201" s="4" t="s">
        <v>243</v>
      </c>
      <c r="H201" s="4"/>
    </row>
    <row r="202" s="1" customFormat="1" spans="1:8">
      <c r="A202" s="4" t="s">
        <v>205</v>
      </c>
      <c r="B202" s="4" t="s">
        <v>33</v>
      </c>
      <c r="C202" s="4" t="s">
        <v>46</v>
      </c>
      <c r="D202" s="4" t="s">
        <v>608</v>
      </c>
      <c r="E202" s="4">
        <v>1600709</v>
      </c>
      <c r="F202" s="4" t="s">
        <v>609</v>
      </c>
      <c r="G202" s="4" t="s">
        <v>243</v>
      </c>
      <c r="H202" s="4"/>
    </row>
    <row r="203" s="1" customFormat="1" spans="1:8">
      <c r="A203" s="4" t="s">
        <v>205</v>
      </c>
      <c r="B203" s="4" t="s">
        <v>33</v>
      </c>
      <c r="C203" s="4" t="s">
        <v>46</v>
      </c>
      <c r="D203" s="4" t="s">
        <v>610</v>
      </c>
      <c r="E203" s="4">
        <v>1600808</v>
      </c>
      <c r="F203" s="4" t="s">
        <v>611</v>
      </c>
      <c r="G203" s="4" t="s">
        <v>243</v>
      </c>
      <c r="H203" s="4"/>
    </row>
    <row r="204" s="1" customFormat="1" spans="1:8">
      <c r="A204" s="4" t="s">
        <v>205</v>
      </c>
      <c r="B204" s="4" t="s">
        <v>57</v>
      </c>
      <c r="C204" s="4" t="s">
        <v>60</v>
      </c>
      <c r="D204" s="4" t="s">
        <v>61</v>
      </c>
      <c r="E204" s="4">
        <v>2927408</v>
      </c>
      <c r="F204" s="4" t="s">
        <v>612</v>
      </c>
      <c r="G204" s="4" t="s">
        <v>207</v>
      </c>
      <c r="H204" s="4"/>
    </row>
    <row r="205" s="1" customFormat="1" spans="1:8">
      <c r="A205" s="4" t="s">
        <v>205</v>
      </c>
      <c r="B205" s="4" t="s">
        <v>57</v>
      </c>
      <c r="C205" s="4" t="s">
        <v>60</v>
      </c>
      <c r="D205" s="4" t="s">
        <v>613</v>
      </c>
      <c r="E205" s="4">
        <v>2905701</v>
      </c>
      <c r="F205" s="4" t="s">
        <v>614</v>
      </c>
      <c r="G205" s="4" t="s">
        <v>210</v>
      </c>
      <c r="H205" s="4"/>
    </row>
    <row r="206" s="1" customFormat="1" spans="1:8">
      <c r="A206" s="4" t="s">
        <v>205</v>
      </c>
      <c r="B206" s="4" t="s">
        <v>57</v>
      </c>
      <c r="C206" s="4" t="s">
        <v>60</v>
      </c>
      <c r="D206" s="4" t="s">
        <v>615</v>
      </c>
      <c r="E206" s="4">
        <v>2906501</v>
      </c>
      <c r="F206" s="4" t="s">
        <v>616</v>
      </c>
      <c r="G206" s="4" t="s">
        <v>210</v>
      </c>
      <c r="H206" s="4"/>
    </row>
    <row r="207" s="1" customFormat="1" spans="1:8">
      <c r="A207" s="4" t="s">
        <v>205</v>
      </c>
      <c r="B207" s="4" t="s">
        <v>57</v>
      </c>
      <c r="C207" s="4" t="s">
        <v>60</v>
      </c>
      <c r="D207" s="4" t="s">
        <v>617</v>
      </c>
      <c r="E207" s="4">
        <v>2910057</v>
      </c>
      <c r="F207" s="4" t="s">
        <v>618</v>
      </c>
      <c r="G207" s="4" t="s">
        <v>210</v>
      </c>
      <c r="H207" s="4"/>
    </row>
    <row r="208" s="1" customFormat="1" spans="1:8">
      <c r="A208" s="4" t="s">
        <v>205</v>
      </c>
      <c r="B208" s="4" t="s">
        <v>57</v>
      </c>
      <c r="C208" s="4" t="s">
        <v>60</v>
      </c>
      <c r="D208" s="4" t="s">
        <v>619</v>
      </c>
      <c r="E208" s="4">
        <v>2919207</v>
      </c>
      <c r="F208" s="4" t="s">
        <v>620</v>
      </c>
      <c r="G208" s="4" t="s">
        <v>210</v>
      </c>
      <c r="H208" s="4"/>
    </row>
    <row r="209" s="1" customFormat="1" spans="1:8">
      <c r="A209" s="4" t="s">
        <v>205</v>
      </c>
      <c r="B209" s="4" t="s">
        <v>57</v>
      </c>
      <c r="C209" s="4" t="s">
        <v>60</v>
      </c>
      <c r="D209" s="4" t="s">
        <v>621</v>
      </c>
      <c r="E209" s="4">
        <v>2930709</v>
      </c>
      <c r="F209" s="4" t="s">
        <v>622</v>
      </c>
      <c r="G209" s="4" t="s">
        <v>210</v>
      </c>
      <c r="H209" s="4"/>
    </row>
    <row r="210" s="1" customFormat="1" spans="1:8">
      <c r="A210" s="4" t="s">
        <v>205</v>
      </c>
      <c r="B210" s="4" t="s">
        <v>57</v>
      </c>
      <c r="C210" s="4" t="s">
        <v>60</v>
      </c>
      <c r="D210" s="4" t="s">
        <v>623</v>
      </c>
      <c r="E210" s="4">
        <v>2900306</v>
      </c>
      <c r="F210" s="4" t="s">
        <v>624</v>
      </c>
      <c r="G210" s="4" t="s">
        <v>215</v>
      </c>
      <c r="H210" s="4"/>
    </row>
    <row r="211" s="1" customFormat="1" spans="1:8">
      <c r="A211" s="4" t="s">
        <v>205</v>
      </c>
      <c r="B211" s="4" t="s">
        <v>57</v>
      </c>
      <c r="C211" s="4" t="s">
        <v>60</v>
      </c>
      <c r="D211" s="4" t="s">
        <v>625</v>
      </c>
      <c r="E211" s="4">
        <v>2900702</v>
      </c>
      <c r="F211" s="4" t="s">
        <v>626</v>
      </c>
      <c r="G211" s="4" t="s">
        <v>215</v>
      </c>
      <c r="H211" s="4"/>
    </row>
    <row r="212" s="1" customFormat="1" spans="1:8">
      <c r="A212" s="4" t="s">
        <v>205</v>
      </c>
      <c r="B212" s="4" t="s">
        <v>57</v>
      </c>
      <c r="C212" s="4" t="s">
        <v>60</v>
      </c>
      <c r="D212" s="4" t="s">
        <v>627</v>
      </c>
      <c r="E212" s="4">
        <v>2901007</v>
      </c>
      <c r="F212" s="4" t="s">
        <v>628</v>
      </c>
      <c r="G212" s="4" t="s">
        <v>215</v>
      </c>
      <c r="H212" s="4"/>
    </row>
    <row r="213" s="1" customFormat="1" spans="1:8">
      <c r="A213" s="4" t="s">
        <v>205</v>
      </c>
      <c r="B213" s="4" t="s">
        <v>57</v>
      </c>
      <c r="C213" s="4" t="s">
        <v>60</v>
      </c>
      <c r="D213" s="4" t="s">
        <v>629</v>
      </c>
      <c r="E213" s="4">
        <v>2901106</v>
      </c>
      <c r="F213" s="4" t="s">
        <v>630</v>
      </c>
      <c r="G213" s="4" t="s">
        <v>215</v>
      </c>
      <c r="H213" s="4"/>
    </row>
    <row r="214" s="1" customFormat="1" spans="1:8">
      <c r="A214" s="4" t="s">
        <v>205</v>
      </c>
      <c r="B214" s="4" t="s">
        <v>57</v>
      </c>
      <c r="C214" s="4" t="s">
        <v>60</v>
      </c>
      <c r="D214" s="4" t="s">
        <v>631</v>
      </c>
      <c r="E214" s="4">
        <v>2901502</v>
      </c>
      <c r="F214" s="4" t="s">
        <v>632</v>
      </c>
      <c r="G214" s="4" t="s">
        <v>215</v>
      </c>
      <c r="H214" s="4"/>
    </row>
    <row r="215" s="1" customFormat="1" spans="1:8">
      <c r="A215" s="4" t="s">
        <v>205</v>
      </c>
      <c r="B215" s="4" t="s">
        <v>57</v>
      </c>
      <c r="C215" s="4" t="s">
        <v>60</v>
      </c>
      <c r="D215" s="4" t="s">
        <v>633</v>
      </c>
      <c r="E215" s="4">
        <v>2901700</v>
      </c>
      <c r="F215" s="4" t="s">
        <v>634</v>
      </c>
      <c r="G215" s="4" t="s">
        <v>215</v>
      </c>
      <c r="H215" s="4"/>
    </row>
    <row r="216" s="1" customFormat="1" spans="1:8">
      <c r="A216" s="4" t="s">
        <v>205</v>
      </c>
      <c r="B216" s="4" t="s">
        <v>57</v>
      </c>
      <c r="C216" s="4" t="s">
        <v>60</v>
      </c>
      <c r="D216" s="4" t="s">
        <v>635</v>
      </c>
      <c r="E216" s="4">
        <v>2901908</v>
      </c>
      <c r="F216" s="4" t="s">
        <v>636</v>
      </c>
      <c r="G216" s="4" t="s">
        <v>215</v>
      </c>
      <c r="H216" s="4"/>
    </row>
    <row r="217" s="1" customFormat="1" spans="1:8">
      <c r="A217" s="4" t="s">
        <v>205</v>
      </c>
      <c r="B217" s="4" t="s">
        <v>57</v>
      </c>
      <c r="C217" s="4" t="s">
        <v>60</v>
      </c>
      <c r="D217" s="4" t="s">
        <v>637</v>
      </c>
      <c r="E217" s="4">
        <v>2902104</v>
      </c>
      <c r="F217" s="4" t="s">
        <v>638</v>
      </c>
      <c r="G217" s="4" t="s">
        <v>215</v>
      </c>
      <c r="H217" s="4"/>
    </row>
    <row r="218" s="1" customFormat="1" spans="1:8">
      <c r="A218" s="4" t="s">
        <v>205</v>
      </c>
      <c r="B218" s="4" t="s">
        <v>57</v>
      </c>
      <c r="C218" s="4" t="s">
        <v>60</v>
      </c>
      <c r="D218" s="4" t="s">
        <v>639</v>
      </c>
      <c r="E218" s="4">
        <v>2902203</v>
      </c>
      <c r="F218" s="4" t="s">
        <v>640</v>
      </c>
      <c r="G218" s="4" t="s">
        <v>215</v>
      </c>
      <c r="H218" s="4"/>
    </row>
    <row r="219" s="1" customFormat="1" spans="1:8">
      <c r="A219" s="4" t="s">
        <v>205</v>
      </c>
      <c r="B219" s="4" t="s">
        <v>57</v>
      </c>
      <c r="C219" s="4" t="s">
        <v>60</v>
      </c>
      <c r="D219" s="4" t="s">
        <v>641</v>
      </c>
      <c r="E219" s="4">
        <v>2902302</v>
      </c>
      <c r="F219" s="4" t="s">
        <v>642</v>
      </c>
      <c r="G219" s="4" t="s">
        <v>215</v>
      </c>
      <c r="H219" s="4"/>
    </row>
    <row r="220" s="1" customFormat="1" spans="1:8">
      <c r="A220" s="4" t="s">
        <v>205</v>
      </c>
      <c r="B220" s="4" t="s">
        <v>57</v>
      </c>
      <c r="C220" s="4" t="s">
        <v>60</v>
      </c>
      <c r="D220" s="4" t="s">
        <v>643</v>
      </c>
      <c r="E220" s="4">
        <v>2902054</v>
      </c>
      <c r="F220" s="4" t="s">
        <v>644</v>
      </c>
      <c r="G220" s="4" t="s">
        <v>215</v>
      </c>
      <c r="H220" s="4"/>
    </row>
    <row r="221" s="1" customFormat="1" spans="1:8">
      <c r="A221" s="4" t="s">
        <v>205</v>
      </c>
      <c r="B221" s="4" t="s">
        <v>57</v>
      </c>
      <c r="C221" s="4" t="s">
        <v>60</v>
      </c>
      <c r="D221" s="4" t="s">
        <v>645</v>
      </c>
      <c r="E221" s="4">
        <v>2902609</v>
      </c>
      <c r="F221" s="4" t="s">
        <v>646</v>
      </c>
      <c r="G221" s="4" t="s">
        <v>215</v>
      </c>
      <c r="H221" s="4"/>
    </row>
    <row r="222" s="1" customFormat="1" spans="1:8">
      <c r="A222" s="4" t="s">
        <v>205</v>
      </c>
      <c r="B222" s="4" t="s">
        <v>57</v>
      </c>
      <c r="C222" s="4" t="s">
        <v>60</v>
      </c>
      <c r="D222" s="4" t="s">
        <v>647</v>
      </c>
      <c r="E222" s="4">
        <v>2903276</v>
      </c>
      <c r="F222" s="4" t="s">
        <v>648</v>
      </c>
      <c r="G222" s="4" t="s">
        <v>215</v>
      </c>
      <c r="H222" s="4"/>
    </row>
    <row r="223" s="1" customFormat="1" spans="1:8">
      <c r="A223" s="4" t="s">
        <v>205</v>
      </c>
      <c r="B223" s="4" t="s">
        <v>57</v>
      </c>
      <c r="C223" s="4" t="s">
        <v>60</v>
      </c>
      <c r="D223" s="4" t="s">
        <v>649</v>
      </c>
      <c r="E223" s="4">
        <v>2903607</v>
      </c>
      <c r="F223" s="4" t="s">
        <v>650</v>
      </c>
      <c r="G223" s="4" t="s">
        <v>215</v>
      </c>
      <c r="H223" s="4"/>
    </row>
    <row r="224" s="1" customFormat="1" spans="1:8">
      <c r="A224" s="4" t="s">
        <v>205</v>
      </c>
      <c r="B224" s="4" t="s">
        <v>57</v>
      </c>
      <c r="C224" s="4" t="s">
        <v>60</v>
      </c>
      <c r="D224" s="4" t="s">
        <v>651</v>
      </c>
      <c r="E224" s="4">
        <v>2904308</v>
      </c>
      <c r="F224" s="4" t="s">
        <v>652</v>
      </c>
      <c r="G224" s="4" t="s">
        <v>215</v>
      </c>
      <c r="H224" s="4"/>
    </row>
    <row r="225" s="1" customFormat="1" spans="1:8">
      <c r="A225" s="4" t="s">
        <v>205</v>
      </c>
      <c r="B225" s="4" t="s">
        <v>57</v>
      </c>
      <c r="C225" s="4" t="s">
        <v>60</v>
      </c>
      <c r="D225" s="4" t="s">
        <v>653</v>
      </c>
      <c r="E225" s="4">
        <v>2904852</v>
      </c>
      <c r="F225" s="4" t="s">
        <v>654</v>
      </c>
      <c r="G225" s="4" t="s">
        <v>215</v>
      </c>
      <c r="H225" s="4"/>
    </row>
    <row r="226" s="1" customFormat="1" spans="1:8">
      <c r="A226" s="4" t="s">
        <v>205</v>
      </c>
      <c r="B226" s="4" t="s">
        <v>57</v>
      </c>
      <c r="C226" s="4" t="s">
        <v>60</v>
      </c>
      <c r="D226" s="4" t="s">
        <v>655</v>
      </c>
      <c r="E226" s="4">
        <v>2904902</v>
      </c>
      <c r="F226" s="4" t="s">
        <v>656</v>
      </c>
      <c r="G226" s="4" t="s">
        <v>215</v>
      </c>
      <c r="H226" s="4"/>
    </row>
    <row r="227" s="1" customFormat="1" spans="1:8">
      <c r="A227" s="4" t="s">
        <v>205</v>
      </c>
      <c r="B227" s="4" t="s">
        <v>57</v>
      </c>
      <c r="C227" s="4" t="s">
        <v>60</v>
      </c>
      <c r="D227" s="4" t="s">
        <v>657</v>
      </c>
      <c r="E227" s="4">
        <v>2905404</v>
      </c>
      <c r="F227" s="4" t="s">
        <v>658</v>
      </c>
      <c r="G227" s="4" t="s">
        <v>215</v>
      </c>
      <c r="H227" s="4"/>
    </row>
    <row r="228" s="1" customFormat="1" spans="1:8">
      <c r="A228" s="4" t="s">
        <v>205</v>
      </c>
      <c r="B228" s="4" t="s">
        <v>57</v>
      </c>
      <c r="C228" s="4" t="s">
        <v>60</v>
      </c>
      <c r="D228" s="4" t="s">
        <v>659</v>
      </c>
      <c r="E228" s="4">
        <v>2905800</v>
      </c>
      <c r="F228" s="4" t="s">
        <v>660</v>
      </c>
      <c r="G228" s="4" t="s">
        <v>215</v>
      </c>
      <c r="H228" s="4"/>
    </row>
    <row r="229" s="1" customFormat="1" spans="1:8">
      <c r="A229" s="4" t="s">
        <v>205</v>
      </c>
      <c r="B229" s="4" t="s">
        <v>57</v>
      </c>
      <c r="C229" s="4" t="s">
        <v>60</v>
      </c>
      <c r="D229" s="4" t="s">
        <v>661</v>
      </c>
      <c r="E229" s="4">
        <v>2906402</v>
      </c>
      <c r="F229" s="4" t="s">
        <v>662</v>
      </c>
      <c r="G229" s="4" t="s">
        <v>215</v>
      </c>
      <c r="H229" s="4"/>
    </row>
    <row r="230" s="1" customFormat="1" spans="1:8">
      <c r="A230" s="4" t="s">
        <v>205</v>
      </c>
      <c r="B230" s="4" t="s">
        <v>57</v>
      </c>
      <c r="C230" s="4" t="s">
        <v>60</v>
      </c>
      <c r="D230" s="4" t="s">
        <v>663</v>
      </c>
      <c r="E230" s="4">
        <v>2906857</v>
      </c>
      <c r="F230" s="4" t="s">
        <v>664</v>
      </c>
      <c r="G230" s="4" t="s">
        <v>215</v>
      </c>
      <c r="H230" s="4"/>
    </row>
    <row r="231" s="1" customFormat="1" spans="1:8">
      <c r="A231" s="4" t="s">
        <v>205</v>
      </c>
      <c r="B231" s="4" t="s">
        <v>57</v>
      </c>
      <c r="C231" s="4" t="s">
        <v>60</v>
      </c>
      <c r="D231" s="4" t="s">
        <v>665</v>
      </c>
      <c r="E231" s="4">
        <v>2906873</v>
      </c>
      <c r="F231" s="4" t="s">
        <v>666</v>
      </c>
      <c r="G231" s="4" t="s">
        <v>215</v>
      </c>
      <c r="H231" s="4"/>
    </row>
    <row r="232" s="1" customFormat="1" spans="1:8">
      <c r="A232" s="4" t="s">
        <v>205</v>
      </c>
      <c r="B232" s="4" t="s">
        <v>57</v>
      </c>
      <c r="C232" s="4" t="s">
        <v>60</v>
      </c>
      <c r="D232" s="4" t="s">
        <v>667</v>
      </c>
      <c r="E232" s="4">
        <v>2907004</v>
      </c>
      <c r="F232" s="4" t="s">
        <v>668</v>
      </c>
      <c r="G232" s="4" t="s">
        <v>215</v>
      </c>
      <c r="H232" s="4"/>
    </row>
    <row r="233" s="1" customFormat="1" spans="1:8">
      <c r="A233" s="4" t="s">
        <v>205</v>
      </c>
      <c r="B233" s="4" t="s">
        <v>57</v>
      </c>
      <c r="C233" s="4" t="s">
        <v>60</v>
      </c>
      <c r="D233" s="4" t="s">
        <v>669</v>
      </c>
      <c r="E233" s="4">
        <v>2907301</v>
      </c>
      <c r="F233" s="4" t="s">
        <v>670</v>
      </c>
      <c r="G233" s="4" t="s">
        <v>215</v>
      </c>
      <c r="H233" s="4"/>
    </row>
    <row r="234" s="1" customFormat="1" spans="1:8">
      <c r="A234" s="4" t="s">
        <v>205</v>
      </c>
      <c r="B234" s="4" t="s">
        <v>57</v>
      </c>
      <c r="C234" s="4" t="s">
        <v>60</v>
      </c>
      <c r="D234" s="4" t="s">
        <v>671</v>
      </c>
      <c r="E234" s="4">
        <v>2907509</v>
      </c>
      <c r="F234" s="4" t="s">
        <v>672</v>
      </c>
      <c r="G234" s="4" t="s">
        <v>215</v>
      </c>
      <c r="H234" s="4"/>
    </row>
    <row r="235" s="1" customFormat="1" spans="1:8">
      <c r="A235" s="4" t="s">
        <v>205</v>
      </c>
      <c r="B235" s="4" t="s">
        <v>57</v>
      </c>
      <c r="C235" s="4" t="s">
        <v>60</v>
      </c>
      <c r="D235" s="4" t="s">
        <v>673</v>
      </c>
      <c r="E235" s="4">
        <v>2907905</v>
      </c>
      <c r="F235" s="4" t="s">
        <v>674</v>
      </c>
      <c r="G235" s="4" t="s">
        <v>215</v>
      </c>
      <c r="H235" s="4"/>
    </row>
    <row r="236" s="1" customFormat="1" spans="1:8">
      <c r="A236" s="4" t="s">
        <v>205</v>
      </c>
      <c r="B236" s="4" t="s">
        <v>57</v>
      </c>
      <c r="C236" s="4" t="s">
        <v>60</v>
      </c>
      <c r="D236" s="4" t="s">
        <v>675</v>
      </c>
      <c r="E236" s="4">
        <v>2908200</v>
      </c>
      <c r="F236" s="4" t="s">
        <v>676</v>
      </c>
      <c r="G236" s="4" t="s">
        <v>215</v>
      </c>
      <c r="H236" s="4"/>
    </row>
    <row r="237" s="1" customFormat="1" spans="1:8">
      <c r="A237" s="4" t="s">
        <v>205</v>
      </c>
      <c r="B237" s="4" t="s">
        <v>57</v>
      </c>
      <c r="C237" s="4" t="s">
        <v>60</v>
      </c>
      <c r="D237" s="4" t="s">
        <v>677</v>
      </c>
      <c r="E237" s="4">
        <v>2908309</v>
      </c>
      <c r="F237" s="4" t="s">
        <v>678</v>
      </c>
      <c r="G237" s="4" t="s">
        <v>215</v>
      </c>
      <c r="H237" s="4"/>
    </row>
    <row r="238" s="1" customFormat="1" spans="1:8">
      <c r="A238" s="4" t="s">
        <v>205</v>
      </c>
      <c r="B238" s="4" t="s">
        <v>57</v>
      </c>
      <c r="C238" s="4" t="s">
        <v>60</v>
      </c>
      <c r="D238" s="4" t="s">
        <v>679</v>
      </c>
      <c r="E238" s="4">
        <v>2908408</v>
      </c>
      <c r="F238" s="4" t="s">
        <v>680</v>
      </c>
      <c r="G238" s="4" t="s">
        <v>215</v>
      </c>
      <c r="H238" s="4"/>
    </row>
    <row r="239" s="1" customFormat="1" spans="1:8">
      <c r="A239" s="4" t="s">
        <v>205</v>
      </c>
      <c r="B239" s="4" t="s">
        <v>57</v>
      </c>
      <c r="C239" s="4" t="s">
        <v>60</v>
      </c>
      <c r="D239" s="4" t="s">
        <v>681</v>
      </c>
      <c r="E239" s="4">
        <v>2908507</v>
      </c>
      <c r="F239" s="4" t="s">
        <v>682</v>
      </c>
      <c r="G239" s="4" t="s">
        <v>215</v>
      </c>
      <c r="H239" s="4"/>
    </row>
    <row r="240" s="1" customFormat="1" spans="1:8">
      <c r="A240" s="4" t="s">
        <v>205</v>
      </c>
      <c r="B240" s="4" t="s">
        <v>57</v>
      </c>
      <c r="C240" s="4" t="s">
        <v>60</v>
      </c>
      <c r="D240" s="4" t="s">
        <v>683</v>
      </c>
      <c r="E240" s="4">
        <v>2908606</v>
      </c>
      <c r="F240" s="4" t="s">
        <v>684</v>
      </c>
      <c r="G240" s="4" t="s">
        <v>215</v>
      </c>
      <c r="H240" s="4"/>
    </row>
    <row r="241" s="1" customFormat="1" spans="1:8">
      <c r="A241" s="4" t="s">
        <v>205</v>
      </c>
      <c r="B241" s="4" t="s">
        <v>57</v>
      </c>
      <c r="C241" s="4" t="s">
        <v>60</v>
      </c>
      <c r="D241" s="4" t="s">
        <v>685</v>
      </c>
      <c r="E241" s="4">
        <v>2908903</v>
      </c>
      <c r="F241" s="4" t="s">
        <v>686</v>
      </c>
      <c r="G241" s="4" t="s">
        <v>215</v>
      </c>
      <c r="H241" s="4"/>
    </row>
    <row r="242" s="1" customFormat="1" spans="1:8">
      <c r="A242" s="4" t="s">
        <v>205</v>
      </c>
      <c r="B242" s="4" t="s">
        <v>57</v>
      </c>
      <c r="C242" s="4" t="s">
        <v>60</v>
      </c>
      <c r="D242" s="4" t="s">
        <v>687</v>
      </c>
      <c r="E242" s="4">
        <v>2909505</v>
      </c>
      <c r="F242" s="4" t="s">
        <v>688</v>
      </c>
      <c r="G242" s="4" t="s">
        <v>215</v>
      </c>
      <c r="H242" s="4"/>
    </row>
    <row r="243" s="1" customFormat="1" spans="1:8">
      <c r="A243" s="4" t="s">
        <v>205</v>
      </c>
      <c r="B243" s="4" t="s">
        <v>57</v>
      </c>
      <c r="C243" s="4" t="s">
        <v>60</v>
      </c>
      <c r="D243" s="4" t="s">
        <v>689</v>
      </c>
      <c r="E243" s="4">
        <v>2909604</v>
      </c>
      <c r="F243" s="4" t="s">
        <v>690</v>
      </c>
      <c r="G243" s="4" t="s">
        <v>215</v>
      </c>
      <c r="H243" s="4"/>
    </row>
    <row r="244" s="1" customFormat="1" spans="1:8">
      <c r="A244" s="4" t="s">
        <v>205</v>
      </c>
      <c r="B244" s="4" t="s">
        <v>57</v>
      </c>
      <c r="C244" s="4" t="s">
        <v>60</v>
      </c>
      <c r="D244" s="4" t="s">
        <v>691</v>
      </c>
      <c r="E244" s="4">
        <v>2909802</v>
      </c>
      <c r="F244" s="4" t="s">
        <v>692</v>
      </c>
      <c r="G244" s="4" t="s">
        <v>215</v>
      </c>
      <c r="H244" s="4"/>
    </row>
    <row r="245" s="1" customFormat="1" spans="1:8">
      <c r="A245" s="4" t="s">
        <v>205</v>
      </c>
      <c r="B245" s="4" t="s">
        <v>57</v>
      </c>
      <c r="C245" s="4" t="s">
        <v>60</v>
      </c>
      <c r="D245" s="4" t="s">
        <v>693</v>
      </c>
      <c r="E245" s="4">
        <v>2907806</v>
      </c>
      <c r="F245" s="4" t="s">
        <v>694</v>
      </c>
      <c r="G245" s="4" t="s">
        <v>215</v>
      </c>
      <c r="H245" s="4"/>
    </row>
    <row r="246" s="1" customFormat="1" spans="1:8">
      <c r="A246" s="4" t="s">
        <v>205</v>
      </c>
      <c r="B246" s="4" t="s">
        <v>57</v>
      </c>
      <c r="C246" s="4" t="s">
        <v>60</v>
      </c>
      <c r="D246" s="4" t="s">
        <v>695</v>
      </c>
      <c r="E246" s="4">
        <v>2910206</v>
      </c>
      <c r="F246" s="4" t="s">
        <v>696</v>
      </c>
      <c r="G246" s="4" t="s">
        <v>215</v>
      </c>
      <c r="H246" s="4"/>
    </row>
    <row r="247" s="1" customFormat="1" spans="1:8">
      <c r="A247" s="4" t="s">
        <v>205</v>
      </c>
      <c r="B247" s="4" t="s">
        <v>57</v>
      </c>
      <c r="C247" s="4" t="s">
        <v>60</v>
      </c>
      <c r="D247" s="4" t="s">
        <v>697</v>
      </c>
      <c r="E247" s="4">
        <v>2910305</v>
      </c>
      <c r="F247" s="4" t="s">
        <v>698</v>
      </c>
      <c r="G247" s="4" t="s">
        <v>215</v>
      </c>
      <c r="H247" s="4"/>
    </row>
    <row r="248" s="1" customFormat="1" spans="1:8">
      <c r="A248" s="4" t="s">
        <v>205</v>
      </c>
      <c r="B248" s="4" t="s">
        <v>57</v>
      </c>
      <c r="C248" s="4" t="s">
        <v>60</v>
      </c>
      <c r="D248" s="4" t="s">
        <v>699</v>
      </c>
      <c r="E248" s="4">
        <v>2910503</v>
      </c>
      <c r="F248" s="4" t="s">
        <v>700</v>
      </c>
      <c r="G248" s="4" t="s">
        <v>215</v>
      </c>
      <c r="H248" s="4"/>
    </row>
    <row r="249" s="1" customFormat="1" spans="1:8">
      <c r="A249" s="4" t="s">
        <v>205</v>
      </c>
      <c r="B249" s="4" t="s">
        <v>57</v>
      </c>
      <c r="C249" s="4" t="s">
        <v>60</v>
      </c>
      <c r="D249" s="4" t="s">
        <v>701</v>
      </c>
      <c r="E249" s="4">
        <v>2910602</v>
      </c>
      <c r="F249" s="4" t="s">
        <v>702</v>
      </c>
      <c r="G249" s="4" t="s">
        <v>215</v>
      </c>
      <c r="H249" s="4"/>
    </row>
    <row r="250" s="1" customFormat="1" spans="1:8">
      <c r="A250" s="4" t="s">
        <v>205</v>
      </c>
      <c r="B250" s="4" t="s">
        <v>57</v>
      </c>
      <c r="C250" s="4" t="s">
        <v>60</v>
      </c>
      <c r="D250" s="4" t="s">
        <v>703</v>
      </c>
      <c r="E250" s="4">
        <v>2910800</v>
      </c>
      <c r="F250" s="4" t="s">
        <v>704</v>
      </c>
      <c r="G250" s="4" t="s">
        <v>215</v>
      </c>
      <c r="H250" s="4"/>
    </row>
    <row r="251" s="1" customFormat="1" spans="1:8">
      <c r="A251" s="4" t="s">
        <v>205</v>
      </c>
      <c r="B251" s="4" t="s">
        <v>57</v>
      </c>
      <c r="C251" s="4" t="s">
        <v>60</v>
      </c>
      <c r="D251" s="4" t="s">
        <v>705</v>
      </c>
      <c r="E251" s="4">
        <v>2911204</v>
      </c>
      <c r="F251" s="4" t="s">
        <v>706</v>
      </c>
      <c r="G251" s="4" t="s">
        <v>215</v>
      </c>
      <c r="H251" s="4"/>
    </row>
    <row r="252" s="1" customFormat="1" spans="1:8">
      <c r="A252" s="4" t="s">
        <v>205</v>
      </c>
      <c r="B252" s="4" t="s">
        <v>57</v>
      </c>
      <c r="C252" s="4" t="s">
        <v>60</v>
      </c>
      <c r="D252" s="4" t="s">
        <v>707</v>
      </c>
      <c r="E252" s="4">
        <v>2911253</v>
      </c>
      <c r="F252" s="4" t="s">
        <v>708</v>
      </c>
      <c r="G252" s="4" t="s">
        <v>215</v>
      </c>
      <c r="H252" s="4"/>
    </row>
    <row r="253" s="1" customFormat="1" spans="1:8">
      <c r="A253" s="4" t="s">
        <v>205</v>
      </c>
      <c r="B253" s="4" t="s">
        <v>57</v>
      </c>
      <c r="C253" s="4" t="s">
        <v>60</v>
      </c>
      <c r="D253" s="4" t="s">
        <v>709</v>
      </c>
      <c r="E253" s="4">
        <v>2911600</v>
      </c>
      <c r="F253" s="4" t="s">
        <v>710</v>
      </c>
      <c r="G253" s="4" t="s">
        <v>215</v>
      </c>
      <c r="H253" s="4"/>
    </row>
    <row r="254" s="1" customFormat="1" spans="1:8">
      <c r="A254" s="4" t="s">
        <v>205</v>
      </c>
      <c r="B254" s="4" t="s">
        <v>57</v>
      </c>
      <c r="C254" s="4" t="s">
        <v>60</v>
      </c>
      <c r="D254" s="4" t="s">
        <v>711</v>
      </c>
      <c r="E254" s="4">
        <v>2905701</v>
      </c>
      <c r="F254" s="4" t="s">
        <v>712</v>
      </c>
      <c r="G254" s="4" t="s">
        <v>215</v>
      </c>
      <c r="H254" s="4"/>
    </row>
    <row r="255" s="1" customFormat="1" spans="1:8">
      <c r="A255" s="4" t="s">
        <v>205</v>
      </c>
      <c r="B255" s="4" t="s">
        <v>57</v>
      </c>
      <c r="C255" s="4" t="s">
        <v>60</v>
      </c>
      <c r="D255" s="4" t="s">
        <v>713</v>
      </c>
      <c r="E255" s="4">
        <v>2911907</v>
      </c>
      <c r="F255" s="4" t="s">
        <v>714</v>
      </c>
      <c r="G255" s="4" t="s">
        <v>215</v>
      </c>
      <c r="H255" s="4"/>
    </row>
    <row r="256" s="1" customFormat="1" spans="1:8">
      <c r="A256" s="4" t="s">
        <v>205</v>
      </c>
      <c r="B256" s="4" t="s">
        <v>57</v>
      </c>
      <c r="C256" s="4" t="s">
        <v>60</v>
      </c>
      <c r="D256" s="4" t="s">
        <v>715</v>
      </c>
      <c r="E256" s="4">
        <v>2913309</v>
      </c>
      <c r="F256" s="4" t="s">
        <v>716</v>
      </c>
      <c r="G256" s="4" t="s">
        <v>215</v>
      </c>
      <c r="H256" s="4"/>
    </row>
    <row r="257" s="1" customFormat="1" spans="1:8">
      <c r="A257" s="4" t="s">
        <v>205</v>
      </c>
      <c r="B257" s="4" t="s">
        <v>57</v>
      </c>
      <c r="C257" s="4" t="s">
        <v>60</v>
      </c>
      <c r="D257" s="4" t="s">
        <v>717</v>
      </c>
      <c r="E257" s="4">
        <v>2913457</v>
      </c>
      <c r="F257" s="4" t="s">
        <v>718</v>
      </c>
      <c r="G257" s="4" t="s">
        <v>215</v>
      </c>
      <c r="H257" s="4"/>
    </row>
    <row r="258" s="1" customFormat="1" spans="1:8">
      <c r="A258" s="4" t="s">
        <v>205</v>
      </c>
      <c r="B258" s="4" t="s">
        <v>57</v>
      </c>
      <c r="C258" s="4" t="s">
        <v>60</v>
      </c>
      <c r="D258" s="4" t="s">
        <v>719</v>
      </c>
      <c r="E258" s="4">
        <v>2913705</v>
      </c>
      <c r="F258" s="4" t="s">
        <v>720</v>
      </c>
      <c r="G258" s="4" t="s">
        <v>215</v>
      </c>
      <c r="H258" s="4"/>
    </row>
    <row r="259" s="1" customFormat="1" spans="1:8">
      <c r="A259" s="4" t="s">
        <v>205</v>
      </c>
      <c r="B259" s="4" t="s">
        <v>57</v>
      </c>
      <c r="C259" s="4" t="s">
        <v>60</v>
      </c>
      <c r="D259" s="4" t="s">
        <v>721</v>
      </c>
      <c r="E259" s="4">
        <v>2913804</v>
      </c>
      <c r="F259" s="4" t="s">
        <v>722</v>
      </c>
      <c r="G259" s="4" t="s">
        <v>215</v>
      </c>
      <c r="H259" s="4"/>
    </row>
    <row r="260" s="1" customFormat="1" spans="1:8">
      <c r="A260" s="4" t="s">
        <v>205</v>
      </c>
      <c r="B260" s="4" t="s">
        <v>57</v>
      </c>
      <c r="C260" s="4" t="s">
        <v>60</v>
      </c>
      <c r="D260" s="4" t="s">
        <v>723</v>
      </c>
      <c r="E260" s="4">
        <v>2914000</v>
      </c>
      <c r="F260" s="4" t="s">
        <v>724</v>
      </c>
      <c r="G260" s="4" t="s">
        <v>215</v>
      </c>
      <c r="H260" s="4"/>
    </row>
    <row r="261" s="1" customFormat="1" spans="1:8">
      <c r="A261" s="4" t="s">
        <v>205</v>
      </c>
      <c r="B261" s="4" t="s">
        <v>57</v>
      </c>
      <c r="C261" s="4" t="s">
        <v>60</v>
      </c>
      <c r="D261" s="4" t="s">
        <v>725</v>
      </c>
      <c r="E261" s="4">
        <v>2914208</v>
      </c>
      <c r="F261" s="4" t="s">
        <v>726</v>
      </c>
      <c r="G261" s="4" t="s">
        <v>215</v>
      </c>
      <c r="H261" s="4"/>
    </row>
    <row r="262" s="1" customFormat="1" spans="1:8">
      <c r="A262" s="4" t="s">
        <v>205</v>
      </c>
      <c r="B262" s="4" t="s">
        <v>57</v>
      </c>
      <c r="C262" s="4" t="s">
        <v>60</v>
      </c>
      <c r="D262" s="4" t="s">
        <v>727</v>
      </c>
      <c r="E262" s="4">
        <v>2914505</v>
      </c>
      <c r="F262" s="4" t="s">
        <v>728</v>
      </c>
      <c r="G262" s="4" t="s">
        <v>215</v>
      </c>
      <c r="H262" s="4"/>
    </row>
    <row r="263" s="1" customFormat="1" spans="1:8">
      <c r="A263" s="4" t="s">
        <v>205</v>
      </c>
      <c r="B263" s="4" t="s">
        <v>57</v>
      </c>
      <c r="C263" s="4" t="s">
        <v>60</v>
      </c>
      <c r="D263" s="4" t="s">
        <v>729</v>
      </c>
      <c r="E263" s="4">
        <v>2914703</v>
      </c>
      <c r="F263" s="4" t="s">
        <v>730</v>
      </c>
      <c r="G263" s="4" t="s">
        <v>215</v>
      </c>
      <c r="H263" s="4"/>
    </row>
    <row r="264" s="1" customFormat="1" spans="1:8">
      <c r="A264" s="4" t="s">
        <v>205</v>
      </c>
      <c r="B264" s="4" t="s">
        <v>57</v>
      </c>
      <c r="C264" s="4" t="s">
        <v>60</v>
      </c>
      <c r="D264" s="4" t="s">
        <v>731</v>
      </c>
      <c r="E264" s="4">
        <v>2914901</v>
      </c>
      <c r="F264" s="4" t="s">
        <v>732</v>
      </c>
      <c r="G264" s="4" t="s">
        <v>215</v>
      </c>
      <c r="H264" s="4"/>
    </row>
    <row r="265" s="1" customFormat="1" spans="1:8">
      <c r="A265" s="4" t="s">
        <v>205</v>
      </c>
      <c r="B265" s="4" t="s">
        <v>57</v>
      </c>
      <c r="C265" s="4" t="s">
        <v>60</v>
      </c>
      <c r="D265" s="4" t="s">
        <v>733</v>
      </c>
      <c r="E265" s="4">
        <v>2915908</v>
      </c>
      <c r="F265" s="4" t="s">
        <v>734</v>
      </c>
      <c r="G265" s="4" t="s">
        <v>215</v>
      </c>
      <c r="H265" s="4"/>
    </row>
    <row r="266" s="1" customFormat="1" spans="1:8">
      <c r="A266" s="4" t="s">
        <v>205</v>
      </c>
      <c r="B266" s="4" t="s">
        <v>57</v>
      </c>
      <c r="C266" s="4" t="s">
        <v>60</v>
      </c>
      <c r="D266" s="4" t="s">
        <v>735</v>
      </c>
      <c r="E266" s="4">
        <v>2916104</v>
      </c>
      <c r="F266" s="4" t="s">
        <v>736</v>
      </c>
      <c r="G266" s="4" t="s">
        <v>215</v>
      </c>
      <c r="H266" s="4"/>
    </row>
    <row r="267" s="1" customFormat="1" spans="1:8">
      <c r="A267" s="4" t="s">
        <v>205</v>
      </c>
      <c r="B267" s="4" t="s">
        <v>57</v>
      </c>
      <c r="C267" s="4" t="s">
        <v>60</v>
      </c>
      <c r="D267" s="4" t="s">
        <v>737</v>
      </c>
      <c r="E267" s="4">
        <v>2916500</v>
      </c>
      <c r="F267" s="4" t="s">
        <v>738</v>
      </c>
      <c r="G267" s="4" t="s">
        <v>215</v>
      </c>
      <c r="H267" s="4"/>
    </row>
    <row r="268" s="1" customFormat="1" spans="1:8">
      <c r="A268" s="4" t="s">
        <v>205</v>
      </c>
      <c r="B268" s="4" t="s">
        <v>57</v>
      </c>
      <c r="C268" s="4" t="s">
        <v>60</v>
      </c>
      <c r="D268" s="4" t="s">
        <v>739</v>
      </c>
      <c r="E268" s="4">
        <v>2916856</v>
      </c>
      <c r="F268" s="4" t="s">
        <v>740</v>
      </c>
      <c r="G268" s="4" t="s">
        <v>215</v>
      </c>
      <c r="H268" s="4"/>
    </row>
    <row r="269" s="1" customFormat="1" spans="1:8">
      <c r="A269" s="4" t="s">
        <v>205</v>
      </c>
      <c r="B269" s="4" t="s">
        <v>57</v>
      </c>
      <c r="C269" s="4" t="s">
        <v>60</v>
      </c>
      <c r="D269" s="4" t="s">
        <v>741</v>
      </c>
      <c r="E269" s="4">
        <v>2917300</v>
      </c>
      <c r="F269" s="4" t="s">
        <v>742</v>
      </c>
      <c r="G269" s="4" t="s">
        <v>215</v>
      </c>
      <c r="H269" s="4"/>
    </row>
    <row r="270" s="1" customFormat="1" spans="1:8">
      <c r="A270" s="4" t="s">
        <v>205</v>
      </c>
      <c r="B270" s="4" t="s">
        <v>57</v>
      </c>
      <c r="C270" s="4" t="s">
        <v>60</v>
      </c>
      <c r="D270" s="4" t="s">
        <v>743</v>
      </c>
      <c r="E270" s="4">
        <v>2917805</v>
      </c>
      <c r="F270" s="4" t="s">
        <v>744</v>
      </c>
      <c r="G270" s="4" t="s">
        <v>215</v>
      </c>
      <c r="H270" s="4"/>
    </row>
    <row r="271" s="1" customFormat="1" spans="1:8">
      <c r="A271" s="4" t="s">
        <v>205</v>
      </c>
      <c r="B271" s="4" t="s">
        <v>57</v>
      </c>
      <c r="C271" s="4" t="s">
        <v>60</v>
      </c>
      <c r="D271" s="4" t="s">
        <v>745</v>
      </c>
      <c r="E271" s="4">
        <v>2917904</v>
      </c>
      <c r="F271" s="4" t="s">
        <v>746</v>
      </c>
      <c r="G271" s="4" t="s">
        <v>215</v>
      </c>
      <c r="H271" s="4"/>
    </row>
    <row r="272" s="1" customFormat="1" spans="1:8">
      <c r="A272" s="4" t="s">
        <v>205</v>
      </c>
      <c r="B272" s="4" t="s">
        <v>57</v>
      </c>
      <c r="C272" s="4" t="s">
        <v>60</v>
      </c>
      <c r="D272" s="8" t="s">
        <v>747</v>
      </c>
      <c r="E272" s="4">
        <v>2918209</v>
      </c>
      <c r="F272" s="4" t="s">
        <v>748</v>
      </c>
      <c r="G272" s="4" t="s">
        <v>215</v>
      </c>
      <c r="H272" s="4"/>
    </row>
    <row r="273" s="1" customFormat="1" spans="1:8">
      <c r="A273" s="4" t="s">
        <v>205</v>
      </c>
      <c r="B273" s="4" t="s">
        <v>57</v>
      </c>
      <c r="C273" s="4" t="s">
        <v>60</v>
      </c>
      <c r="D273" s="4" t="s">
        <v>749</v>
      </c>
      <c r="E273" s="4">
        <v>2918803</v>
      </c>
      <c r="F273" s="4" t="s">
        <v>750</v>
      </c>
      <c r="G273" s="4" t="s">
        <v>215</v>
      </c>
      <c r="H273" s="4"/>
    </row>
    <row r="274" s="1" customFormat="1" spans="1:8">
      <c r="A274" s="4" t="s">
        <v>205</v>
      </c>
      <c r="B274" s="4" t="s">
        <v>57</v>
      </c>
      <c r="C274" s="4" t="s">
        <v>60</v>
      </c>
      <c r="D274" s="4" t="s">
        <v>751</v>
      </c>
      <c r="E274" s="4">
        <v>2919108</v>
      </c>
      <c r="F274" s="4" t="s">
        <v>752</v>
      </c>
      <c r="G274" s="4" t="s">
        <v>215</v>
      </c>
      <c r="H274" s="4"/>
    </row>
    <row r="275" s="1" customFormat="1" spans="1:8">
      <c r="A275" s="4" t="s">
        <v>205</v>
      </c>
      <c r="B275" s="4" t="s">
        <v>57</v>
      </c>
      <c r="C275" s="4" t="s">
        <v>60</v>
      </c>
      <c r="D275" s="4" t="s">
        <v>753</v>
      </c>
      <c r="E275" s="4">
        <v>2919603</v>
      </c>
      <c r="F275" s="4" t="s">
        <v>754</v>
      </c>
      <c r="G275" s="4" t="s">
        <v>215</v>
      </c>
      <c r="H275" s="4"/>
    </row>
    <row r="276" s="1" customFormat="1" spans="1:8">
      <c r="A276" s="4" t="s">
        <v>205</v>
      </c>
      <c r="B276" s="4" t="s">
        <v>57</v>
      </c>
      <c r="C276" s="4" t="s">
        <v>60</v>
      </c>
      <c r="D276" s="4" t="s">
        <v>755</v>
      </c>
      <c r="E276" s="4">
        <v>2919926</v>
      </c>
      <c r="F276" s="4" t="s">
        <v>756</v>
      </c>
      <c r="G276" s="4" t="s">
        <v>215</v>
      </c>
      <c r="H276" s="4"/>
    </row>
    <row r="277" s="1" customFormat="1" spans="1:8">
      <c r="A277" s="4" t="s">
        <v>205</v>
      </c>
      <c r="B277" s="4" t="s">
        <v>57</v>
      </c>
      <c r="C277" s="4" t="s">
        <v>60</v>
      </c>
      <c r="D277" s="4" t="s">
        <v>757</v>
      </c>
      <c r="E277" s="4">
        <v>2920106</v>
      </c>
      <c r="F277" s="4" t="s">
        <v>758</v>
      </c>
      <c r="G277" s="4" t="s">
        <v>215</v>
      </c>
      <c r="H277" s="4"/>
    </row>
    <row r="278" s="1" customFormat="1" spans="1:8">
      <c r="A278" s="4" t="s">
        <v>205</v>
      </c>
      <c r="B278" s="4" t="s">
        <v>57</v>
      </c>
      <c r="C278" s="4" t="s">
        <v>60</v>
      </c>
      <c r="D278" s="4" t="s">
        <v>759</v>
      </c>
      <c r="E278" s="4">
        <v>2920601</v>
      </c>
      <c r="F278" s="4" t="s">
        <v>760</v>
      </c>
      <c r="G278" s="4" t="s">
        <v>215</v>
      </c>
      <c r="H278" s="4"/>
    </row>
    <row r="279" s="1" customFormat="1" spans="1:8">
      <c r="A279" s="4" t="s">
        <v>205</v>
      </c>
      <c r="B279" s="4" t="s">
        <v>57</v>
      </c>
      <c r="C279" s="4" t="s">
        <v>60</v>
      </c>
      <c r="D279" s="4" t="s">
        <v>761</v>
      </c>
      <c r="E279" s="4">
        <v>2920700</v>
      </c>
      <c r="F279" s="4" t="s">
        <v>762</v>
      </c>
      <c r="G279" s="4" t="s">
        <v>215</v>
      </c>
      <c r="H279" s="4"/>
    </row>
    <row r="280" s="1" customFormat="1" spans="1:8">
      <c r="A280" s="4" t="s">
        <v>205</v>
      </c>
      <c r="B280" s="4" t="s">
        <v>57</v>
      </c>
      <c r="C280" s="4" t="s">
        <v>60</v>
      </c>
      <c r="D280" s="4" t="s">
        <v>763</v>
      </c>
      <c r="E280" s="4">
        <v>2921005</v>
      </c>
      <c r="F280" s="4" t="s">
        <v>764</v>
      </c>
      <c r="G280" s="4" t="s">
        <v>215</v>
      </c>
      <c r="H280" s="4"/>
    </row>
    <row r="281" s="1" customFormat="1" spans="1:8">
      <c r="A281" s="4" t="s">
        <v>205</v>
      </c>
      <c r="B281" s="4" t="s">
        <v>57</v>
      </c>
      <c r="C281" s="4" t="s">
        <v>60</v>
      </c>
      <c r="D281" s="4" t="s">
        <v>765</v>
      </c>
      <c r="E281" s="4">
        <v>2921302</v>
      </c>
      <c r="F281" s="4" t="s">
        <v>766</v>
      </c>
      <c r="G281" s="4" t="s">
        <v>215</v>
      </c>
      <c r="H281" s="4"/>
    </row>
    <row r="282" s="1" customFormat="1" spans="1:8">
      <c r="A282" s="4" t="s">
        <v>205</v>
      </c>
      <c r="B282" s="4" t="s">
        <v>57</v>
      </c>
      <c r="C282" s="4" t="s">
        <v>60</v>
      </c>
      <c r="D282" s="4" t="s">
        <v>767</v>
      </c>
      <c r="E282" s="4">
        <v>2922102</v>
      </c>
      <c r="F282" s="4" t="s">
        <v>768</v>
      </c>
      <c r="G282" s="4" t="s">
        <v>215</v>
      </c>
      <c r="H282" s="4"/>
    </row>
    <row r="283" s="1" customFormat="1" spans="1:8">
      <c r="A283" s="4" t="s">
        <v>205</v>
      </c>
      <c r="B283" s="4" t="s">
        <v>57</v>
      </c>
      <c r="C283" s="4" t="s">
        <v>60</v>
      </c>
      <c r="D283" s="4" t="s">
        <v>769</v>
      </c>
      <c r="E283" s="4">
        <v>2922201</v>
      </c>
      <c r="F283" s="4" t="s">
        <v>770</v>
      </c>
      <c r="G283" s="4" t="s">
        <v>215</v>
      </c>
      <c r="H283" s="4"/>
    </row>
    <row r="284" s="1" customFormat="1" spans="1:8">
      <c r="A284" s="4" t="s">
        <v>205</v>
      </c>
      <c r="B284" s="4" t="s">
        <v>57</v>
      </c>
      <c r="C284" s="4" t="s">
        <v>60</v>
      </c>
      <c r="D284" s="4" t="s">
        <v>771</v>
      </c>
      <c r="E284" s="4">
        <v>2922300</v>
      </c>
      <c r="F284" s="4" t="s">
        <v>772</v>
      </c>
      <c r="G284" s="4" t="s">
        <v>215</v>
      </c>
      <c r="H284" s="4"/>
    </row>
    <row r="285" s="1" customFormat="1" spans="1:8">
      <c r="A285" s="4" t="s">
        <v>205</v>
      </c>
      <c r="B285" s="4" t="s">
        <v>57</v>
      </c>
      <c r="C285" s="4" t="s">
        <v>60</v>
      </c>
      <c r="D285" s="4" t="s">
        <v>773</v>
      </c>
      <c r="E285" s="4">
        <v>2922409</v>
      </c>
      <c r="F285" s="4" t="s">
        <v>774</v>
      </c>
      <c r="G285" s="4" t="s">
        <v>215</v>
      </c>
      <c r="H285" s="4"/>
    </row>
    <row r="286" s="1" customFormat="1" spans="1:8">
      <c r="A286" s="4" t="s">
        <v>205</v>
      </c>
      <c r="B286" s="4" t="s">
        <v>57</v>
      </c>
      <c r="C286" s="4" t="s">
        <v>60</v>
      </c>
      <c r="D286" s="4" t="s">
        <v>775</v>
      </c>
      <c r="E286" s="4">
        <v>2922508</v>
      </c>
      <c r="F286" s="4" t="s">
        <v>776</v>
      </c>
      <c r="G286" s="4" t="s">
        <v>215</v>
      </c>
      <c r="H286" s="4"/>
    </row>
    <row r="287" s="1" customFormat="1" spans="1:8">
      <c r="A287" s="4" t="s">
        <v>205</v>
      </c>
      <c r="B287" s="4" t="s">
        <v>57</v>
      </c>
      <c r="C287" s="4" t="s">
        <v>60</v>
      </c>
      <c r="D287" s="4" t="s">
        <v>777</v>
      </c>
      <c r="E287" s="4">
        <v>2922607</v>
      </c>
      <c r="F287" s="4" t="s">
        <v>778</v>
      </c>
      <c r="G287" s="4" t="s">
        <v>215</v>
      </c>
      <c r="H287" s="4"/>
    </row>
    <row r="288" s="1" customFormat="1" spans="1:8">
      <c r="A288" s="4" t="s">
        <v>205</v>
      </c>
      <c r="B288" s="4" t="s">
        <v>57</v>
      </c>
      <c r="C288" s="4" t="s">
        <v>60</v>
      </c>
      <c r="D288" s="4" t="s">
        <v>779</v>
      </c>
      <c r="E288" s="4">
        <v>2922730</v>
      </c>
      <c r="F288" s="4" t="s">
        <v>780</v>
      </c>
      <c r="G288" s="4" t="s">
        <v>215</v>
      </c>
      <c r="H288" s="4"/>
    </row>
    <row r="289" s="1" customFormat="1" spans="1:8">
      <c r="A289" s="4" t="s">
        <v>205</v>
      </c>
      <c r="B289" s="4" t="s">
        <v>57</v>
      </c>
      <c r="C289" s="4" t="s">
        <v>60</v>
      </c>
      <c r="D289" s="4" t="s">
        <v>781</v>
      </c>
      <c r="E289" s="4">
        <v>2922755</v>
      </c>
      <c r="F289" s="4" t="s">
        <v>782</v>
      </c>
      <c r="G289" s="4" t="s">
        <v>215</v>
      </c>
      <c r="H289" s="4"/>
    </row>
    <row r="290" s="1" customFormat="1" spans="1:8">
      <c r="A290" s="4" t="s">
        <v>205</v>
      </c>
      <c r="B290" s="4" t="s">
        <v>57</v>
      </c>
      <c r="C290" s="4" t="s">
        <v>60</v>
      </c>
      <c r="D290" s="4" t="s">
        <v>783</v>
      </c>
      <c r="E290" s="4">
        <v>2922805</v>
      </c>
      <c r="F290" s="4" t="s">
        <v>784</v>
      </c>
      <c r="G290" s="4" t="s">
        <v>215</v>
      </c>
      <c r="H290" s="4"/>
    </row>
    <row r="291" s="1" customFormat="1" spans="1:8">
      <c r="A291" s="4" t="s">
        <v>205</v>
      </c>
      <c r="B291" s="4" t="s">
        <v>57</v>
      </c>
      <c r="C291" s="4" t="s">
        <v>60</v>
      </c>
      <c r="D291" s="4" t="s">
        <v>785</v>
      </c>
      <c r="E291" s="4">
        <v>2922904</v>
      </c>
      <c r="F291" s="4" t="s">
        <v>786</v>
      </c>
      <c r="G291" s="4" t="s">
        <v>215</v>
      </c>
      <c r="H291" s="4"/>
    </row>
    <row r="292" s="1" customFormat="1" spans="1:8">
      <c r="A292" s="4" t="s">
        <v>205</v>
      </c>
      <c r="B292" s="4" t="s">
        <v>57</v>
      </c>
      <c r="C292" s="4" t="s">
        <v>60</v>
      </c>
      <c r="D292" s="4" t="s">
        <v>787</v>
      </c>
      <c r="E292" s="4">
        <v>2923100</v>
      </c>
      <c r="F292" s="4" t="s">
        <v>788</v>
      </c>
      <c r="G292" s="4" t="s">
        <v>215</v>
      </c>
      <c r="H292" s="4"/>
    </row>
    <row r="293" s="1" customFormat="1" spans="1:8">
      <c r="A293" s="4" t="s">
        <v>205</v>
      </c>
      <c r="B293" s="4" t="s">
        <v>57</v>
      </c>
      <c r="C293" s="4" t="s">
        <v>60</v>
      </c>
      <c r="D293" s="4" t="s">
        <v>789</v>
      </c>
      <c r="E293" s="4">
        <v>2923308</v>
      </c>
      <c r="F293" s="4" t="s">
        <v>790</v>
      </c>
      <c r="G293" s="4" t="s">
        <v>215</v>
      </c>
      <c r="H293" s="4"/>
    </row>
    <row r="294" s="1" customFormat="1" spans="1:8">
      <c r="A294" s="4" t="s">
        <v>205</v>
      </c>
      <c r="B294" s="4" t="s">
        <v>57</v>
      </c>
      <c r="C294" s="4" t="s">
        <v>60</v>
      </c>
      <c r="D294" s="4" t="s">
        <v>791</v>
      </c>
      <c r="E294" s="4">
        <v>2924108</v>
      </c>
      <c r="F294" s="4" t="s">
        <v>792</v>
      </c>
      <c r="G294" s="4" t="s">
        <v>215</v>
      </c>
      <c r="H294" s="4"/>
    </row>
    <row r="295" s="1" customFormat="1" spans="1:8">
      <c r="A295" s="4" t="s">
        <v>205</v>
      </c>
      <c r="B295" s="4" t="s">
        <v>57</v>
      </c>
      <c r="C295" s="4" t="s">
        <v>60</v>
      </c>
      <c r="D295" s="4" t="s">
        <v>793</v>
      </c>
      <c r="E295" s="4">
        <v>2924652</v>
      </c>
      <c r="F295" s="4" t="s">
        <v>794</v>
      </c>
      <c r="G295" s="4" t="s">
        <v>215</v>
      </c>
      <c r="H295" s="4"/>
    </row>
    <row r="296" s="1" customFormat="1" spans="1:8">
      <c r="A296" s="4" t="s">
        <v>205</v>
      </c>
      <c r="B296" s="4" t="s">
        <v>57</v>
      </c>
      <c r="C296" s="4" t="s">
        <v>60</v>
      </c>
      <c r="D296" s="4" t="s">
        <v>795</v>
      </c>
      <c r="E296" s="4">
        <v>2924678</v>
      </c>
      <c r="F296" s="4" t="s">
        <v>796</v>
      </c>
      <c r="G296" s="4" t="s">
        <v>215</v>
      </c>
      <c r="H296" s="4"/>
    </row>
    <row r="297" s="1" customFormat="1" spans="1:8">
      <c r="A297" s="4" t="s">
        <v>205</v>
      </c>
      <c r="B297" s="4" t="s">
        <v>57</v>
      </c>
      <c r="C297" s="4" t="s">
        <v>60</v>
      </c>
      <c r="D297" s="4" t="s">
        <v>797</v>
      </c>
      <c r="E297" s="4">
        <v>2924900</v>
      </c>
      <c r="F297" s="4" t="s">
        <v>798</v>
      </c>
      <c r="G297" s="4" t="s">
        <v>215</v>
      </c>
      <c r="H297" s="4"/>
    </row>
    <row r="298" s="1" customFormat="1" spans="1:8">
      <c r="A298" s="4" t="s">
        <v>205</v>
      </c>
      <c r="B298" s="4" t="s">
        <v>57</v>
      </c>
      <c r="C298" s="4" t="s">
        <v>60</v>
      </c>
      <c r="D298" s="4" t="s">
        <v>799</v>
      </c>
      <c r="E298" s="4">
        <v>2925204</v>
      </c>
      <c r="F298" s="4" t="s">
        <v>800</v>
      </c>
      <c r="G298" s="4" t="s">
        <v>215</v>
      </c>
      <c r="H298" s="4"/>
    </row>
    <row r="299" s="1" customFormat="1" spans="1:8">
      <c r="A299" s="4" t="s">
        <v>205</v>
      </c>
      <c r="B299" s="4" t="s">
        <v>57</v>
      </c>
      <c r="C299" s="4" t="s">
        <v>60</v>
      </c>
      <c r="D299" s="4" t="s">
        <v>801</v>
      </c>
      <c r="E299" s="4">
        <v>2925758</v>
      </c>
      <c r="F299" s="4" t="s">
        <v>802</v>
      </c>
      <c r="G299" s="4" t="s">
        <v>215</v>
      </c>
      <c r="H299" s="4"/>
    </row>
    <row r="300" s="1" customFormat="1" spans="1:8">
      <c r="A300" s="4" t="s">
        <v>205</v>
      </c>
      <c r="B300" s="4" t="s">
        <v>57</v>
      </c>
      <c r="C300" s="4" t="s">
        <v>60</v>
      </c>
      <c r="D300" s="4" t="s">
        <v>803</v>
      </c>
      <c r="E300" s="4">
        <v>2924058</v>
      </c>
      <c r="F300" s="4" t="s">
        <v>804</v>
      </c>
      <c r="G300" s="4" t="s">
        <v>215</v>
      </c>
      <c r="H300" s="4"/>
    </row>
    <row r="301" s="1" customFormat="1" spans="1:8">
      <c r="A301" s="4" t="s">
        <v>205</v>
      </c>
      <c r="B301" s="4" t="s">
        <v>57</v>
      </c>
      <c r="C301" s="4" t="s">
        <v>60</v>
      </c>
      <c r="D301" s="4" t="s">
        <v>805</v>
      </c>
      <c r="E301" s="4">
        <v>2925808</v>
      </c>
      <c r="F301" s="4" t="s">
        <v>806</v>
      </c>
      <c r="G301" s="4" t="s">
        <v>215</v>
      </c>
      <c r="H301" s="4"/>
    </row>
    <row r="302" s="1" customFormat="1" spans="1:8">
      <c r="A302" s="4" t="s">
        <v>205</v>
      </c>
      <c r="B302" s="4" t="s">
        <v>57</v>
      </c>
      <c r="C302" s="4" t="s">
        <v>60</v>
      </c>
      <c r="D302" s="4" t="s">
        <v>807</v>
      </c>
      <c r="E302" s="4">
        <v>2925931</v>
      </c>
      <c r="F302" s="4" t="s">
        <v>808</v>
      </c>
      <c r="G302" s="4" t="s">
        <v>215</v>
      </c>
      <c r="H302" s="4"/>
    </row>
    <row r="303" s="1" customFormat="1" spans="1:8">
      <c r="A303" s="4" t="s">
        <v>205</v>
      </c>
      <c r="B303" s="4" t="s">
        <v>57</v>
      </c>
      <c r="C303" s="4" t="s">
        <v>60</v>
      </c>
      <c r="D303" s="4" t="s">
        <v>809</v>
      </c>
      <c r="E303" s="4">
        <v>2925956</v>
      </c>
      <c r="F303" s="4" t="s">
        <v>810</v>
      </c>
      <c r="G303" s="4" t="s">
        <v>215</v>
      </c>
      <c r="H303" s="4"/>
    </row>
    <row r="304" s="1" customFormat="1" spans="1:8">
      <c r="A304" s="4" t="s">
        <v>205</v>
      </c>
      <c r="B304" s="4" t="s">
        <v>57</v>
      </c>
      <c r="C304" s="4" t="s">
        <v>60</v>
      </c>
      <c r="D304" s="4" t="s">
        <v>811</v>
      </c>
      <c r="E304" s="4">
        <v>2926103</v>
      </c>
      <c r="F304" s="4" t="s">
        <v>812</v>
      </c>
      <c r="G304" s="4" t="s">
        <v>215</v>
      </c>
      <c r="H304" s="4"/>
    </row>
    <row r="305" s="1" customFormat="1" spans="1:8">
      <c r="A305" s="4" t="s">
        <v>205</v>
      </c>
      <c r="B305" s="4" t="s">
        <v>57</v>
      </c>
      <c r="C305" s="4" t="s">
        <v>60</v>
      </c>
      <c r="D305" s="4" t="s">
        <v>813</v>
      </c>
      <c r="E305" s="4">
        <v>2926301</v>
      </c>
      <c r="F305" s="4" t="s">
        <v>814</v>
      </c>
      <c r="G305" s="4" t="s">
        <v>215</v>
      </c>
      <c r="H305" s="4"/>
    </row>
    <row r="306" s="1" customFormat="1" spans="1:8">
      <c r="A306" s="4" t="s">
        <v>205</v>
      </c>
      <c r="B306" s="4" t="s">
        <v>57</v>
      </c>
      <c r="C306" s="4" t="s">
        <v>60</v>
      </c>
      <c r="D306" s="4" t="s">
        <v>815</v>
      </c>
      <c r="E306" s="4">
        <v>2926509</v>
      </c>
      <c r="F306" s="4" t="s">
        <v>816</v>
      </c>
      <c r="G306" s="4" t="s">
        <v>215</v>
      </c>
      <c r="H306" s="4"/>
    </row>
    <row r="307" s="1" customFormat="1" spans="1:8">
      <c r="A307" s="4" t="s">
        <v>205</v>
      </c>
      <c r="B307" s="4" t="s">
        <v>57</v>
      </c>
      <c r="C307" s="4" t="s">
        <v>60</v>
      </c>
      <c r="D307" s="4" t="s">
        <v>817</v>
      </c>
      <c r="E307" s="4">
        <v>2926608</v>
      </c>
      <c r="F307" s="4" t="s">
        <v>818</v>
      </c>
      <c r="G307" s="4" t="s">
        <v>215</v>
      </c>
      <c r="H307" s="4"/>
    </row>
    <row r="308" s="1" customFormat="1" spans="1:8">
      <c r="A308" s="4" t="s">
        <v>205</v>
      </c>
      <c r="B308" s="4" t="s">
        <v>57</v>
      </c>
      <c r="C308" s="4" t="s">
        <v>60</v>
      </c>
      <c r="D308" s="4" t="s">
        <v>819</v>
      </c>
      <c r="E308" s="4">
        <v>2927002</v>
      </c>
      <c r="F308" s="4" t="s">
        <v>820</v>
      </c>
      <c r="G308" s="4" t="s">
        <v>215</v>
      </c>
      <c r="H308" s="4"/>
    </row>
    <row r="309" s="1" customFormat="1" spans="1:8">
      <c r="A309" s="4" t="s">
        <v>205</v>
      </c>
      <c r="B309" s="4" t="s">
        <v>57</v>
      </c>
      <c r="C309" s="4" t="s">
        <v>60</v>
      </c>
      <c r="D309" s="4" t="s">
        <v>821</v>
      </c>
      <c r="E309" s="4">
        <v>2927309</v>
      </c>
      <c r="F309" s="4" t="s">
        <v>822</v>
      </c>
      <c r="G309" s="4" t="s">
        <v>215</v>
      </c>
      <c r="H309" s="4"/>
    </row>
    <row r="310" s="1" customFormat="1" spans="1:8">
      <c r="A310" s="4" t="s">
        <v>205</v>
      </c>
      <c r="B310" s="4" t="s">
        <v>57</v>
      </c>
      <c r="C310" s="4" t="s">
        <v>60</v>
      </c>
      <c r="D310" s="4" t="s">
        <v>823</v>
      </c>
      <c r="E310" s="4">
        <v>2927507</v>
      </c>
      <c r="F310" s="4" t="s">
        <v>824</v>
      </c>
      <c r="G310" s="4" t="s">
        <v>215</v>
      </c>
      <c r="H310" s="4"/>
    </row>
    <row r="311" s="1" customFormat="1" spans="1:8">
      <c r="A311" s="4" t="s">
        <v>205</v>
      </c>
      <c r="B311" s="4" t="s">
        <v>57</v>
      </c>
      <c r="C311" s="4" t="s">
        <v>60</v>
      </c>
      <c r="D311" s="4" t="s">
        <v>825</v>
      </c>
      <c r="E311" s="4">
        <v>2927903</v>
      </c>
      <c r="F311" s="4" t="s">
        <v>826</v>
      </c>
      <c r="G311" s="4" t="s">
        <v>215</v>
      </c>
      <c r="H311" s="4"/>
    </row>
    <row r="312" s="1" customFormat="1" spans="1:8">
      <c r="A312" s="4" t="s">
        <v>205</v>
      </c>
      <c r="B312" s="4" t="s">
        <v>57</v>
      </c>
      <c r="C312" s="4" t="s">
        <v>60</v>
      </c>
      <c r="D312" s="4" t="s">
        <v>827</v>
      </c>
      <c r="E312" s="4">
        <v>2928505</v>
      </c>
      <c r="F312" s="4" t="s">
        <v>828</v>
      </c>
      <c r="G312" s="4" t="s">
        <v>215</v>
      </c>
      <c r="H312" s="4"/>
    </row>
    <row r="313" s="1" customFormat="1" spans="1:8">
      <c r="A313" s="4" t="s">
        <v>205</v>
      </c>
      <c r="B313" s="4" t="s">
        <v>57</v>
      </c>
      <c r="C313" s="4" t="s">
        <v>60</v>
      </c>
      <c r="D313" s="4" t="s">
        <v>829</v>
      </c>
      <c r="E313" s="4">
        <v>2928000</v>
      </c>
      <c r="F313" s="4" t="s">
        <v>830</v>
      </c>
      <c r="G313" s="4" t="s">
        <v>215</v>
      </c>
      <c r="H313" s="4"/>
    </row>
    <row r="314" s="1" customFormat="1" spans="1:8">
      <c r="A314" s="4" t="s">
        <v>205</v>
      </c>
      <c r="B314" s="4" t="s">
        <v>57</v>
      </c>
      <c r="C314" s="4" t="s">
        <v>60</v>
      </c>
      <c r="D314" s="4" t="s">
        <v>831</v>
      </c>
      <c r="E314" s="4">
        <v>2928307</v>
      </c>
      <c r="F314" s="4" t="s">
        <v>832</v>
      </c>
      <c r="G314" s="4" t="s">
        <v>215</v>
      </c>
      <c r="H314" s="4"/>
    </row>
    <row r="315" s="1" customFormat="1" spans="1:8">
      <c r="A315" s="4" t="s">
        <v>205</v>
      </c>
      <c r="B315" s="4" t="s">
        <v>57</v>
      </c>
      <c r="C315" s="4" t="s">
        <v>60</v>
      </c>
      <c r="D315" s="4" t="s">
        <v>833</v>
      </c>
      <c r="E315" s="4">
        <v>2928604</v>
      </c>
      <c r="F315" s="4" t="s">
        <v>834</v>
      </c>
      <c r="G315" s="4" t="s">
        <v>215</v>
      </c>
      <c r="H315" s="4"/>
    </row>
    <row r="316" s="1" customFormat="1" spans="1:8">
      <c r="A316" s="4" t="s">
        <v>205</v>
      </c>
      <c r="B316" s="4" t="s">
        <v>57</v>
      </c>
      <c r="C316" s="4" t="s">
        <v>60</v>
      </c>
      <c r="D316" s="4" t="s">
        <v>835</v>
      </c>
      <c r="E316" s="4">
        <v>2928703</v>
      </c>
      <c r="F316" s="4" t="s">
        <v>836</v>
      </c>
      <c r="G316" s="4" t="s">
        <v>215</v>
      </c>
      <c r="H316" s="4"/>
    </row>
    <row r="317" s="1" customFormat="1" spans="1:8">
      <c r="A317" s="4" t="s">
        <v>205</v>
      </c>
      <c r="B317" s="4" t="s">
        <v>57</v>
      </c>
      <c r="C317" s="4" t="s">
        <v>60</v>
      </c>
      <c r="D317" s="8" t="s">
        <v>837</v>
      </c>
      <c r="E317" s="4">
        <v>2928802</v>
      </c>
      <c r="F317" s="4" t="s">
        <v>838</v>
      </c>
      <c r="G317" s="4" t="s">
        <v>215</v>
      </c>
      <c r="H317" s="4"/>
    </row>
    <row r="318" s="1" customFormat="1" spans="1:8">
      <c r="A318" s="4" t="s">
        <v>205</v>
      </c>
      <c r="B318" s="4" t="s">
        <v>57</v>
      </c>
      <c r="C318" s="4" t="s">
        <v>60</v>
      </c>
      <c r="D318" s="4" t="s">
        <v>839</v>
      </c>
      <c r="E318" s="4">
        <v>2929602</v>
      </c>
      <c r="F318" s="4" t="s">
        <v>840</v>
      </c>
      <c r="G318" s="4" t="s">
        <v>215</v>
      </c>
      <c r="H318" s="4"/>
    </row>
    <row r="319" s="1" customFormat="1" spans="1:8">
      <c r="A319" s="4" t="s">
        <v>205</v>
      </c>
      <c r="B319" s="4" t="s">
        <v>57</v>
      </c>
      <c r="C319" s="4" t="s">
        <v>60</v>
      </c>
      <c r="D319" s="4" t="s">
        <v>841</v>
      </c>
      <c r="E319" s="4">
        <v>2929750</v>
      </c>
      <c r="F319" s="4" t="s">
        <v>842</v>
      </c>
      <c r="G319" s="4" t="s">
        <v>215</v>
      </c>
      <c r="H319" s="4"/>
    </row>
    <row r="320" s="1" customFormat="1" spans="1:8">
      <c r="A320" s="4" t="s">
        <v>205</v>
      </c>
      <c r="B320" s="4" t="s">
        <v>57</v>
      </c>
      <c r="C320" s="4" t="s">
        <v>60</v>
      </c>
      <c r="D320" s="4" t="s">
        <v>843</v>
      </c>
      <c r="E320" s="4">
        <v>2930402</v>
      </c>
      <c r="F320" s="4" t="s">
        <v>844</v>
      </c>
      <c r="G320" s="4" t="s">
        <v>215</v>
      </c>
      <c r="H320" s="4"/>
    </row>
    <row r="321" s="1" customFormat="1" spans="1:8">
      <c r="A321" s="4" t="s">
        <v>205</v>
      </c>
      <c r="B321" s="4" t="s">
        <v>57</v>
      </c>
      <c r="C321" s="4" t="s">
        <v>60</v>
      </c>
      <c r="D321" s="4" t="s">
        <v>845</v>
      </c>
      <c r="E321" s="4">
        <v>2930501</v>
      </c>
      <c r="F321" s="4" t="s">
        <v>846</v>
      </c>
      <c r="G321" s="4" t="s">
        <v>215</v>
      </c>
      <c r="H321" s="4"/>
    </row>
    <row r="322" s="1" customFormat="1" spans="1:8">
      <c r="A322" s="4" t="s">
        <v>205</v>
      </c>
      <c r="B322" s="4" t="s">
        <v>57</v>
      </c>
      <c r="C322" s="4" t="s">
        <v>60</v>
      </c>
      <c r="D322" s="4" t="s">
        <v>847</v>
      </c>
      <c r="E322" s="4">
        <v>2928950</v>
      </c>
      <c r="F322" s="4" t="s">
        <v>848</v>
      </c>
      <c r="G322" s="4" t="s">
        <v>215</v>
      </c>
      <c r="H322" s="4"/>
    </row>
    <row r="323" s="1" customFormat="1" spans="1:8">
      <c r="A323" s="4" t="s">
        <v>205</v>
      </c>
      <c r="B323" s="4" t="s">
        <v>57</v>
      </c>
      <c r="C323" s="4" t="s">
        <v>60</v>
      </c>
      <c r="D323" s="4" t="s">
        <v>849</v>
      </c>
      <c r="E323" s="4">
        <v>2929107</v>
      </c>
      <c r="F323" s="4" t="s">
        <v>850</v>
      </c>
      <c r="G323" s="4" t="s">
        <v>215</v>
      </c>
      <c r="H323" s="4"/>
    </row>
    <row r="324" s="1" customFormat="1" spans="1:8">
      <c r="A324" s="4" t="s">
        <v>205</v>
      </c>
      <c r="B324" s="4" t="s">
        <v>57</v>
      </c>
      <c r="C324" s="4" t="s">
        <v>60</v>
      </c>
      <c r="D324" s="4" t="s">
        <v>851</v>
      </c>
      <c r="E324" s="4">
        <v>2929206</v>
      </c>
      <c r="F324" s="4" t="s">
        <v>852</v>
      </c>
      <c r="G324" s="4" t="s">
        <v>215</v>
      </c>
      <c r="H324" s="4"/>
    </row>
    <row r="325" s="1" customFormat="1" spans="1:8">
      <c r="A325" s="4" t="s">
        <v>205</v>
      </c>
      <c r="B325" s="4" t="s">
        <v>57</v>
      </c>
      <c r="C325" s="4" t="s">
        <v>60</v>
      </c>
      <c r="D325" s="4" t="s">
        <v>853</v>
      </c>
      <c r="E325" s="4">
        <v>2929008</v>
      </c>
      <c r="F325" s="4" t="s">
        <v>854</v>
      </c>
      <c r="G325" s="4" t="s">
        <v>215</v>
      </c>
      <c r="H325" s="4"/>
    </row>
    <row r="326" s="1" customFormat="1" spans="1:8">
      <c r="A326" s="4" t="s">
        <v>205</v>
      </c>
      <c r="B326" s="4" t="s">
        <v>57</v>
      </c>
      <c r="C326" s="4" t="s">
        <v>60</v>
      </c>
      <c r="D326" s="4" t="s">
        <v>855</v>
      </c>
      <c r="E326" s="4">
        <v>2929305</v>
      </c>
      <c r="F326" s="4" t="s">
        <v>856</v>
      </c>
      <c r="G326" s="4" t="s">
        <v>215</v>
      </c>
      <c r="H326" s="4"/>
    </row>
    <row r="327" s="1" customFormat="1" spans="1:8">
      <c r="A327" s="4" t="s">
        <v>205</v>
      </c>
      <c r="B327" s="4" t="s">
        <v>57</v>
      </c>
      <c r="C327" s="4" t="s">
        <v>60</v>
      </c>
      <c r="D327" s="4" t="s">
        <v>857</v>
      </c>
      <c r="E327" s="4">
        <v>2929370</v>
      </c>
      <c r="F327" s="4" t="s">
        <v>858</v>
      </c>
      <c r="G327" s="4" t="s">
        <v>215</v>
      </c>
      <c r="H327" s="4"/>
    </row>
    <row r="328" s="1" customFormat="1" spans="1:8">
      <c r="A328" s="4" t="s">
        <v>205</v>
      </c>
      <c r="B328" s="4" t="s">
        <v>57</v>
      </c>
      <c r="C328" s="4" t="s">
        <v>60</v>
      </c>
      <c r="D328" s="4" t="s">
        <v>859</v>
      </c>
      <c r="E328" s="4">
        <v>2929404</v>
      </c>
      <c r="F328" s="4" t="s">
        <v>860</v>
      </c>
      <c r="G328" s="4" t="s">
        <v>215</v>
      </c>
      <c r="H328" s="4"/>
    </row>
    <row r="329" s="1" customFormat="1" spans="1:8">
      <c r="A329" s="4" t="s">
        <v>205</v>
      </c>
      <c r="B329" s="4" t="s">
        <v>57</v>
      </c>
      <c r="C329" s="4" t="s">
        <v>60</v>
      </c>
      <c r="D329" s="4" t="s">
        <v>861</v>
      </c>
      <c r="E329" s="4">
        <v>2929503</v>
      </c>
      <c r="F329" s="4" t="s">
        <v>862</v>
      </c>
      <c r="G329" s="4" t="s">
        <v>215</v>
      </c>
      <c r="H329" s="4"/>
    </row>
    <row r="330" s="1" customFormat="1" spans="1:8">
      <c r="A330" s="4" t="s">
        <v>205</v>
      </c>
      <c r="B330" s="4" t="s">
        <v>57</v>
      </c>
      <c r="C330" s="4" t="s">
        <v>60</v>
      </c>
      <c r="D330" s="4" t="s">
        <v>863</v>
      </c>
      <c r="E330" s="4">
        <v>2929701</v>
      </c>
      <c r="F330" s="4" t="s">
        <v>864</v>
      </c>
      <c r="G330" s="4" t="s">
        <v>215</v>
      </c>
      <c r="H330" s="4"/>
    </row>
    <row r="331" s="1" customFormat="1" spans="1:8">
      <c r="A331" s="4" t="s">
        <v>205</v>
      </c>
      <c r="B331" s="4" t="s">
        <v>57</v>
      </c>
      <c r="C331" s="4" t="s">
        <v>60</v>
      </c>
      <c r="D331" s="4" t="s">
        <v>865</v>
      </c>
      <c r="E331" s="4">
        <v>2931103</v>
      </c>
      <c r="F331" s="4" t="s">
        <v>866</v>
      </c>
      <c r="G331" s="4" t="s">
        <v>215</v>
      </c>
      <c r="H331" s="4"/>
    </row>
    <row r="332" s="1" customFormat="1" spans="1:8">
      <c r="A332" s="4" t="s">
        <v>205</v>
      </c>
      <c r="B332" s="4" t="s">
        <v>57</v>
      </c>
      <c r="C332" s="4" t="s">
        <v>60</v>
      </c>
      <c r="D332" s="4" t="s">
        <v>867</v>
      </c>
      <c r="E332" s="4">
        <v>2931202</v>
      </c>
      <c r="F332" s="4" t="s">
        <v>868</v>
      </c>
      <c r="G332" s="4" t="s">
        <v>215</v>
      </c>
      <c r="H332" s="4"/>
    </row>
    <row r="333" s="1" customFormat="1" spans="1:8">
      <c r="A333" s="4" t="s">
        <v>205</v>
      </c>
      <c r="B333" s="4" t="s">
        <v>57</v>
      </c>
      <c r="C333" s="4" t="s">
        <v>60</v>
      </c>
      <c r="D333" s="4" t="s">
        <v>869</v>
      </c>
      <c r="E333" s="4">
        <v>2931400</v>
      </c>
      <c r="F333" s="4" t="s">
        <v>870</v>
      </c>
      <c r="G333" s="4" t="s">
        <v>215</v>
      </c>
      <c r="H333" s="4"/>
    </row>
    <row r="334" s="1" customFormat="1" spans="1:8">
      <c r="A334" s="4" t="s">
        <v>205</v>
      </c>
      <c r="B334" s="4" t="s">
        <v>57</v>
      </c>
      <c r="C334" s="4" t="s">
        <v>60</v>
      </c>
      <c r="D334" s="4" t="s">
        <v>871</v>
      </c>
      <c r="E334" s="4">
        <v>2931509</v>
      </c>
      <c r="F334" s="4" t="s">
        <v>872</v>
      </c>
      <c r="G334" s="4" t="s">
        <v>215</v>
      </c>
      <c r="H334" s="4"/>
    </row>
    <row r="335" s="1" customFormat="1" spans="1:8">
      <c r="A335" s="4" t="s">
        <v>205</v>
      </c>
      <c r="B335" s="4" t="s">
        <v>57</v>
      </c>
      <c r="C335" s="4" t="s">
        <v>60</v>
      </c>
      <c r="D335" s="4" t="s">
        <v>873</v>
      </c>
      <c r="E335" s="4">
        <v>2931608</v>
      </c>
      <c r="F335" s="4" t="s">
        <v>874</v>
      </c>
      <c r="G335" s="4" t="s">
        <v>215</v>
      </c>
      <c r="H335" s="4"/>
    </row>
    <row r="336" s="1" customFormat="1" spans="1:8">
      <c r="A336" s="4" t="s">
        <v>205</v>
      </c>
      <c r="B336" s="4" t="s">
        <v>57</v>
      </c>
      <c r="C336" s="4" t="s">
        <v>60</v>
      </c>
      <c r="D336" s="4" t="s">
        <v>875</v>
      </c>
      <c r="E336" s="4">
        <v>2931707</v>
      </c>
      <c r="F336" s="4" t="s">
        <v>876</v>
      </c>
      <c r="G336" s="4" t="s">
        <v>215</v>
      </c>
      <c r="H336" s="4"/>
    </row>
    <row r="337" s="1" customFormat="1" spans="1:8">
      <c r="A337" s="4" t="s">
        <v>205</v>
      </c>
      <c r="B337" s="4" t="s">
        <v>57</v>
      </c>
      <c r="C337" s="4" t="s">
        <v>60</v>
      </c>
      <c r="D337" s="4" t="s">
        <v>877</v>
      </c>
      <c r="E337" s="4">
        <v>2931905</v>
      </c>
      <c r="F337" s="4" t="s">
        <v>878</v>
      </c>
      <c r="G337" s="4" t="s">
        <v>215</v>
      </c>
      <c r="H337" s="4"/>
    </row>
    <row r="338" s="1" customFormat="1" spans="1:8">
      <c r="A338" s="4" t="s">
        <v>205</v>
      </c>
      <c r="B338" s="4" t="s">
        <v>57</v>
      </c>
      <c r="C338" s="4" t="s">
        <v>60</v>
      </c>
      <c r="D338" s="4" t="s">
        <v>879</v>
      </c>
      <c r="E338" s="4">
        <v>2932101</v>
      </c>
      <c r="F338" s="4" t="s">
        <v>880</v>
      </c>
      <c r="G338" s="4" t="s">
        <v>215</v>
      </c>
      <c r="H338" s="4"/>
    </row>
    <row r="339" s="1" customFormat="1" spans="1:8">
      <c r="A339" s="4" t="s">
        <v>205</v>
      </c>
      <c r="B339" s="4" t="s">
        <v>57</v>
      </c>
      <c r="C339" s="4" t="s">
        <v>60</v>
      </c>
      <c r="D339" s="4" t="s">
        <v>881</v>
      </c>
      <c r="E339" s="4">
        <v>2933000</v>
      </c>
      <c r="F339" s="4" t="s">
        <v>882</v>
      </c>
      <c r="G339" s="4" t="s">
        <v>215</v>
      </c>
      <c r="H339" s="4"/>
    </row>
    <row r="340" s="1" customFormat="1" spans="1:8">
      <c r="A340" s="4" t="s">
        <v>205</v>
      </c>
      <c r="B340" s="4" t="s">
        <v>57</v>
      </c>
      <c r="C340" s="4" t="s">
        <v>60</v>
      </c>
      <c r="D340" s="4" t="s">
        <v>883</v>
      </c>
      <c r="E340" s="4">
        <v>2932903</v>
      </c>
      <c r="F340" s="4" t="s">
        <v>884</v>
      </c>
      <c r="G340" s="4" t="s">
        <v>215</v>
      </c>
      <c r="H340" s="4"/>
    </row>
    <row r="341" s="1" customFormat="1" spans="1:8">
      <c r="A341" s="4" t="s">
        <v>205</v>
      </c>
      <c r="B341" s="4" t="s">
        <v>57</v>
      </c>
      <c r="C341" s="4" t="s">
        <v>60</v>
      </c>
      <c r="D341" s="4" t="s">
        <v>885</v>
      </c>
      <c r="E341" s="4">
        <v>2933174</v>
      </c>
      <c r="F341" s="4" t="s">
        <v>886</v>
      </c>
      <c r="G341" s="4" t="s">
        <v>215</v>
      </c>
      <c r="H341" s="4"/>
    </row>
    <row r="342" s="1" customFormat="1" spans="1:8">
      <c r="A342" s="4" t="s">
        <v>205</v>
      </c>
      <c r="B342" s="4" t="s">
        <v>57</v>
      </c>
      <c r="C342" s="4" t="s">
        <v>60</v>
      </c>
      <c r="D342" s="4" t="s">
        <v>887</v>
      </c>
      <c r="E342" s="4">
        <v>2933208</v>
      </c>
      <c r="F342" s="4" t="s">
        <v>888</v>
      </c>
      <c r="G342" s="4" t="s">
        <v>215</v>
      </c>
      <c r="H342" s="4"/>
    </row>
    <row r="343" s="1" customFormat="1" spans="1:8">
      <c r="A343" s="4" t="s">
        <v>205</v>
      </c>
      <c r="B343" s="4" t="s">
        <v>57</v>
      </c>
      <c r="C343" s="4" t="s">
        <v>60</v>
      </c>
      <c r="D343" s="4" t="s">
        <v>889</v>
      </c>
      <c r="E343" s="4">
        <v>2933059</v>
      </c>
      <c r="F343" s="4" t="s">
        <v>890</v>
      </c>
      <c r="G343" s="4" t="s">
        <v>215</v>
      </c>
      <c r="H343" s="4"/>
    </row>
    <row r="344" s="1" customFormat="1" spans="1:8">
      <c r="A344" s="4" t="s">
        <v>205</v>
      </c>
      <c r="B344" s="4" t="s">
        <v>57</v>
      </c>
      <c r="C344" s="4" t="s">
        <v>60</v>
      </c>
      <c r="D344" s="4" t="s">
        <v>891</v>
      </c>
      <c r="E344" s="4">
        <v>2933505</v>
      </c>
      <c r="F344" s="4" t="s">
        <v>892</v>
      </c>
      <c r="G344" s="4" t="s">
        <v>215</v>
      </c>
      <c r="H344" s="4"/>
    </row>
    <row r="345" s="1" customFormat="1" spans="1:8">
      <c r="A345" s="4" t="s">
        <v>205</v>
      </c>
      <c r="B345" s="9" t="s">
        <v>57</v>
      </c>
      <c r="C345" s="9" t="s">
        <v>60</v>
      </c>
      <c r="D345" s="9" t="s">
        <v>893</v>
      </c>
      <c r="E345" s="9">
        <v>2900405</v>
      </c>
      <c r="F345" s="9" t="s">
        <v>894</v>
      </c>
      <c r="G345" s="9" t="s">
        <v>215</v>
      </c>
      <c r="H345" s="10"/>
    </row>
    <row r="346" s="1" customFormat="1" spans="1:8">
      <c r="A346" s="4" t="s">
        <v>205</v>
      </c>
      <c r="B346" s="4" t="s">
        <v>57</v>
      </c>
      <c r="C346" s="4" t="s">
        <v>60</v>
      </c>
      <c r="D346" s="4" t="s">
        <v>895</v>
      </c>
      <c r="E346" s="4">
        <v>2900207</v>
      </c>
      <c r="F346" s="4" t="s">
        <v>896</v>
      </c>
      <c r="G346" s="4" t="s">
        <v>232</v>
      </c>
      <c r="H346" s="4"/>
    </row>
    <row r="347" s="1" customFormat="1" spans="1:8">
      <c r="A347" s="4" t="s">
        <v>205</v>
      </c>
      <c r="B347" s="4" t="s">
        <v>57</v>
      </c>
      <c r="C347" s="4" t="s">
        <v>60</v>
      </c>
      <c r="D347" s="4" t="s">
        <v>897</v>
      </c>
      <c r="E347" s="4">
        <v>2900108</v>
      </c>
      <c r="F347" s="4" t="s">
        <v>898</v>
      </c>
      <c r="G347" s="4" t="s">
        <v>232</v>
      </c>
      <c r="H347" s="4"/>
    </row>
    <row r="348" s="1" customFormat="1" spans="1:8">
      <c r="A348" s="4" t="s">
        <v>205</v>
      </c>
      <c r="B348" s="4" t="s">
        <v>57</v>
      </c>
      <c r="C348" s="4" t="s">
        <v>60</v>
      </c>
      <c r="D348" s="4" t="s">
        <v>899</v>
      </c>
      <c r="E348" s="4">
        <v>2900355</v>
      </c>
      <c r="F348" s="4" t="s">
        <v>900</v>
      </c>
      <c r="G348" s="4" t="s">
        <v>232</v>
      </c>
      <c r="H348" s="4"/>
    </row>
    <row r="349" s="1" customFormat="1" spans="1:8">
      <c r="A349" s="4" t="s">
        <v>205</v>
      </c>
      <c r="B349" s="4" t="s">
        <v>57</v>
      </c>
      <c r="C349" s="4" t="s">
        <v>60</v>
      </c>
      <c r="D349" s="4" t="s">
        <v>901</v>
      </c>
      <c r="E349" s="4">
        <v>2900603</v>
      </c>
      <c r="F349" s="4" t="s">
        <v>902</v>
      </c>
      <c r="G349" s="4" t="s">
        <v>232</v>
      </c>
      <c r="H349" s="4"/>
    </row>
    <row r="350" s="1" customFormat="1" spans="1:8">
      <c r="A350" s="4" t="s">
        <v>205</v>
      </c>
      <c r="B350" s="4" t="s">
        <v>57</v>
      </c>
      <c r="C350" s="4" t="s">
        <v>60</v>
      </c>
      <c r="D350" s="4" t="s">
        <v>903</v>
      </c>
      <c r="E350" s="4">
        <v>2900900</v>
      </c>
      <c r="F350" s="4" t="s">
        <v>904</v>
      </c>
      <c r="G350" s="4" t="s">
        <v>232</v>
      </c>
      <c r="H350" s="4"/>
    </row>
    <row r="351" s="1" customFormat="1" spans="1:8">
      <c r="A351" s="4" t="s">
        <v>205</v>
      </c>
      <c r="B351" s="4" t="s">
        <v>57</v>
      </c>
      <c r="C351" s="4" t="s">
        <v>60</v>
      </c>
      <c r="D351" s="4" t="s">
        <v>905</v>
      </c>
      <c r="E351" s="4">
        <v>2901155</v>
      </c>
      <c r="F351" s="4" t="s">
        <v>906</v>
      </c>
      <c r="G351" s="4" t="s">
        <v>232</v>
      </c>
      <c r="H351" s="4"/>
    </row>
    <row r="352" s="1" customFormat="1" spans="1:8">
      <c r="A352" s="4" t="s">
        <v>205</v>
      </c>
      <c r="B352" s="4" t="s">
        <v>57</v>
      </c>
      <c r="C352" s="4" t="s">
        <v>60</v>
      </c>
      <c r="D352" s="4" t="s">
        <v>907</v>
      </c>
      <c r="E352" s="4">
        <v>2901205</v>
      </c>
      <c r="F352" s="4" t="s">
        <v>908</v>
      </c>
      <c r="G352" s="4" t="s">
        <v>232</v>
      </c>
      <c r="H352" s="4"/>
    </row>
    <row r="353" s="1" customFormat="1" spans="1:8">
      <c r="A353" s="4" t="s">
        <v>205</v>
      </c>
      <c r="B353" s="4" t="s">
        <v>57</v>
      </c>
      <c r="C353" s="4" t="s">
        <v>60</v>
      </c>
      <c r="D353" s="4" t="s">
        <v>909</v>
      </c>
      <c r="E353" s="4">
        <v>2901304</v>
      </c>
      <c r="F353" s="4" t="s">
        <v>910</v>
      </c>
      <c r="G353" s="4" t="s">
        <v>232</v>
      </c>
      <c r="H353" s="4"/>
    </row>
    <row r="354" s="1" customFormat="1" spans="1:8">
      <c r="A354" s="4" t="s">
        <v>205</v>
      </c>
      <c r="B354" s="4" t="s">
        <v>57</v>
      </c>
      <c r="C354" s="4" t="s">
        <v>60</v>
      </c>
      <c r="D354" s="4" t="s">
        <v>911</v>
      </c>
      <c r="E354" s="4">
        <v>2901353</v>
      </c>
      <c r="F354" s="4" t="s">
        <v>912</v>
      </c>
      <c r="G354" s="4" t="s">
        <v>232</v>
      </c>
      <c r="H354" s="4"/>
    </row>
    <row r="355" s="1" customFormat="1" spans="1:8">
      <c r="A355" s="4" t="s">
        <v>205</v>
      </c>
      <c r="B355" s="4" t="s">
        <v>57</v>
      </c>
      <c r="C355" s="4" t="s">
        <v>60</v>
      </c>
      <c r="D355" s="4" t="s">
        <v>913</v>
      </c>
      <c r="E355" s="4">
        <v>2901601</v>
      </c>
      <c r="F355" s="4" t="s">
        <v>914</v>
      </c>
      <c r="G355" s="4" t="s">
        <v>232</v>
      </c>
      <c r="H355" s="4"/>
    </row>
    <row r="356" s="1" customFormat="1" spans="1:8">
      <c r="A356" s="4" t="s">
        <v>205</v>
      </c>
      <c r="B356" s="4" t="s">
        <v>57</v>
      </c>
      <c r="C356" s="4" t="s">
        <v>60</v>
      </c>
      <c r="D356" s="4" t="s">
        <v>915</v>
      </c>
      <c r="E356" s="4">
        <v>2901809</v>
      </c>
      <c r="F356" s="4" t="s">
        <v>916</v>
      </c>
      <c r="G356" s="4" t="s">
        <v>232</v>
      </c>
      <c r="H356" s="4"/>
    </row>
    <row r="357" s="1" customFormat="1" spans="1:8">
      <c r="A357" s="4" t="s">
        <v>205</v>
      </c>
      <c r="B357" s="4" t="s">
        <v>57</v>
      </c>
      <c r="C357" s="4" t="s">
        <v>60</v>
      </c>
      <c r="D357" s="4" t="s">
        <v>917</v>
      </c>
      <c r="E357" s="4">
        <v>2901957</v>
      </c>
      <c r="F357" s="4" t="s">
        <v>918</v>
      </c>
      <c r="G357" s="4" t="s">
        <v>232</v>
      </c>
      <c r="H357" s="4"/>
    </row>
    <row r="358" s="1" customFormat="1" spans="1:8">
      <c r="A358" s="4" t="s">
        <v>205</v>
      </c>
      <c r="B358" s="4" t="s">
        <v>57</v>
      </c>
      <c r="C358" s="4" t="s">
        <v>60</v>
      </c>
      <c r="D358" s="4" t="s">
        <v>919</v>
      </c>
      <c r="E358" s="4">
        <v>2902005</v>
      </c>
      <c r="F358" s="4" t="s">
        <v>920</v>
      </c>
      <c r="G358" s="4" t="s">
        <v>232</v>
      </c>
      <c r="H358" s="4"/>
    </row>
    <row r="359" s="1" customFormat="1" spans="1:8">
      <c r="A359" s="4" t="s">
        <v>205</v>
      </c>
      <c r="B359" s="4" t="s">
        <v>57</v>
      </c>
      <c r="C359" s="4" t="s">
        <v>60</v>
      </c>
      <c r="D359" s="4" t="s">
        <v>921</v>
      </c>
      <c r="E359" s="4">
        <v>2902252</v>
      </c>
      <c r="F359" s="4" t="s">
        <v>922</v>
      </c>
      <c r="G359" s="4" t="s">
        <v>232</v>
      </c>
      <c r="H359" s="4"/>
    </row>
    <row r="360" s="1" customFormat="1" spans="1:8">
      <c r="A360" s="4" t="s">
        <v>205</v>
      </c>
      <c r="B360" s="4" t="s">
        <v>57</v>
      </c>
      <c r="C360" s="4" t="s">
        <v>60</v>
      </c>
      <c r="D360" s="4" t="s">
        <v>923</v>
      </c>
      <c r="E360" s="4">
        <v>2902401</v>
      </c>
      <c r="F360" s="4" t="s">
        <v>924</v>
      </c>
      <c r="G360" s="4" t="s">
        <v>232</v>
      </c>
      <c r="H360" s="4"/>
    </row>
    <row r="361" s="1" customFormat="1" spans="1:8">
      <c r="A361" s="4" t="s">
        <v>205</v>
      </c>
      <c r="B361" s="4" t="s">
        <v>57</v>
      </c>
      <c r="C361" s="4" t="s">
        <v>60</v>
      </c>
      <c r="D361" s="4" t="s">
        <v>925</v>
      </c>
      <c r="E361" s="4">
        <v>2902658</v>
      </c>
      <c r="F361" s="4" t="s">
        <v>926</v>
      </c>
      <c r="G361" s="4" t="s">
        <v>232</v>
      </c>
      <c r="H361" s="4"/>
    </row>
    <row r="362" s="1" customFormat="1" spans="1:8">
      <c r="A362" s="4" t="s">
        <v>205</v>
      </c>
      <c r="B362" s="4" t="s">
        <v>57</v>
      </c>
      <c r="C362" s="4" t="s">
        <v>60</v>
      </c>
      <c r="D362" s="4" t="s">
        <v>927</v>
      </c>
      <c r="E362" s="4">
        <v>2902807</v>
      </c>
      <c r="F362" s="4" t="s">
        <v>928</v>
      </c>
      <c r="G362" s="4" t="s">
        <v>232</v>
      </c>
      <c r="H362" s="4"/>
    </row>
    <row r="363" s="1" customFormat="1" spans="1:8">
      <c r="A363" s="4" t="s">
        <v>205</v>
      </c>
      <c r="B363" s="4" t="s">
        <v>57</v>
      </c>
      <c r="C363" s="4" t="s">
        <v>60</v>
      </c>
      <c r="D363" s="4" t="s">
        <v>929</v>
      </c>
      <c r="E363" s="4">
        <v>2902906</v>
      </c>
      <c r="F363" s="4" t="s">
        <v>930</v>
      </c>
      <c r="G363" s="4" t="s">
        <v>232</v>
      </c>
      <c r="H363" s="4"/>
    </row>
    <row r="364" s="1" customFormat="1" spans="1:8">
      <c r="A364" s="4" t="s">
        <v>205</v>
      </c>
      <c r="B364" s="4" t="s">
        <v>57</v>
      </c>
      <c r="C364" s="4" t="s">
        <v>60</v>
      </c>
      <c r="D364" s="4" t="s">
        <v>931</v>
      </c>
      <c r="E364" s="4">
        <v>2903003</v>
      </c>
      <c r="F364" s="4" t="s">
        <v>932</v>
      </c>
      <c r="G364" s="4" t="s">
        <v>232</v>
      </c>
      <c r="H364" s="4"/>
    </row>
    <row r="365" s="1" customFormat="1" spans="1:8">
      <c r="A365" s="4" t="s">
        <v>205</v>
      </c>
      <c r="B365" s="4" t="s">
        <v>57</v>
      </c>
      <c r="C365" s="4" t="s">
        <v>60</v>
      </c>
      <c r="D365" s="4" t="s">
        <v>933</v>
      </c>
      <c r="E365" s="4">
        <v>2903102</v>
      </c>
      <c r="F365" s="4" t="s">
        <v>934</v>
      </c>
      <c r="G365" s="4" t="s">
        <v>232</v>
      </c>
      <c r="H365" s="4"/>
    </row>
    <row r="366" s="1" customFormat="1" spans="1:8">
      <c r="A366" s="4" t="s">
        <v>205</v>
      </c>
      <c r="B366" s="4" t="s">
        <v>57</v>
      </c>
      <c r="C366" s="4" t="s">
        <v>60</v>
      </c>
      <c r="D366" s="4" t="s">
        <v>935</v>
      </c>
      <c r="E366" s="4">
        <v>2903235</v>
      </c>
      <c r="F366" s="4" t="s">
        <v>936</v>
      </c>
      <c r="G366" s="4" t="s">
        <v>232</v>
      </c>
      <c r="H366" s="4"/>
    </row>
    <row r="367" s="1" customFormat="1" spans="1:8">
      <c r="A367" s="4" t="s">
        <v>205</v>
      </c>
      <c r="B367" s="4" t="s">
        <v>57</v>
      </c>
      <c r="C367" s="4" t="s">
        <v>60</v>
      </c>
      <c r="D367" s="4" t="s">
        <v>937</v>
      </c>
      <c r="E367" s="4">
        <v>2903300</v>
      </c>
      <c r="F367" s="4" t="s">
        <v>938</v>
      </c>
      <c r="G367" s="4" t="s">
        <v>232</v>
      </c>
      <c r="H367" s="4"/>
    </row>
    <row r="368" s="1" customFormat="1" spans="1:8">
      <c r="A368" s="4" t="s">
        <v>205</v>
      </c>
      <c r="B368" s="4" t="s">
        <v>57</v>
      </c>
      <c r="C368" s="4" t="s">
        <v>60</v>
      </c>
      <c r="D368" s="4" t="s">
        <v>939</v>
      </c>
      <c r="E368" s="4">
        <v>2903508</v>
      </c>
      <c r="F368" s="4" t="s">
        <v>940</v>
      </c>
      <c r="G368" s="4" t="s">
        <v>232</v>
      </c>
      <c r="H368" s="4"/>
    </row>
    <row r="369" s="1" customFormat="1" spans="1:8">
      <c r="A369" s="4" t="s">
        <v>205</v>
      </c>
      <c r="B369" s="4" t="s">
        <v>57</v>
      </c>
      <c r="C369" s="4" t="s">
        <v>60</v>
      </c>
      <c r="D369" s="4" t="s">
        <v>941</v>
      </c>
      <c r="E369" s="4">
        <v>2903706</v>
      </c>
      <c r="F369" s="4" t="s">
        <v>942</v>
      </c>
      <c r="G369" s="4" t="s">
        <v>232</v>
      </c>
      <c r="H369" s="4"/>
    </row>
    <row r="370" s="1" customFormat="1" spans="1:8">
      <c r="A370" s="4" t="s">
        <v>205</v>
      </c>
      <c r="B370" s="4" t="s">
        <v>57</v>
      </c>
      <c r="C370" s="4" t="s">
        <v>60</v>
      </c>
      <c r="D370" s="4" t="s">
        <v>943</v>
      </c>
      <c r="E370" s="4">
        <v>2903805</v>
      </c>
      <c r="F370" s="4" t="s">
        <v>944</v>
      </c>
      <c r="G370" s="4" t="s">
        <v>232</v>
      </c>
      <c r="H370" s="4"/>
    </row>
    <row r="371" s="1" customFormat="1" spans="1:8">
      <c r="A371" s="4" t="s">
        <v>205</v>
      </c>
      <c r="B371" s="4" t="s">
        <v>57</v>
      </c>
      <c r="C371" s="4" t="s">
        <v>60</v>
      </c>
      <c r="D371" s="4" t="s">
        <v>945</v>
      </c>
      <c r="E371" s="4">
        <v>2903953</v>
      </c>
      <c r="F371" s="4" t="s">
        <v>946</v>
      </c>
      <c r="G371" s="4" t="s">
        <v>232</v>
      </c>
      <c r="H371" s="4"/>
    </row>
    <row r="372" s="1" customFormat="1" spans="1:8">
      <c r="A372" s="4" t="s">
        <v>205</v>
      </c>
      <c r="B372" s="4" t="s">
        <v>57</v>
      </c>
      <c r="C372" s="4" t="s">
        <v>60</v>
      </c>
      <c r="D372" s="4" t="s">
        <v>947</v>
      </c>
      <c r="E372" s="4">
        <v>2904001</v>
      </c>
      <c r="F372" s="4" t="s">
        <v>948</v>
      </c>
      <c r="G372" s="4" t="s">
        <v>232</v>
      </c>
      <c r="H372" s="4"/>
    </row>
    <row r="373" s="1" customFormat="1" spans="1:8">
      <c r="A373" s="4" t="s">
        <v>205</v>
      </c>
      <c r="B373" s="4" t="s">
        <v>57</v>
      </c>
      <c r="C373" s="4" t="s">
        <v>60</v>
      </c>
      <c r="D373" s="4" t="s">
        <v>949</v>
      </c>
      <c r="E373" s="4">
        <v>2904050</v>
      </c>
      <c r="F373" s="4" t="s">
        <v>950</v>
      </c>
      <c r="G373" s="4" t="s">
        <v>232</v>
      </c>
      <c r="H373" s="4"/>
    </row>
    <row r="374" s="1" customFormat="1" spans="1:8">
      <c r="A374" s="4" t="s">
        <v>205</v>
      </c>
      <c r="B374" s="4" t="s">
        <v>57</v>
      </c>
      <c r="C374" s="4" t="s">
        <v>60</v>
      </c>
      <c r="D374" s="4" t="s">
        <v>951</v>
      </c>
      <c r="E374" s="4">
        <v>2904605</v>
      </c>
      <c r="F374" s="4" t="s">
        <v>952</v>
      </c>
      <c r="G374" s="4" t="s">
        <v>232</v>
      </c>
      <c r="H374" s="4"/>
    </row>
    <row r="375" s="1" customFormat="1" spans="1:8">
      <c r="A375" s="4" t="s">
        <v>205</v>
      </c>
      <c r="B375" s="4" t="s">
        <v>57</v>
      </c>
      <c r="C375" s="4" t="s">
        <v>60</v>
      </c>
      <c r="D375" s="4" t="s">
        <v>953</v>
      </c>
      <c r="E375" s="4">
        <v>2904704</v>
      </c>
      <c r="F375" s="4" t="s">
        <v>954</v>
      </c>
      <c r="G375" s="4" t="s">
        <v>232</v>
      </c>
      <c r="H375" s="4"/>
    </row>
    <row r="376" s="1" customFormat="1" spans="1:8">
      <c r="A376" s="4" t="s">
        <v>205</v>
      </c>
      <c r="B376" s="4" t="s">
        <v>57</v>
      </c>
      <c r="C376" s="4" t="s">
        <v>60</v>
      </c>
      <c r="D376" s="4" t="s">
        <v>955</v>
      </c>
      <c r="E376" s="4">
        <v>2904803</v>
      </c>
      <c r="F376" s="4" t="s">
        <v>956</v>
      </c>
      <c r="G376" s="4" t="s">
        <v>232</v>
      </c>
      <c r="H376" s="4"/>
    </row>
    <row r="377" s="1" customFormat="1" spans="1:8">
      <c r="A377" s="4" t="s">
        <v>205</v>
      </c>
      <c r="B377" s="4" t="s">
        <v>57</v>
      </c>
      <c r="C377" s="4" t="s">
        <v>60</v>
      </c>
      <c r="D377" s="4" t="s">
        <v>957</v>
      </c>
      <c r="E377" s="4">
        <v>2905008</v>
      </c>
      <c r="F377" s="4" t="s">
        <v>958</v>
      </c>
      <c r="G377" s="4" t="s">
        <v>232</v>
      </c>
      <c r="H377" s="4"/>
    </row>
    <row r="378" s="1" customFormat="1" spans="1:8">
      <c r="A378" s="4" t="s">
        <v>205</v>
      </c>
      <c r="B378" s="4" t="s">
        <v>57</v>
      </c>
      <c r="C378" s="4" t="s">
        <v>60</v>
      </c>
      <c r="D378" s="4" t="s">
        <v>959</v>
      </c>
      <c r="E378" s="4">
        <v>2905156</v>
      </c>
      <c r="F378" s="4" t="s">
        <v>960</v>
      </c>
      <c r="G378" s="4" t="s">
        <v>232</v>
      </c>
      <c r="H378" s="4"/>
    </row>
    <row r="379" s="1" customFormat="1" spans="1:8">
      <c r="A379" s="4" t="s">
        <v>205</v>
      </c>
      <c r="B379" s="4" t="s">
        <v>57</v>
      </c>
      <c r="C379" s="4" t="s">
        <v>60</v>
      </c>
      <c r="D379" s="4" t="s">
        <v>961</v>
      </c>
      <c r="E379" s="4">
        <v>2905206</v>
      </c>
      <c r="F379" s="4" t="s">
        <v>962</v>
      </c>
      <c r="G379" s="4" t="s">
        <v>232</v>
      </c>
      <c r="H379" s="4"/>
    </row>
    <row r="380" s="1" customFormat="1" spans="1:8">
      <c r="A380" s="4" t="s">
        <v>205</v>
      </c>
      <c r="B380" s="4" t="s">
        <v>57</v>
      </c>
      <c r="C380" s="4" t="s">
        <v>60</v>
      </c>
      <c r="D380" s="4" t="s">
        <v>963</v>
      </c>
      <c r="E380" s="4">
        <v>2905305</v>
      </c>
      <c r="F380" s="4" t="s">
        <v>964</v>
      </c>
      <c r="G380" s="4" t="s">
        <v>232</v>
      </c>
      <c r="H380" s="4"/>
    </row>
    <row r="381" s="1" customFormat="1" spans="1:8">
      <c r="A381" s="4" t="s">
        <v>205</v>
      </c>
      <c r="B381" s="4" t="s">
        <v>57</v>
      </c>
      <c r="C381" s="4" t="s">
        <v>60</v>
      </c>
      <c r="D381" s="4" t="s">
        <v>965</v>
      </c>
      <c r="E381" s="4">
        <v>2905503</v>
      </c>
      <c r="F381" s="4" t="s">
        <v>966</v>
      </c>
      <c r="G381" s="4" t="s">
        <v>232</v>
      </c>
      <c r="H381" s="4"/>
    </row>
    <row r="382" s="1" customFormat="1" spans="1:8">
      <c r="A382" s="4" t="s">
        <v>205</v>
      </c>
      <c r="B382" s="4" t="s">
        <v>57</v>
      </c>
      <c r="C382" s="4" t="s">
        <v>60</v>
      </c>
      <c r="D382" s="4" t="s">
        <v>967</v>
      </c>
      <c r="E382" s="4">
        <v>2905602</v>
      </c>
      <c r="F382" s="4" t="s">
        <v>968</v>
      </c>
      <c r="G382" s="4" t="s">
        <v>232</v>
      </c>
      <c r="H382" s="4"/>
    </row>
    <row r="383" s="1" customFormat="1" spans="1:8">
      <c r="A383" s="4" t="s">
        <v>205</v>
      </c>
      <c r="B383" s="4" t="s">
        <v>57</v>
      </c>
      <c r="C383" s="4" t="s">
        <v>60</v>
      </c>
      <c r="D383" s="4" t="s">
        <v>969</v>
      </c>
      <c r="E383" s="4">
        <v>2906006</v>
      </c>
      <c r="F383" s="4" t="s">
        <v>970</v>
      </c>
      <c r="G383" s="4" t="s">
        <v>232</v>
      </c>
      <c r="H383" s="4"/>
    </row>
    <row r="384" s="1" customFormat="1" spans="1:8">
      <c r="A384" s="4" t="s">
        <v>205</v>
      </c>
      <c r="B384" s="4" t="s">
        <v>57</v>
      </c>
      <c r="C384" s="4" t="s">
        <v>60</v>
      </c>
      <c r="D384" s="4" t="s">
        <v>971</v>
      </c>
      <c r="E384" s="4">
        <v>2906204</v>
      </c>
      <c r="F384" s="4" t="s">
        <v>972</v>
      </c>
      <c r="G384" s="4" t="s">
        <v>232</v>
      </c>
      <c r="H384" s="4"/>
    </row>
    <row r="385" s="1" customFormat="1" spans="1:8">
      <c r="A385" s="4" t="s">
        <v>205</v>
      </c>
      <c r="B385" s="4" t="s">
        <v>57</v>
      </c>
      <c r="C385" s="4" t="s">
        <v>60</v>
      </c>
      <c r="D385" s="4" t="s">
        <v>973</v>
      </c>
      <c r="E385" s="4">
        <v>2906303</v>
      </c>
      <c r="F385" s="4" t="s">
        <v>974</v>
      </c>
      <c r="G385" s="4" t="s">
        <v>232</v>
      </c>
      <c r="H385" s="4"/>
    </row>
    <row r="386" s="1" customFormat="1" spans="1:8">
      <c r="A386" s="4" t="s">
        <v>205</v>
      </c>
      <c r="B386" s="4" t="s">
        <v>57</v>
      </c>
      <c r="C386" s="4" t="s">
        <v>60</v>
      </c>
      <c r="D386" s="4" t="s">
        <v>975</v>
      </c>
      <c r="E386" s="4">
        <v>2906808</v>
      </c>
      <c r="F386" s="4" t="s">
        <v>976</v>
      </c>
      <c r="G386" s="4" t="s">
        <v>232</v>
      </c>
      <c r="H386" s="4"/>
    </row>
    <row r="387" s="1" customFormat="1" spans="1:8">
      <c r="A387" s="4" t="s">
        <v>205</v>
      </c>
      <c r="B387" s="4" t="s">
        <v>57</v>
      </c>
      <c r="C387" s="4" t="s">
        <v>60</v>
      </c>
      <c r="D387" s="4" t="s">
        <v>977</v>
      </c>
      <c r="E387" s="4">
        <v>2906824</v>
      </c>
      <c r="F387" s="4" t="s">
        <v>978</v>
      </c>
      <c r="G387" s="4" t="s">
        <v>232</v>
      </c>
      <c r="H387" s="4"/>
    </row>
    <row r="388" s="1" customFormat="1" spans="1:8">
      <c r="A388" s="4" t="s">
        <v>205</v>
      </c>
      <c r="B388" s="4" t="s">
        <v>57</v>
      </c>
      <c r="C388" s="4" t="s">
        <v>60</v>
      </c>
      <c r="D388" s="4" t="s">
        <v>979</v>
      </c>
      <c r="E388" s="4">
        <v>2906899</v>
      </c>
      <c r="F388" s="4" t="s">
        <v>980</v>
      </c>
      <c r="G388" s="4" t="s">
        <v>232</v>
      </c>
      <c r="H388" s="4"/>
    </row>
    <row r="389" s="1" customFormat="1" spans="1:8">
      <c r="A389" s="4" t="s">
        <v>205</v>
      </c>
      <c r="B389" s="4" t="s">
        <v>57</v>
      </c>
      <c r="C389" s="4" t="s">
        <v>60</v>
      </c>
      <c r="D389" s="4" t="s">
        <v>981</v>
      </c>
      <c r="E389" s="4">
        <v>2907202</v>
      </c>
      <c r="F389" s="4" t="s">
        <v>982</v>
      </c>
      <c r="G389" s="4" t="s">
        <v>232</v>
      </c>
      <c r="H389" s="4"/>
    </row>
    <row r="390" s="1" customFormat="1" spans="1:8">
      <c r="A390" s="4" t="s">
        <v>205</v>
      </c>
      <c r="B390" s="4" t="s">
        <v>57</v>
      </c>
      <c r="C390" s="4" t="s">
        <v>60</v>
      </c>
      <c r="D390" s="4" t="s">
        <v>983</v>
      </c>
      <c r="E390" s="4">
        <v>2905107</v>
      </c>
      <c r="F390" s="4" t="s">
        <v>984</v>
      </c>
      <c r="G390" s="4" t="s">
        <v>232</v>
      </c>
      <c r="H390" s="4"/>
    </row>
    <row r="391" s="1" customFormat="1" spans="1:8">
      <c r="A391" s="4" t="s">
        <v>205</v>
      </c>
      <c r="B391" s="4" t="s">
        <v>57</v>
      </c>
      <c r="C391" s="4" t="s">
        <v>60</v>
      </c>
      <c r="D391" s="4" t="s">
        <v>985</v>
      </c>
      <c r="E391" s="4">
        <v>2907608</v>
      </c>
      <c r="F391" s="4" t="s">
        <v>986</v>
      </c>
      <c r="G391" s="4" t="s">
        <v>232</v>
      </c>
      <c r="H391" s="4"/>
    </row>
    <row r="392" s="1" customFormat="1" spans="1:8">
      <c r="A392" s="4" t="s">
        <v>205</v>
      </c>
      <c r="B392" s="4" t="s">
        <v>57</v>
      </c>
      <c r="C392" s="4" t="s">
        <v>60</v>
      </c>
      <c r="D392" s="4" t="s">
        <v>987</v>
      </c>
      <c r="E392" s="4">
        <v>2907707</v>
      </c>
      <c r="F392" s="4" t="s">
        <v>988</v>
      </c>
      <c r="G392" s="4" t="s">
        <v>232</v>
      </c>
      <c r="H392" s="4"/>
    </row>
    <row r="393" s="1" customFormat="1" spans="1:8">
      <c r="A393" s="4" t="s">
        <v>205</v>
      </c>
      <c r="B393" s="4" t="s">
        <v>57</v>
      </c>
      <c r="C393" s="4" t="s">
        <v>60</v>
      </c>
      <c r="D393" s="4" t="s">
        <v>989</v>
      </c>
      <c r="E393" s="4">
        <v>2908002</v>
      </c>
      <c r="F393" s="4" t="s">
        <v>990</v>
      </c>
      <c r="G393" s="4" t="s">
        <v>232</v>
      </c>
      <c r="H393" s="4"/>
    </row>
    <row r="394" s="1" customFormat="1" spans="1:8">
      <c r="A394" s="4" t="s">
        <v>205</v>
      </c>
      <c r="B394" s="4" t="s">
        <v>57</v>
      </c>
      <c r="C394" s="4" t="s">
        <v>60</v>
      </c>
      <c r="D394" s="4" t="s">
        <v>991</v>
      </c>
      <c r="E394" s="4">
        <v>2908804</v>
      </c>
      <c r="F394" s="4" t="s">
        <v>992</v>
      </c>
      <c r="G394" s="4" t="s">
        <v>232</v>
      </c>
      <c r="H394" s="4"/>
    </row>
    <row r="395" s="1" customFormat="1" spans="1:8">
      <c r="A395" s="4" t="s">
        <v>205</v>
      </c>
      <c r="B395" s="4" t="s">
        <v>57</v>
      </c>
      <c r="C395" s="4" t="s">
        <v>60</v>
      </c>
      <c r="D395" s="4" t="s">
        <v>993</v>
      </c>
      <c r="E395" s="4">
        <v>2909208</v>
      </c>
      <c r="F395" s="4" t="s">
        <v>994</v>
      </c>
      <c r="G395" s="4" t="s">
        <v>232</v>
      </c>
      <c r="H395" s="4"/>
    </row>
    <row r="396" s="1" customFormat="1" spans="1:8">
      <c r="A396" s="4" t="s">
        <v>205</v>
      </c>
      <c r="B396" s="4" t="s">
        <v>57</v>
      </c>
      <c r="C396" s="4" t="s">
        <v>60</v>
      </c>
      <c r="D396" s="4" t="s">
        <v>995</v>
      </c>
      <c r="E396" s="4">
        <v>2909901</v>
      </c>
      <c r="F396" s="4" t="s">
        <v>996</v>
      </c>
      <c r="G396" s="4" t="s">
        <v>232</v>
      </c>
      <c r="H396" s="4"/>
    </row>
    <row r="397" s="1" customFormat="1" spans="1:8">
      <c r="A397" s="4" t="s">
        <v>205</v>
      </c>
      <c r="B397" s="4" t="s">
        <v>57</v>
      </c>
      <c r="C397" s="4" t="s">
        <v>60</v>
      </c>
      <c r="D397" s="4" t="s">
        <v>997</v>
      </c>
      <c r="E397" s="4">
        <v>2906709</v>
      </c>
      <c r="F397" s="4" t="s">
        <v>998</v>
      </c>
      <c r="G397" s="4" t="s">
        <v>232</v>
      </c>
      <c r="H397" s="4"/>
    </row>
    <row r="398" s="1" customFormat="1" spans="1:8">
      <c r="A398" s="4" t="s">
        <v>205</v>
      </c>
      <c r="B398" s="4" t="s">
        <v>57</v>
      </c>
      <c r="C398" s="4" t="s">
        <v>60</v>
      </c>
      <c r="D398" s="4" t="s">
        <v>999</v>
      </c>
      <c r="E398" s="4">
        <v>2910107</v>
      </c>
      <c r="F398" s="4" t="s">
        <v>1000</v>
      </c>
      <c r="G398" s="4" t="s">
        <v>232</v>
      </c>
      <c r="H398" s="4"/>
    </row>
    <row r="399" s="1" customFormat="1" spans="1:8">
      <c r="A399" s="4" t="s">
        <v>205</v>
      </c>
      <c r="B399" s="4" t="s">
        <v>57</v>
      </c>
      <c r="C399" s="4" t="s">
        <v>60</v>
      </c>
      <c r="D399" s="4" t="s">
        <v>1001</v>
      </c>
      <c r="E399" s="4">
        <v>2910008</v>
      </c>
      <c r="F399" s="4" t="s">
        <v>1002</v>
      </c>
      <c r="G399" s="4" t="s">
        <v>232</v>
      </c>
      <c r="H399" s="4"/>
    </row>
    <row r="400" s="1" customFormat="1" spans="1:8">
      <c r="A400" s="4" t="s">
        <v>205</v>
      </c>
      <c r="B400" s="4" t="s">
        <v>57</v>
      </c>
      <c r="C400" s="4" t="s">
        <v>60</v>
      </c>
      <c r="D400" s="4" t="s">
        <v>1003</v>
      </c>
      <c r="E400" s="4">
        <v>2910404</v>
      </c>
      <c r="F400" s="4" t="s">
        <v>1004</v>
      </c>
      <c r="G400" s="4" t="s">
        <v>232</v>
      </c>
      <c r="H400" s="4"/>
    </row>
    <row r="401" s="1" customFormat="1" spans="1:8">
      <c r="A401" s="4" t="s">
        <v>205</v>
      </c>
      <c r="B401" s="4" t="s">
        <v>57</v>
      </c>
      <c r="C401" s="4" t="s">
        <v>60</v>
      </c>
      <c r="D401" s="4" t="s">
        <v>1005</v>
      </c>
      <c r="E401" s="4">
        <v>2910701</v>
      </c>
      <c r="F401" s="4" t="s">
        <v>1006</v>
      </c>
      <c r="G401" s="4" t="s">
        <v>232</v>
      </c>
      <c r="H401" s="4"/>
    </row>
    <row r="402" s="1" customFormat="1" spans="1:8">
      <c r="A402" s="4" t="s">
        <v>205</v>
      </c>
      <c r="B402" s="4" t="s">
        <v>57</v>
      </c>
      <c r="C402" s="4" t="s">
        <v>60</v>
      </c>
      <c r="D402" s="4" t="s">
        <v>1007</v>
      </c>
      <c r="E402" s="4">
        <v>2910859</v>
      </c>
      <c r="F402" s="4" t="s">
        <v>1008</v>
      </c>
      <c r="G402" s="4" t="s">
        <v>232</v>
      </c>
      <c r="H402" s="4"/>
    </row>
    <row r="403" s="1" customFormat="1" spans="1:8">
      <c r="A403" s="4" t="s">
        <v>205</v>
      </c>
      <c r="B403" s="4" t="s">
        <v>57</v>
      </c>
      <c r="C403" s="4" t="s">
        <v>60</v>
      </c>
      <c r="D403" s="4" t="s">
        <v>1009</v>
      </c>
      <c r="E403" s="4">
        <v>2910909</v>
      </c>
      <c r="F403" s="4" t="s">
        <v>1010</v>
      </c>
      <c r="G403" s="4" t="s">
        <v>232</v>
      </c>
      <c r="H403" s="4"/>
    </row>
    <row r="404" s="1" customFormat="1" spans="1:8">
      <c r="A404" s="4" t="s">
        <v>205</v>
      </c>
      <c r="B404" s="4" t="s">
        <v>57</v>
      </c>
      <c r="C404" s="4" t="s">
        <v>60</v>
      </c>
      <c r="D404" s="4" t="s">
        <v>1011</v>
      </c>
      <c r="E404" s="4">
        <v>2911006</v>
      </c>
      <c r="F404" s="4" t="s">
        <v>1012</v>
      </c>
      <c r="G404" s="4" t="s">
        <v>232</v>
      </c>
      <c r="H404" s="4"/>
    </row>
    <row r="405" s="1" customFormat="1" spans="1:8">
      <c r="A405" s="4" t="s">
        <v>205</v>
      </c>
      <c r="B405" s="4" t="s">
        <v>57</v>
      </c>
      <c r="C405" s="4" t="s">
        <v>60</v>
      </c>
      <c r="D405" s="4" t="s">
        <v>1013</v>
      </c>
      <c r="E405" s="4">
        <v>2910750</v>
      </c>
      <c r="F405" s="4" t="s">
        <v>1014</v>
      </c>
      <c r="G405" s="4" t="s">
        <v>232</v>
      </c>
      <c r="H405" s="4"/>
    </row>
    <row r="406" s="1" customFormat="1" spans="1:8">
      <c r="A406" s="4" t="s">
        <v>205</v>
      </c>
      <c r="B406" s="4" t="s">
        <v>57</v>
      </c>
      <c r="C406" s="4" t="s">
        <v>60</v>
      </c>
      <c r="D406" s="4" t="s">
        <v>1015</v>
      </c>
      <c r="E406" s="4">
        <v>2911303</v>
      </c>
      <c r="F406" s="4" t="s">
        <v>1016</v>
      </c>
      <c r="G406" s="4" t="s">
        <v>232</v>
      </c>
      <c r="H406" s="4"/>
    </row>
    <row r="407" s="1" customFormat="1" spans="1:8">
      <c r="A407" s="4" t="s">
        <v>205</v>
      </c>
      <c r="B407" s="4" t="s">
        <v>57</v>
      </c>
      <c r="C407" s="4" t="s">
        <v>60</v>
      </c>
      <c r="D407" s="4" t="s">
        <v>1017</v>
      </c>
      <c r="E407" s="4">
        <v>2911402</v>
      </c>
      <c r="F407" s="4" t="s">
        <v>1018</v>
      </c>
      <c r="G407" s="4" t="s">
        <v>232</v>
      </c>
      <c r="H407" s="4"/>
    </row>
    <row r="408" s="1" customFormat="1" spans="1:8">
      <c r="A408" s="4" t="s">
        <v>205</v>
      </c>
      <c r="B408" s="4" t="s">
        <v>57</v>
      </c>
      <c r="C408" s="4" t="s">
        <v>60</v>
      </c>
      <c r="D408" s="4" t="s">
        <v>1019</v>
      </c>
      <c r="E408" s="4">
        <v>2911501</v>
      </c>
      <c r="F408" s="4" t="s">
        <v>1020</v>
      </c>
      <c r="G408" s="4" t="s">
        <v>232</v>
      </c>
      <c r="H408" s="4"/>
    </row>
    <row r="409" s="1" customFormat="1" spans="1:8">
      <c r="A409" s="4" t="s">
        <v>205</v>
      </c>
      <c r="B409" s="4" t="s">
        <v>57</v>
      </c>
      <c r="C409" s="4" t="s">
        <v>60</v>
      </c>
      <c r="D409" s="4" t="s">
        <v>1021</v>
      </c>
      <c r="E409" s="4">
        <v>2911659</v>
      </c>
      <c r="F409" s="4" t="s">
        <v>1022</v>
      </c>
      <c r="G409" s="4" t="s">
        <v>232</v>
      </c>
      <c r="H409" s="4"/>
    </row>
    <row r="410" s="1" customFormat="1" spans="1:8">
      <c r="A410" s="4" t="s">
        <v>205</v>
      </c>
      <c r="B410" s="4" t="s">
        <v>57</v>
      </c>
      <c r="C410" s="4" t="s">
        <v>60</v>
      </c>
      <c r="D410" s="4" t="s">
        <v>1023</v>
      </c>
      <c r="E410" s="4">
        <v>2911857</v>
      </c>
      <c r="F410" s="4" t="s">
        <v>1024</v>
      </c>
      <c r="G410" s="4" t="s">
        <v>232</v>
      </c>
      <c r="H410" s="4"/>
    </row>
    <row r="411" s="1" customFormat="1" spans="1:8">
      <c r="A411" s="4" t="s">
        <v>205</v>
      </c>
      <c r="B411" s="4" t="s">
        <v>57</v>
      </c>
      <c r="C411" s="4" t="s">
        <v>60</v>
      </c>
      <c r="D411" s="4" t="s">
        <v>1025</v>
      </c>
      <c r="E411" s="4">
        <v>2912004</v>
      </c>
      <c r="F411" s="4" t="s">
        <v>1026</v>
      </c>
      <c r="G411" s="4" t="s">
        <v>232</v>
      </c>
      <c r="H411" s="4"/>
    </row>
    <row r="412" s="1" customFormat="1" spans="1:8">
      <c r="A412" s="4" t="s">
        <v>205</v>
      </c>
      <c r="B412" s="4" t="s">
        <v>57</v>
      </c>
      <c r="C412" s="4" t="s">
        <v>60</v>
      </c>
      <c r="D412" s="4" t="s">
        <v>1027</v>
      </c>
      <c r="E412" s="4">
        <v>2912103</v>
      </c>
      <c r="F412" s="4" t="s">
        <v>1028</v>
      </c>
      <c r="G412" s="4" t="s">
        <v>232</v>
      </c>
      <c r="H412" s="4"/>
    </row>
    <row r="413" s="1" customFormat="1" spans="1:8">
      <c r="A413" s="4" t="s">
        <v>205</v>
      </c>
      <c r="B413" s="4" t="s">
        <v>57</v>
      </c>
      <c r="C413" s="4" t="s">
        <v>60</v>
      </c>
      <c r="D413" s="4" t="s">
        <v>1029</v>
      </c>
      <c r="E413" s="4">
        <v>2912202</v>
      </c>
      <c r="F413" s="4" t="s">
        <v>1030</v>
      </c>
      <c r="G413" s="4" t="s">
        <v>232</v>
      </c>
      <c r="H413" s="4"/>
    </row>
    <row r="414" s="1" customFormat="1" spans="1:8">
      <c r="A414" s="4" t="s">
        <v>205</v>
      </c>
      <c r="B414" s="4" t="s">
        <v>57</v>
      </c>
      <c r="C414" s="4" t="s">
        <v>60</v>
      </c>
      <c r="D414" s="4" t="s">
        <v>1031</v>
      </c>
      <c r="E414" s="4">
        <v>2912301</v>
      </c>
      <c r="F414" s="4" t="s">
        <v>1032</v>
      </c>
      <c r="G414" s="4" t="s">
        <v>232</v>
      </c>
      <c r="H414" s="4"/>
    </row>
    <row r="415" s="1" customFormat="1" spans="1:8">
      <c r="A415" s="4" t="s">
        <v>205</v>
      </c>
      <c r="B415" s="4" t="s">
        <v>57</v>
      </c>
      <c r="C415" s="4" t="s">
        <v>60</v>
      </c>
      <c r="D415" s="4" t="s">
        <v>1033</v>
      </c>
      <c r="E415" s="4">
        <v>2912400</v>
      </c>
      <c r="F415" s="4" t="s">
        <v>1034</v>
      </c>
      <c r="G415" s="4" t="s">
        <v>232</v>
      </c>
      <c r="H415" s="4"/>
    </row>
    <row r="416" s="1" customFormat="1" spans="1:8">
      <c r="A416" s="4" t="s">
        <v>205</v>
      </c>
      <c r="B416" s="4" t="s">
        <v>57</v>
      </c>
      <c r="C416" s="4" t="s">
        <v>60</v>
      </c>
      <c r="D416" s="4" t="s">
        <v>1035</v>
      </c>
      <c r="E416" s="4">
        <v>2912509</v>
      </c>
      <c r="F416" s="4" t="s">
        <v>1036</v>
      </c>
      <c r="G416" s="4" t="s">
        <v>232</v>
      </c>
      <c r="H416" s="4"/>
    </row>
    <row r="417" s="1" customFormat="1" spans="1:8">
      <c r="A417" s="4" t="s">
        <v>205</v>
      </c>
      <c r="B417" s="4" t="s">
        <v>57</v>
      </c>
      <c r="C417" s="4" t="s">
        <v>60</v>
      </c>
      <c r="D417" s="4" t="s">
        <v>1037</v>
      </c>
      <c r="E417" s="4">
        <v>2912608</v>
      </c>
      <c r="F417" s="4" t="s">
        <v>1038</v>
      </c>
      <c r="G417" s="4" t="s">
        <v>232</v>
      </c>
      <c r="H417" s="4"/>
    </row>
    <row r="418" s="1" customFormat="1" spans="1:8">
      <c r="A418" s="4" t="s">
        <v>205</v>
      </c>
      <c r="B418" s="4" t="s">
        <v>57</v>
      </c>
      <c r="C418" s="4" t="s">
        <v>60</v>
      </c>
      <c r="D418" s="4" t="s">
        <v>1039</v>
      </c>
      <c r="E418" s="4">
        <v>2912707</v>
      </c>
      <c r="F418" s="4" t="s">
        <v>1040</v>
      </c>
      <c r="G418" s="4" t="s">
        <v>232</v>
      </c>
      <c r="H418" s="4"/>
    </row>
    <row r="419" s="1" customFormat="1" spans="1:8">
      <c r="A419" s="4" t="s">
        <v>205</v>
      </c>
      <c r="B419" s="4" t="s">
        <v>57</v>
      </c>
      <c r="C419" s="4" t="s">
        <v>60</v>
      </c>
      <c r="D419" s="4" t="s">
        <v>1041</v>
      </c>
      <c r="E419" s="4">
        <v>2912905</v>
      </c>
      <c r="F419" s="4" t="s">
        <v>1042</v>
      </c>
      <c r="G419" s="4" t="s">
        <v>232</v>
      </c>
      <c r="H419" s="4"/>
    </row>
    <row r="420" s="1" customFormat="1" spans="1:8">
      <c r="A420" s="4" t="s">
        <v>205</v>
      </c>
      <c r="B420" s="4" t="s">
        <v>57</v>
      </c>
      <c r="C420" s="4" t="s">
        <v>60</v>
      </c>
      <c r="D420" s="4" t="s">
        <v>1043</v>
      </c>
      <c r="E420" s="4">
        <v>2913002</v>
      </c>
      <c r="F420" s="4" t="s">
        <v>1044</v>
      </c>
      <c r="G420" s="4" t="s">
        <v>232</v>
      </c>
      <c r="H420" s="4"/>
    </row>
    <row r="421" s="1" customFormat="1" spans="1:8">
      <c r="A421" s="4" t="s">
        <v>205</v>
      </c>
      <c r="B421" s="4" t="s">
        <v>57</v>
      </c>
      <c r="C421" s="4" t="s">
        <v>60</v>
      </c>
      <c r="D421" s="4" t="s">
        <v>1045</v>
      </c>
      <c r="E421" s="4">
        <v>2913101</v>
      </c>
      <c r="F421" s="4" t="s">
        <v>1046</v>
      </c>
      <c r="G421" s="4" t="s">
        <v>232</v>
      </c>
      <c r="H421" s="4"/>
    </row>
    <row r="422" s="1" customFormat="1" spans="1:8">
      <c r="A422" s="4" t="s">
        <v>205</v>
      </c>
      <c r="B422" s="4" t="s">
        <v>57</v>
      </c>
      <c r="C422" s="4" t="s">
        <v>60</v>
      </c>
      <c r="D422" s="4" t="s">
        <v>1047</v>
      </c>
      <c r="E422" s="4">
        <v>2913507</v>
      </c>
      <c r="F422" s="4" t="s">
        <v>1048</v>
      </c>
      <c r="G422" s="4" t="s">
        <v>232</v>
      </c>
      <c r="H422" s="4"/>
    </row>
    <row r="423" s="1" customFormat="1" spans="1:8">
      <c r="A423" s="4" t="s">
        <v>205</v>
      </c>
      <c r="B423" s="4" t="s">
        <v>57</v>
      </c>
      <c r="C423" s="4" t="s">
        <v>60</v>
      </c>
      <c r="D423" s="4" t="s">
        <v>1049</v>
      </c>
      <c r="E423" s="4">
        <v>2913606</v>
      </c>
      <c r="F423" s="4" t="s">
        <v>1050</v>
      </c>
      <c r="G423" s="4" t="s">
        <v>232</v>
      </c>
      <c r="H423" s="4"/>
    </row>
    <row r="424" s="1" customFormat="1" spans="1:8">
      <c r="A424" s="4" t="s">
        <v>205</v>
      </c>
      <c r="B424" s="4" t="s">
        <v>57</v>
      </c>
      <c r="C424" s="4" t="s">
        <v>60</v>
      </c>
      <c r="D424" s="4" t="s">
        <v>1051</v>
      </c>
      <c r="E424" s="4">
        <v>2913903</v>
      </c>
      <c r="F424" s="4" t="s">
        <v>1052</v>
      </c>
      <c r="G424" s="4" t="s">
        <v>232</v>
      </c>
      <c r="H424" s="4"/>
    </row>
    <row r="425" s="1" customFormat="1" spans="1:8">
      <c r="A425" s="4" t="s">
        <v>205</v>
      </c>
      <c r="B425" s="4" t="s">
        <v>57</v>
      </c>
      <c r="C425" s="4" t="s">
        <v>60</v>
      </c>
      <c r="D425" s="4" t="s">
        <v>1053</v>
      </c>
      <c r="E425" s="4">
        <v>2914307</v>
      </c>
      <c r="F425" s="4" t="s">
        <v>1054</v>
      </c>
      <c r="G425" s="4" t="s">
        <v>232</v>
      </c>
      <c r="H425" s="4"/>
    </row>
    <row r="426" s="1" customFormat="1" spans="1:8">
      <c r="A426" s="4" t="s">
        <v>205</v>
      </c>
      <c r="B426" s="4" t="s">
        <v>57</v>
      </c>
      <c r="C426" s="4" t="s">
        <v>60</v>
      </c>
      <c r="D426" s="4" t="s">
        <v>1055</v>
      </c>
      <c r="E426" s="4">
        <v>2914406</v>
      </c>
      <c r="F426" s="4" t="s">
        <v>1056</v>
      </c>
      <c r="G426" s="4" t="s">
        <v>232</v>
      </c>
      <c r="H426" s="4"/>
    </row>
    <row r="427" s="1" customFormat="1" spans="1:8">
      <c r="A427" s="4" t="s">
        <v>205</v>
      </c>
      <c r="B427" s="4" t="s">
        <v>57</v>
      </c>
      <c r="C427" s="4" t="s">
        <v>60</v>
      </c>
      <c r="D427" s="4" t="s">
        <v>1057</v>
      </c>
      <c r="E427" s="4">
        <v>2914604</v>
      </c>
      <c r="F427" s="4" t="s">
        <v>1058</v>
      </c>
      <c r="G427" s="4" t="s">
        <v>232</v>
      </c>
      <c r="H427" s="4"/>
    </row>
    <row r="428" s="1" customFormat="1" spans="1:8">
      <c r="A428" s="4" t="s">
        <v>205</v>
      </c>
      <c r="B428" s="4" t="s">
        <v>57</v>
      </c>
      <c r="C428" s="4" t="s">
        <v>60</v>
      </c>
      <c r="D428" s="4" t="s">
        <v>1059</v>
      </c>
      <c r="E428" s="4">
        <v>2914802</v>
      </c>
      <c r="F428" s="4" t="s">
        <v>1060</v>
      </c>
      <c r="G428" s="4" t="s">
        <v>232</v>
      </c>
      <c r="H428" s="4"/>
    </row>
    <row r="429" s="1" customFormat="1" spans="1:8">
      <c r="A429" s="4" t="s">
        <v>205</v>
      </c>
      <c r="B429" s="4" t="s">
        <v>57</v>
      </c>
      <c r="C429" s="4" t="s">
        <v>60</v>
      </c>
      <c r="D429" s="4" t="s">
        <v>1061</v>
      </c>
      <c r="E429" s="4">
        <v>2915007</v>
      </c>
      <c r="F429" s="4" t="s">
        <v>1062</v>
      </c>
      <c r="G429" s="4" t="s">
        <v>232</v>
      </c>
      <c r="H429" s="4"/>
    </row>
    <row r="430" s="1" customFormat="1" spans="1:8">
      <c r="A430" s="4" t="s">
        <v>205</v>
      </c>
      <c r="B430" s="4" t="s">
        <v>57</v>
      </c>
      <c r="C430" s="4" t="s">
        <v>60</v>
      </c>
      <c r="D430" s="4" t="s">
        <v>1063</v>
      </c>
      <c r="E430" s="4">
        <v>2915106</v>
      </c>
      <c r="F430" s="4" t="s">
        <v>1064</v>
      </c>
      <c r="G430" s="4" t="s">
        <v>232</v>
      </c>
      <c r="H430" s="4"/>
    </row>
    <row r="431" s="1" customFormat="1" spans="1:8">
      <c r="A431" s="4" t="s">
        <v>205</v>
      </c>
      <c r="B431" s="4" t="s">
        <v>57</v>
      </c>
      <c r="C431" s="4" t="s">
        <v>60</v>
      </c>
      <c r="D431" s="4" t="s">
        <v>1065</v>
      </c>
      <c r="E431" s="4">
        <v>2915205</v>
      </c>
      <c r="F431" s="4" t="s">
        <v>1066</v>
      </c>
      <c r="G431" s="4" t="s">
        <v>232</v>
      </c>
      <c r="H431" s="4"/>
    </row>
    <row r="432" s="1" customFormat="1" spans="1:8">
      <c r="A432" s="4" t="s">
        <v>205</v>
      </c>
      <c r="B432" s="4" t="s">
        <v>57</v>
      </c>
      <c r="C432" s="4" t="s">
        <v>60</v>
      </c>
      <c r="D432" s="4" t="s">
        <v>1067</v>
      </c>
      <c r="E432" s="4">
        <v>2915304</v>
      </c>
      <c r="F432" s="4" t="s">
        <v>1068</v>
      </c>
      <c r="G432" s="4" t="s">
        <v>232</v>
      </c>
      <c r="H432" s="4"/>
    </row>
    <row r="433" s="1" customFormat="1" spans="1:8">
      <c r="A433" s="4" t="s">
        <v>205</v>
      </c>
      <c r="B433" s="4" t="s">
        <v>57</v>
      </c>
      <c r="C433" s="4" t="s">
        <v>60</v>
      </c>
      <c r="D433" s="4" t="s">
        <v>1069</v>
      </c>
      <c r="E433" s="4">
        <v>2915353</v>
      </c>
      <c r="F433" s="4" t="s">
        <v>1070</v>
      </c>
      <c r="G433" s="4" t="s">
        <v>232</v>
      </c>
      <c r="H433" s="4"/>
    </row>
    <row r="434" s="1" customFormat="1" spans="1:8">
      <c r="A434" s="4" t="s">
        <v>205</v>
      </c>
      <c r="B434" s="4" t="s">
        <v>57</v>
      </c>
      <c r="C434" s="4" t="s">
        <v>60</v>
      </c>
      <c r="D434" s="4" t="s">
        <v>1071</v>
      </c>
      <c r="E434" s="4">
        <v>2915403</v>
      </c>
      <c r="F434" s="4" t="s">
        <v>1072</v>
      </c>
      <c r="G434" s="4" t="s">
        <v>232</v>
      </c>
      <c r="H434" s="4"/>
    </row>
    <row r="435" s="1" customFormat="1" spans="1:8">
      <c r="A435" s="4" t="s">
        <v>205</v>
      </c>
      <c r="B435" s="4" t="s">
        <v>57</v>
      </c>
      <c r="C435" s="4" t="s">
        <v>60</v>
      </c>
      <c r="D435" s="4" t="s">
        <v>1073</v>
      </c>
      <c r="E435" s="4">
        <v>2915502</v>
      </c>
      <c r="F435" s="4" t="s">
        <v>1074</v>
      </c>
      <c r="G435" s="4" t="s">
        <v>232</v>
      </c>
      <c r="H435" s="4"/>
    </row>
    <row r="436" s="1" customFormat="1" spans="1:8">
      <c r="A436" s="4" t="s">
        <v>205</v>
      </c>
      <c r="B436" s="4" t="s">
        <v>57</v>
      </c>
      <c r="C436" s="4" t="s">
        <v>60</v>
      </c>
      <c r="D436" s="4" t="s">
        <v>1075</v>
      </c>
      <c r="E436" s="4">
        <v>2915700</v>
      </c>
      <c r="F436" s="4" t="s">
        <v>1076</v>
      </c>
      <c r="G436" s="4" t="s">
        <v>232</v>
      </c>
      <c r="H436" s="4"/>
    </row>
    <row r="437" s="1" customFormat="1" spans="1:8">
      <c r="A437" s="4" t="s">
        <v>205</v>
      </c>
      <c r="B437" s="4" t="s">
        <v>57</v>
      </c>
      <c r="C437" s="4" t="s">
        <v>60</v>
      </c>
      <c r="D437" s="4" t="s">
        <v>1077</v>
      </c>
      <c r="E437" s="4">
        <v>2915809</v>
      </c>
      <c r="F437" s="4" t="s">
        <v>1078</v>
      </c>
      <c r="G437" s="4" t="s">
        <v>232</v>
      </c>
      <c r="H437" s="4"/>
    </row>
    <row r="438" s="1" customFormat="1" spans="1:8">
      <c r="A438" s="4" t="s">
        <v>205</v>
      </c>
      <c r="B438" s="4" t="s">
        <v>57</v>
      </c>
      <c r="C438" s="4" t="s">
        <v>60</v>
      </c>
      <c r="D438" s="4" t="s">
        <v>1079</v>
      </c>
      <c r="E438" s="4">
        <v>2916302</v>
      </c>
      <c r="F438" s="4" t="s">
        <v>1080</v>
      </c>
      <c r="G438" s="4" t="s">
        <v>232</v>
      </c>
      <c r="H438" s="4"/>
    </row>
    <row r="439" s="1" customFormat="1" spans="1:8">
      <c r="A439" s="4" t="s">
        <v>205</v>
      </c>
      <c r="B439" s="4" t="s">
        <v>57</v>
      </c>
      <c r="C439" s="4" t="s">
        <v>60</v>
      </c>
      <c r="D439" s="4" t="s">
        <v>1081</v>
      </c>
      <c r="E439" s="4">
        <v>2916401</v>
      </c>
      <c r="F439" s="4" t="s">
        <v>1082</v>
      </c>
      <c r="G439" s="4" t="s">
        <v>232</v>
      </c>
      <c r="H439" s="4"/>
    </row>
    <row r="440" s="1" customFormat="1" spans="1:8">
      <c r="A440" s="4" t="s">
        <v>205</v>
      </c>
      <c r="B440" s="4" t="s">
        <v>57</v>
      </c>
      <c r="C440" s="4" t="s">
        <v>60</v>
      </c>
      <c r="D440" s="4" t="s">
        <v>1083</v>
      </c>
      <c r="E440" s="4">
        <v>2916609</v>
      </c>
      <c r="F440" s="4" t="s">
        <v>1084</v>
      </c>
      <c r="G440" s="4" t="s">
        <v>232</v>
      </c>
      <c r="H440" s="4"/>
    </row>
    <row r="441" s="1" customFormat="1" spans="1:8">
      <c r="A441" s="4" t="s">
        <v>205</v>
      </c>
      <c r="B441" s="4" t="s">
        <v>57</v>
      </c>
      <c r="C441" s="4" t="s">
        <v>60</v>
      </c>
      <c r="D441" s="4" t="s">
        <v>1085</v>
      </c>
      <c r="E441" s="4">
        <v>2916203</v>
      </c>
      <c r="F441" s="4" t="s">
        <v>1086</v>
      </c>
      <c r="G441" s="4" t="s">
        <v>232</v>
      </c>
      <c r="H441" s="4"/>
    </row>
    <row r="442" s="1" customFormat="1" spans="1:8">
      <c r="A442" s="4" t="s">
        <v>205</v>
      </c>
      <c r="B442" s="4" t="s">
        <v>57</v>
      </c>
      <c r="C442" s="4" t="s">
        <v>60</v>
      </c>
      <c r="D442" s="4" t="s">
        <v>1087</v>
      </c>
      <c r="E442" s="4">
        <v>2916708</v>
      </c>
      <c r="F442" s="4" t="s">
        <v>1088</v>
      </c>
      <c r="G442" s="4" t="s">
        <v>232</v>
      </c>
      <c r="H442" s="4"/>
    </row>
    <row r="443" s="1" customFormat="1" spans="1:8">
      <c r="A443" s="4" t="s">
        <v>205</v>
      </c>
      <c r="B443" s="4" t="s">
        <v>57</v>
      </c>
      <c r="C443" s="4" t="s">
        <v>60</v>
      </c>
      <c r="D443" s="4" t="s">
        <v>1089</v>
      </c>
      <c r="E443" s="4">
        <v>2916807</v>
      </c>
      <c r="F443" s="4" t="s">
        <v>1090</v>
      </c>
      <c r="G443" s="4" t="s">
        <v>232</v>
      </c>
      <c r="H443" s="4"/>
    </row>
    <row r="444" s="1" customFormat="1" spans="1:8">
      <c r="A444" s="4" t="s">
        <v>205</v>
      </c>
      <c r="B444" s="4" t="s">
        <v>57</v>
      </c>
      <c r="C444" s="4" t="s">
        <v>60</v>
      </c>
      <c r="D444" s="4" t="s">
        <v>1091</v>
      </c>
      <c r="E444" s="4">
        <v>2916906</v>
      </c>
      <c r="F444" s="4" t="s">
        <v>1092</v>
      </c>
      <c r="G444" s="4" t="s">
        <v>232</v>
      </c>
      <c r="H444" s="4"/>
    </row>
    <row r="445" s="1" customFormat="1" spans="1:8">
      <c r="A445" s="4" t="s">
        <v>205</v>
      </c>
      <c r="B445" s="4" t="s">
        <v>57</v>
      </c>
      <c r="C445" s="4" t="s">
        <v>60</v>
      </c>
      <c r="D445" s="4" t="s">
        <v>1093</v>
      </c>
      <c r="E445" s="4">
        <v>2917003</v>
      </c>
      <c r="F445" s="4" t="s">
        <v>1094</v>
      </c>
      <c r="G445" s="4" t="s">
        <v>232</v>
      </c>
      <c r="H445" s="4"/>
    </row>
    <row r="446" s="1" customFormat="1" spans="1:8">
      <c r="A446" s="4" t="s">
        <v>205</v>
      </c>
      <c r="B446" s="4" t="s">
        <v>57</v>
      </c>
      <c r="C446" s="4" t="s">
        <v>60</v>
      </c>
      <c r="D446" s="4" t="s">
        <v>1095</v>
      </c>
      <c r="E446" s="4">
        <v>2917102</v>
      </c>
      <c r="F446" s="4" t="s">
        <v>1096</v>
      </c>
      <c r="G446" s="4" t="s">
        <v>232</v>
      </c>
      <c r="H446" s="4"/>
    </row>
    <row r="447" s="1" customFormat="1" spans="1:8">
      <c r="A447" s="4" t="s">
        <v>205</v>
      </c>
      <c r="B447" s="4" t="s">
        <v>57</v>
      </c>
      <c r="C447" s="4" t="s">
        <v>60</v>
      </c>
      <c r="D447" s="4" t="s">
        <v>1097</v>
      </c>
      <c r="E447" s="4">
        <v>2917201</v>
      </c>
      <c r="F447" s="4" t="s">
        <v>1098</v>
      </c>
      <c r="G447" s="4" t="s">
        <v>232</v>
      </c>
      <c r="H447" s="4"/>
    </row>
    <row r="448" s="1" customFormat="1" spans="1:8">
      <c r="A448" s="4" t="s">
        <v>205</v>
      </c>
      <c r="B448" s="4" t="s">
        <v>57</v>
      </c>
      <c r="C448" s="4" t="s">
        <v>60</v>
      </c>
      <c r="D448" s="4" t="s">
        <v>1099</v>
      </c>
      <c r="E448" s="4">
        <v>2917508</v>
      </c>
      <c r="F448" s="4" t="s">
        <v>1100</v>
      </c>
      <c r="G448" s="4" t="s">
        <v>232</v>
      </c>
      <c r="H448" s="4"/>
    </row>
    <row r="449" s="1" customFormat="1" spans="1:8">
      <c r="A449" s="4" t="s">
        <v>205</v>
      </c>
      <c r="B449" s="4" t="s">
        <v>57</v>
      </c>
      <c r="C449" s="4" t="s">
        <v>60</v>
      </c>
      <c r="D449" s="4" t="s">
        <v>1101</v>
      </c>
      <c r="E449" s="4">
        <v>2917607</v>
      </c>
      <c r="F449" s="4" t="s">
        <v>1102</v>
      </c>
      <c r="G449" s="4" t="s">
        <v>232</v>
      </c>
      <c r="H449" s="4"/>
    </row>
    <row r="450" s="1" customFormat="1" spans="1:8">
      <c r="A450" s="4" t="s">
        <v>205</v>
      </c>
      <c r="B450" s="4" t="s">
        <v>57</v>
      </c>
      <c r="C450" s="4" t="s">
        <v>60</v>
      </c>
      <c r="D450" s="4" t="s">
        <v>1103</v>
      </c>
      <c r="E450" s="4">
        <v>2917706</v>
      </c>
      <c r="F450" s="4" t="s">
        <v>1104</v>
      </c>
      <c r="G450" s="4" t="s">
        <v>232</v>
      </c>
      <c r="H450" s="4"/>
    </row>
    <row r="451" s="1" customFormat="1" spans="1:8">
      <c r="A451" s="4" t="s">
        <v>205</v>
      </c>
      <c r="B451" s="4" t="s">
        <v>57</v>
      </c>
      <c r="C451" s="4" t="s">
        <v>60</v>
      </c>
      <c r="D451" s="4" t="s">
        <v>1105</v>
      </c>
      <c r="E451" s="4">
        <v>2918001</v>
      </c>
      <c r="F451" s="4" t="s">
        <v>1106</v>
      </c>
      <c r="G451" s="4" t="s">
        <v>232</v>
      </c>
      <c r="H451" s="4"/>
    </row>
    <row r="452" s="1" customFormat="1" spans="1:8">
      <c r="A452" s="4" t="s">
        <v>205</v>
      </c>
      <c r="B452" s="4" t="s">
        <v>57</v>
      </c>
      <c r="C452" s="4" t="s">
        <v>60</v>
      </c>
      <c r="D452" s="4" t="s">
        <v>1107</v>
      </c>
      <c r="E452" s="4">
        <v>2918100</v>
      </c>
      <c r="F452" s="4" t="s">
        <v>1108</v>
      </c>
      <c r="G452" s="4" t="s">
        <v>232</v>
      </c>
      <c r="H452" s="4"/>
    </row>
    <row r="453" s="1" customFormat="1" spans="1:8">
      <c r="A453" s="4" t="s">
        <v>205</v>
      </c>
      <c r="B453" s="4" t="s">
        <v>57</v>
      </c>
      <c r="C453" s="4" t="s">
        <v>60</v>
      </c>
      <c r="D453" s="4" t="s">
        <v>1109</v>
      </c>
      <c r="E453" s="4">
        <v>2918308</v>
      </c>
      <c r="F453" s="4" t="s">
        <v>1110</v>
      </c>
      <c r="G453" s="4" t="s">
        <v>232</v>
      </c>
      <c r="H453" s="4"/>
    </row>
    <row r="454" s="1" customFormat="1" spans="1:8">
      <c r="A454" s="4" t="s">
        <v>205</v>
      </c>
      <c r="B454" s="4" t="s">
        <v>57</v>
      </c>
      <c r="C454" s="4" t="s">
        <v>60</v>
      </c>
      <c r="D454" s="4" t="s">
        <v>1111</v>
      </c>
      <c r="E454" s="4">
        <v>2918357</v>
      </c>
      <c r="F454" s="4" t="s">
        <v>1112</v>
      </c>
      <c r="G454" s="4" t="s">
        <v>232</v>
      </c>
      <c r="H454" s="4"/>
    </row>
    <row r="455" s="1" customFormat="1" spans="1:8">
      <c r="A455" s="4" t="s">
        <v>205</v>
      </c>
      <c r="B455" s="4" t="s">
        <v>57</v>
      </c>
      <c r="C455" s="4" t="s">
        <v>60</v>
      </c>
      <c r="D455" s="4" t="s">
        <v>1113</v>
      </c>
      <c r="E455" s="4">
        <v>2918407</v>
      </c>
      <c r="F455" s="4" t="s">
        <v>1114</v>
      </c>
      <c r="G455" s="4" t="s">
        <v>232</v>
      </c>
      <c r="H455" s="4"/>
    </row>
    <row r="456" s="1" customFormat="1" spans="1:8">
      <c r="A456" s="4" t="s">
        <v>205</v>
      </c>
      <c r="B456" s="4" t="s">
        <v>57</v>
      </c>
      <c r="C456" s="4" t="s">
        <v>60</v>
      </c>
      <c r="D456" s="4" t="s">
        <v>1115</v>
      </c>
      <c r="E456" s="4">
        <v>2918506</v>
      </c>
      <c r="F456" s="4" t="s">
        <v>1116</v>
      </c>
      <c r="G456" s="4" t="s">
        <v>232</v>
      </c>
      <c r="H456" s="4"/>
    </row>
    <row r="457" s="1" customFormat="1" spans="1:8">
      <c r="A457" s="4" t="s">
        <v>205</v>
      </c>
      <c r="B457" s="4" t="s">
        <v>57</v>
      </c>
      <c r="C457" s="4" t="s">
        <v>60</v>
      </c>
      <c r="D457" s="4" t="s">
        <v>1117</v>
      </c>
      <c r="E457" s="4">
        <v>2918555</v>
      </c>
      <c r="F457" s="4" t="s">
        <v>1118</v>
      </c>
      <c r="G457" s="4" t="s">
        <v>232</v>
      </c>
      <c r="H457" s="4"/>
    </row>
    <row r="458" s="1" customFormat="1" spans="1:8">
      <c r="A458" s="4" t="s">
        <v>205</v>
      </c>
      <c r="B458" s="4" t="s">
        <v>57</v>
      </c>
      <c r="C458" s="4" t="s">
        <v>60</v>
      </c>
      <c r="D458" s="4" t="s">
        <v>1119</v>
      </c>
      <c r="E458" s="4">
        <v>2918605</v>
      </c>
      <c r="F458" s="4" t="s">
        <v>1120</v>
      </c>
      <c r="G458" s="4" t="s">
        <v>232</v>
      </c>
      <c r="H458" s="4"/>
    </row>
    <row r="459" s="1" customFormat="1" spans="1:8">
      <c r="A459" s="4" t="s">
        <v>205</v>
      </c>
      <c r="B459" s="4" t="s">
        <v>57</v>
      </c>
      <c r="C459" s="4" t="s">
        <v>60</v>
      </c>
      <c r="D459" s="4" t="s">
        <v>1121</v>
      </c>
      <c r="E459" s="4">
        <v>2918704</v>
      </c>
      <c r="F459" s="4" t="s">
        <v>1122</v>
      </c>
      <c r="G459" s="4" t="s">
        <v>232</v>
      </c>
      <c r="H459" s="4"/>
    </row>
    <row r="460" s="1" customFormat="1" spans="1:8">
      <c r="A460" s="4" t="s">
        <v>205</v>
      </c>
      <c r="B460" s="4" t="s">
        <v>57</v>
      </c>
      <c r="C460" s="4" t="s">
        <v>60</v>
      </c>
      <c r="D460" s="4" t="s">
        <v>1123</v>
      </c>
      <c r="E460" s="4">
        <v>2918753</v>
      </c>
      <c r="F460" s="4" t="s">
        <v>1124</v>
      </c>
      <c r="G460" s="4" t="s">
        <v>232</v>
      </c>
      <c r="H460" s="4"/>
    </row>
    <row r="461" s="1" customFormat="1" spans="1:8">
      <c r="A461" s="4" t="s">
        <v>205</v>
      </c>
      <c r="B461" s="4" t="s">
        <v>57</v>
      </c>
      <c r="C461" s="4" t="s">
        <v>60</v>
      </c>
      <c r="D461" s="4" t="s">
        <v>1125</v>
      </c>
      <c r="E461" s="4">
        <v>2919009</v>
      </c>
      <c r="F461" s="4" t="s">
        <v>1126</v>
      </c>
      <c r="G461" s="4" t="s">
        <v>232</v>
      </c>
      <c r="H461" s="4"/>
    </row>
    <row r="462" s="1" customFormat="1" spans="1:8">
      <c r="A462" s="4" t="s">
        <v>205</v>
      </c>
      <c r="B462" s="4" t="s">
        <v>57</v>
      </c>
      <c r="C462" s="4" t="s">
        <v>60</v>
      </c>
      <c r="D462" s="4" t="s">
        <v>1127</v>
      </c>
      <c r="E462" s="4">
        <v>2919058</v>
      </c>
      <c r="F462" s="4" t="s">
        <v>1128</v>
      </c>
      <c r="G462" s="4" t="s">
        <v>232</v>
      </c>
      <c r="H462" s="4"/>
    </row>
    <row r="463" s="1" customFormat="1" spans="1:8">
      <c r="A463" s="4" t="s">
        <v>205</v>
      </c>
      <c r="B463" s="4" t="s">
        <v>57</v>
      </c>
      <c r="C463" s="4" t="s">
        <v>60</v>
      </c>
      <c r="D463" s="4" t="s">
        <v>1129</v>
      </c>
      <c r="E463" s="4">
        <v>2919157</v>
      </c>
      <c r="F463" s="4" t="s">
        <v>1130</v>
      </c>
      <c r="G463" s="4" t="s">
        <v>232</v>
      </c>
      <c r="H463" s="4"/>
    </row>
    <row r="464" s="1" customFormat="1" spans="1:8">
      <c r="A464" s="4" t="s">
        <v>205</v>
      </c>
      <c r="B464" s="4" t="s">
        <v>57</v>
      </c>
      <c r="C464" s="4" t="s">
        <v>60</v>
      </c>
      <c r="D464" s="4" t="s">
        <v>1131</v>
      </c>
      <c r="E464" s="4">
        <v>2919306</v>
      </c>
      <c r="F464" s="4" t="s">
        <v>1132</v>
      </c>
      <c r="G464" s="4" t="s">
        <v>232</v>
      </c>
      <c r="H464" s="4"/>
    </row>
    <row r="465" s="1" customFormat="1" spans="1:8">
      <c r="A465" s="4" t="s">
        <v>205</v>
      </c>
      <c r="B465" s="4" t="s">
        <v>57</v>
      </c>
      <c r="C465" s="4" t="s">
        <v>60</v>
      </c>
      <c r="D465" s="4" t="s">
        <v>1133</v>
      </c>
      <c r="E465" s="4">
        <v>2919504</v>
      </c>
      <c r="F465" s="4" t="s">
        <v>1134</v>
      </c>
      <c r="G465" s="4" t="s">
        <v>232</v>
      </c>
      <c r="H465" s="4"/>
    </row>
    <row r="466" s="1" customFormat="1" spans="1:8">
      <c r="A466" s="4" t="s">
        <v>205</v>
      </c>
      <c r="B466" s="4" t="s">
        <v>57</v>
      </c>
      <c r="C466" s="4" t="s">
        <v>60</v>
      </c>
      <c r="D466" s="4" t="s">
        <v>1135</v>
      </c>
      <c r="E466" s="4">
        <v>2919702</v>
      </c>
      <c r="F466" s="4" t="s">
        <v>1136</v>
      </c>
      <c r="G466" s="4" t="s">
        <v>232</v>
      </c>
      <c r="H466" s="4"/>
    </row>
    <row r="467" s="1" customFormat="1" spans="1:8">
      <c r="A467" s="4" t="s">
        <v>205</v>
      </c>
      <c r="B467" s="4" t="s">
        <v>57</v>
      </c>
      <c r="C467" s="4" t="s">
        <v>60</v>
      </c>
      <c r="D467" s="4" t="s">
        <v>1137</v>
      </c>
      <c r="E467" s="4">
        <v>2919801</v>
      </c>
      <c r="F467" s="4" t="s">
        <v>1138</v>
      </c>
      <c r="G467" s="4" t="s">
        <v>232</v>
      </c>
      <c r="H467" s="4"/>
    </row>
    <row r="468" s="1" customFormat="1" spans="1:8">
      <c r="A468" s="4" t="s">
        <v>205</v>
      </c>
      <c r="B468" s="4" t="s">
        <v>57</v>
      </c>
      <c r="C468" s="4" t="s">
        <v>60</v>
      </c>
      <c r="D468" s="4" t="s">
        <v>1139</v>
      </c>
      <c r="E468" s="4">
        <v>2919900</v>
      </c>
      <c r="F468" s="4" t="s">
        <v>1140</v>
      </c>
      <c r="G468" s="4" t="s">
        <v>232</v>
      </c>
      <c r="H468" s="4"/>
    </row>
    <row r="469" s="1" customFormat="1" spans="1:8">
      <c r="A469" s="4" t="s">
        <v>205</v>
      </c>
      <c r="B469" s="4" t="s">
        <v>57</v>
      </c>
      <c r="C469" s="4" t="s">
        <v>60</v>
      </c>
      <c r="D469" s="4" t="s">
        <v>1141</v>
      </c>
      <c r="E469" s="4">
        <v>2919959</v>
      </c>
      <c r="F469" s="4" t="s">
        <v>1142</v>
      </c>
      <c r="G469" s="4" t="s">
        <v>232</v>
      </c>
      <c r="H469" s="4"/>
    </row>
    <row r="470" s="1" customFormat="1" spans="1:8">
      <c r="A470" s="4" t="s">
        <v>205</v>
      </c>
      <c r="B470" s="4" t="s">
        <v>57</v>
      </c>
      <c r="C470" s="4" t="s">
        <v>60</v>
      </c>
      <c r="D470" s="4" t="s">
        <v>1143</v>
      </c>
      <c r="E470" s="4">
        <v>2920007</v>
      </c>
      <c r="F470" s="4" t="s">
        <v>1144</v>
      </c>
      <c r="G470" s="4" t="s">
        <v>232</v>
      </c>
      <c r="H470" s="4"/>
    </row>
    <row r="471" s="1" customFormat="1" spans="1:8">
      <c r="A471" s="4" t="s">
        <v>205</v>
      </c>
      <c r="B471" s="4" t="s">
        <v>57</v>
      </c>
      <c r="C471" s="4" t="s">
        <v>60</v>
      </c>
      <c r="D471" s="4" t="s">
        <v>1145</v>
      </c>
      <c r="E471" s="4">
        <v>2920304</v>
      </c>
      <c r="F471" s="4" t="s">
        <v>1146</v>
      </c>
      <c r="G471" s="4" t="s">
        <v>232</v>
      </c>
      <c r="H471" s="4"/>
    </row>
    <row r="472" s="1" customFormat="1" spans="1:8">
      <c r="A472" s="4" t="s">
        <v>205</v>
      </c>
      <c r="B472" s="4" t="s">
        <v>57</v>
      </c>
      <c r="C472" s="4" t="s">
        <v>60</v>
      </c>
      <c r="D472" s="4" t="s">
        <v>1147</v>
      </c>
      <c r="E472" s="4">
        <v>2920403</v>
      </c>
      <c r="F472" s="4" t="s">
        <v>1148</v>
      </c>
      <c r="G472" s="4" t="s">
        <v>232</v>
      </c>
      <c r="H472" s="4"/>
    </row>
    <row r="473" s="1" customFormat="1" spans="1:8">
      <c r="A473" s="4" t="s">
        <v>205</v>
      </c>
      <c r="B473" s="4" t="s">
        <v>57</v>
      </c>
      <c r="C473" s="4" t="s">
        <v>60</v>
      </c>
      <c r="D473" s="4" t="s">
        <v>1149</v>
      </c>
      <c r="E473" s="4">
        <v>2920502</v>
      </c>
      <c r="F473" s="4" t="s">
        <v>1150</v>
      </c>
      <c r="G473" s="4" t="s">
        <v>232</v>
      </c>
      <c r="H473" s="4"/>
    </row>
    <row r="474" s="1" customFormat="1" spans="1:8">
      <c r="A474" s="4" t="s">
        <v>205</v>
      </c>
      <c r="B474" s="4" t="s">
        <v>57</v>
      </c>
      <c r="C474" s="4" t="s">
        <v>60</v>
      </c>
      <c r="D474" s="4" t="s">
        <v>1151</v>
      </c>
      <c r="E474" s="4">
        <v>2920809</v>
      </c>
      <c r="F474" s="4" t="s">
        <v>1152</v>
      </c>
      <c r="G474" s="4" t="s">
        <v>232</v>
      </c>
      <c r="H474" s="4"/>
    </row>
    <row r="475" s="1" customFormat="1" spans="1:8">
      <c r="A475" s="4" t="s">
        <v>205</v>
      </c>
      <c r="B475" s="4" t="s">
        <v>57</v>
      </c>
      <c r="C475" s="4" t="s">
        <v>60</v>
      </c>
      <c r="D475" s="4" t="s">
        <v>1153</v>
      </c>
      <c r="E475" s="4">
        <v>2920908</v>
      </c>
      <c r="F475" s="4" t="s">
        <v>1154</v>
      </c>
      <c r="G475" s="4" t="s">
        <v>232</v>
      </c>
      <c r="H475" s="4"/>
    </row>
    <row r="476" s="1" customFormat="1" spans="1:8">
      <c r="A476" s="4" t="s">
        <v>205</v>
      </c>
      <c r="B476" s="4" t="s">
        <v>57</v>
      </c>
      <c r="C476" s="4" t="s">
        <v>60</v>
      </c>
      <c r="D476" s="4" t="s">
        <v>1155</v>
      </c>
      <c r="E476" s="4">
        <v>2921203</v>
      </c>
      <c r="F476" s="4" t="s">
        <v>1156</v>
      </c>
      <c r="G476" s="4" t="s">
        <v>232</v>
      </c>
      <c r="H476" s="4"/>
    </row>
    <row r="477" s="1" customFormat="1" spans="1:8">
      <c r="A477" s="4" t="s">
        <v>205</v>
      </c>
      <c r="B477" s="4" t="s">
        <v>57</v>
      </c>
      <c r="C477" s="4" t="s">
        <v>60</v>
      </c>
      <c r="D477" s="4" t="s">
        <v>1157</v>
      </c>
      <c r="E477" s="4">
        <v>2921401</v>
      </c>
      <c r="F477" s="4" t="s">
        <v>1158</v>
      </c>
      <c r="G477" s="4" t="s">
        <v>232</v>
      </c>
      <c r="H477" s="4"/>
    </row>
    <row r="478" s="1" customFormat="1" spans="1:8">
      <c r="A478" s="4" t="s">
        <v>205</v>
      </c>
      <c r="B478" s="4" t="s">
        <v>57</v>
      </c>
      <c r="C478" s="4" t="s">
        <v>60</v>
      </c>
      <c r="D478" s="4" t="s">
        <v>1159</v>
      </c>
      <c r="E478" s="4">
        <v>2921450</v>
      </c>
      <c r="F478" s="4" t="s">
        <v>1160</v>
      </c>
      <c r="G478" s="4" t="s">
        <v>232</v>
      </c>
      <c r="H478" s="4"/>
    </row>
    <row r="479" s="1" customFormat="1" spans="1:8">
      <c r="A479" s="4" t="s">
        <v>205</v>
      </c>
      <c r="B479" s="4" t="s">
        <v>57</v>
      </c>
      <c r="C479" s="4" t="s">
        <v>60</v>
      </c>
      <c r="D479" s="4" t="s">
        <v>1161</v>
      </c>
      <c r="E479" s="4">
        <v>2921500</v>
      </c>
      <c r="F479" s="4" t="s">
        <v>1162</v>
      </c>
      <c r="G479" s="4" t="s">
        <v>232</v>
      </c>
      <c r="H479" s="4"/>
    </row>
    <row r="480" s="1" customFormat="1" spans="1:8">
      <c r="A480" s="4" t="s">
        <v>205</v>
      </c>
      <c r="B480" s="4" t="s">
        <v>57</v>
      </c>
      <c r="C480" s="4" t="s">
        <v>60</v>
      </c>
      <c r="D480" s="4" t="s">
        <v>1163</v>
      </c>
      <c r="E480" s="4">
        <v>2921708</v>
      </c>
      <c r="F480" s="4" t="s">
        <v>1164</v>
      </c>
      <c r="G480" s="4" t="s">
        <v>232</v>
      </c>
      <c r="H480" s="4"/>
    </row>
    <row r="481" s="1" customFormat="1" spans="1:8">
      <c r="A481" s="4" t="s">
        <v>205</v>
      </c>
      <c r="B481" s="4" t="s">
        <v>57</v>
      </c>
      <c r="C481" s="4" t="s">
        <v>60</v>
      </c>
      <c r="D481" s="4" t="s">
        <v>1165</v>
      </c>
      <c r="E481" s="4">
        <v>2921906</v>
      </c>
      <c r="F481" s="4" t="s">
        <v>1166</v>
      </c>
      <c r="G481" s="4" t="s">
        <v>232</v>
      </c>
      <c r="H481" s="4"/>
    </row>
    <row r="482" s="1" customFormat="1" spans="1:8">
      <c r="A482" s="4" t="s">
        <v>205</v>
      </c>
      <c r="B482" s="4" t="s">
        <v>57</v>
      </c>
      <c r="C482" s="4" t="s">
        <v>60</v>
      </c>
      <c r="D482" s="4" t="s">
        <v>1167</v>
      </c>
      <c r="E482" s="4">
        <v>2922052</v>
      </c>
      <c r="F482" s="4" t="s">
        <v>1168</v>
      </c>
      <c r="G482" s="4" t="s">
        <v>232</v>
      </c>
      <c r="H482" s="4"/>
    </row>
    <row r="483" s="1" customFormat="1" spans="1:8">
      <c r="A483" s="4" t="s">
        <v>205</v>
      </c>
      <c r="B483" s="4" t="s">
        <v>57</v>
      </c>
      <c r="C483" s="4" t="s">
        <v>60</v>
      </c>
      <c r="D483" s="4" t="s">
        <v>1169</v>
      </c>
      <c r="E483" s="4">
        <v>2922656</v>
      </c>
      <c r="F483" s="4" t="s">
        <v>1170</v>
      </c>
      <c r="G483" s="4" t="s">
        <v>232</v>
      </c>
      <c r="H483" s="4"/>
    </row>
    <row r="484" s="1" customFormat="1" spans="1:8">
      <c r="A484" s="4" t="s">
        <v>205</v>
      </c>
      <c r="B484" s="4" t="s">
        <v>57</v>
      </c>
      <c r="C484" s="4" t="s">
        <v>60</v>
      </c>
      <c r="D484" s="4" t="s">
        <v>1171</v>
      </c>
      <c r="E484" s="4">
        <v>2922706</v>
      </c>
      <c r="F484" s="4" t="s">
        <v>1172</v>
      </c>
      <c r="G484" s="4" t="s">
        <v>232</v>
      </c>
      <c r="H484" s="4"/>
    </row>
    <row r="485" s="1" customFormat="1" spans="1:8">
      <c r="A485" s="4" t="s">
        <v>205</v>
      </c>
      <c r="B485" s="4" t="s">
        <v>57</v>
      </c>
      <c r="C485" s="4" t="s">
        <v>60</v>
      </c>
      <c r="D485" s="4" t="s">
        <v>1173</v>
      </c>
      <c r="E485" s="4">
        <v>2922854</v>
      </c>
      <c r="F485" s="4" t="s">
        <v>1174</v>
      </c>
      <c r="G485" s="4" t="s">
        <v>232</v>
      </c>
      <c r="H485" s="4"/>
    </row>
    <row r="486" s="1" customFormat="1" spans="1:8">
      <c r="A486" s="4" t="s">
        <v>205</v>
      </c>
      <c r="B486" s="4" t="s">
        <v>57</v>
      </c>
      <c r="C486" s="4" t="s">
        <v>60</v>
      </c>
      <c r="D486" s="4" t="s">
        <v>1175</v>
      </c>
      <c r="E486" s="4">
        <v>2923035</v>
      </c>
      <c r="F486" s="4" t="s">
        <v>1176</v>
      </c>
      <c r="G486" s="4" t="s">
        <v>232</v>
      </c>
      <c r="H486" s="4"/>
    </row>
    <row r="487" s="1" customFormat="1" spans="1:8">
      <c r="A487" s="4" t="s">
        <v>205</v>
      </c>
      <c r="B487" s="4" t="s">
        <v>57</v>
      </c>
      <c r="C487" s="4" t="s">
        <v>60</v>
      </c>
      <c r="D487" s="4" t="s">
        <v>1177</v>
      </c>
      <c r="E487" s="4">
        <v>2923050</v>
      </c>
      <c r="F487" s="4" t="s">
        <v>1178</v>
      </c>
      <c r="G487" s="4" t="s">
        <v>232</v>
      </c>
      <c r="H487" s="4"/>
    </row>
    <row r="488" s="1" customFormat="1" spans="1:8">
      <c r="A488" s="4" t="s">
        <v>205</v>
      </c>
      <c r="B488" s="4" t="s">
        <v>57</v>
      </c>
      <c r="C488" s="4" t="s">
        <v>60</v>
      </c>
      <c r="D488" s="4" t="s">
        <v>1179</v>
      </c>
      <c r="E488" s="4">
        <v>2923209</v>
      </c>
      <c r="F488" s="4" t="s">
        <v>1180</v>
      </c>
      <c r="G488" s="4" t="s">
        <v>232</v>
      </c>
      <c r="H488" s="4"/>
    </row>
    <row r="489" s="1" customFormat="1" spans="1:8">
      <c r="A489" s="4" t="s">
        <v>205</v>
      </c>
      <c r="B489" s="4" t="s">
        <v>57</v>
      </c>
      <c r="C489" s="4" t="s">
        <v>60</v>
      </c>
      <c r="D489" s="4" t="s">
        <v>1181</v>
      </c>
      <c r="E489" s="4">
        <v>2923357</v>
      </c>
      <c r="F489" s="4" t="s">
        <v>1182</v>
      </c>
      <c r="G489" s="4" t="s">
        <v>232</v>
      </c>
      <c r="H489" s="4"/>
    </row>
    <row r="490" s="1" customFormat="1" spans="1:8">
      <c r="A490" s="4" t="s">
        <v>205</v>
      </c>
      <c r="B490" s="4" t="s">
        <v>57</v>
      </c>
      <c r="C490" s="4" t="s">
        <v>60</v>
      </c>
      <c r="D490" s="4" t="s">
        <v>1183</v>
      </c>
      <c r="E490" s="4">
        <v>2923506</v>
      </c>
      <c r="F490" s="4" t="s">
        <v>1184</v>
      </c>
      <c r="G490" s="4" t="s">
        <v>232</v>
      </c>
      <c r="H490" s="4"/>
    </row>
    <row r="491" s="1" customFormat="1" spans="1:8">
      <c r="A491" s="4" t="s">
        <v>205</v>
      </c>
      <c r="B491" s="4" t="s">
        <v>57</v>
      </c>
      <c r="C491" s="4" t="s">
        <v>60</v>
      </c>
      <c r="D491" s="4" t="s">
        <v>1185</v>
      </c>
      <c r="E491" s="4">
        <v>2923803</v>
      </c>
      <c r="F491" s="4" t="s">
        <v>1186</v>
      </c>
      <c r="G491" s="4" t="s">
        <v>232</v>
      </c>
      <c r="H491" s="4"/>
    </row>
    <row r="492" s="1" customFormat="1" spans="1:8">
      <c r="A492" s="4" t="s">
        <v>205</v>
      </c>
      <c r="B492" s="4" t="s">
        <v>57</v>
      </c>
      <c r="C492" s="4" t="s">
        <v>60</v>
      </c>
      <c r="D492" s="4" t="s">
        <v>1187</v>
      </c>
      <c r="E492" s="4">
        <v>2923902</v>
      </c>
      <c r="F492" s="4" t="s">
        <v>1188</v>
      </c>
      <c r="G492" s="4" t="s">
        <v>232</v>
      </c>
      <c r="H492" s="4"/>
    </row>
    <row r="493" s="1" customFormat="1" spans="1:8">
      <c r="A493" s="4" t="s">
        <v>205</v>
      </c>
      <c r="B493" s="4" t="s">
        <v>57</v>
      </c>
      <c r="C493" s="4" t="s">
        <v>60</v>
      </c>
      <c r="D493" s="4" t="s">
        <v>1189</v>
      </c>
      <c r="E493" s="4">
        <v>2924009</v>
      </c>
      <c r="F493" s="4" t="s">
        <v>1190</v>
      </c>
      <c r="G493" s="4" t="s">
        <v>232</v>
      </c>
      <c r="H493" s="4"/>
    </row>
    <row r="494" s="1" customFormat="1" spans="1:8">
      <c r="A494" s="4" t="s">
        <v>205</v>
      </c>
      <c r="B494" s="4" t="s">
        <v>57</v>
      </c>
      <c r="C494" s="4" t="s">
        <v>60</v>
      </c>
      <c r="D494" s="4" t="s">
        <v>1191</v>
      </c>
      <c r="E494" s="4">
        <v>2924207</v>
      </c>
      <c r="F494" s="4" t="s">
        <v>1192</v>
      </c>
      <c r="G494" s="4" t="s">
        <v>232</v>
      </c>
      <c r="H494" s="4"/>
    </row>
    <row r="495" s="1" customFormat="1" spans="1:8">
      <c r="A495" s="4" t="s">
        <v>205</v>
      </c>
      <c r="B495" s="4" t="s">
        <v>57</v>
      </c>
      <c r="C495" s="4" t="s">
        <v>60</v>
      </c>
      <c r="D495" s="4" t="s">
        <v>1193</v>
      </c>
      <c r="E495" s="4">
        <v>2924306</v>
      </c>
      <c r="F495" s="4" t="s">
        <v>1194</v>
      </c>
      <c r="G495" s="4" t="s">
        <v>232</v>
      </c>
      <c r="H495" s="4"/>
    </row>
    <row r="496" s="1" customFormat="1" spans="1:8">
      <c r="A496" s="4" t="s">
        <v>205</v>
      </c>
      <c r="B496" s="4" t="s">
        <v>57</v>
      </c>
      <c r="C496" s="4" t="s">
        <v>60</v>
      </c>
      <c r="D496" s="4" t="s">
        <v>1195</v>
      </c>
      <c r="E496" s="4">
        <v>2924603</v>
      </c>
      <c r="F496" s="4" t="s">
        <v>1196</v>
      </c>
      <c r="G496" s="4" t="s">
        <v>232</v>
      </c>
      <c r="H496" s="4"/>
    </row>
    <row r="497" s="1" customFormat="1" spans="1:8">
      <c r="A497" s="4" t="s">
        <v>205</v>
      </c>
      <c r="B497" s="4" t="s">
        <v>57</v>
      </c>
      <c r="C497" s="4" t="s">
        <v>60</v>
      </c>
      <c r="D497" s="4" t="s">
        <v>1197</v>
      </c>
      <c r="E497" s="4">
        <v>2924702</v>
      </c>
      <c r="F497" s="4" t="s">
        <v>1198</v>
      </c>
      <c r="G497" s="4" t="s">
        <v>232</v>
      </c>
      <c r="H497" s="4"/>
    </row>
    <row r="498" s="1" customFormat="1" spans="1:8">
      <c r="A498" s="4" t="s">
        <v>205</v>
      </c>
      <c r="B498" s="4" t="s">
        <v>57</v>
      </c>
      <c r="C498" s="4" t="s">
        <v>60</v>
      </c>
      <c r="D498" s="4" t="s">
        <v>1199</v>
      </c>
      <c r="E498" s="4">
        <v>2924801</v>
      </c>
      <c r="F498" s="4" t="s">
        <v>1200</v>
      </c>
      <c r="G498" s="4" t="s">
        <v>232</v>
      </c>
      <c r="H498" s="4"/>
    </row>
    <row r="499" s="1" customFormat="1" spans="1:8">
      <c r="A499" s="4" t="s">
        <v>205</v>
      </c>
      <c r="B499" s="4" t="s">
        <v>57</v>
      </c>
      <c r="C499" s="4" t="s">
        <v>60</v>
      </c>
      <c r="D499" s="4" t="s">
        <v>1201</v>
      </c>
      <c r="E499" s="4">
        <v>2925006</v>
      </c>
      <c r="F499" s="4" t="s">
        <v>1202</v>
      </c>
      <c r="G499" s="4" t="s">
        <v>232</v>
      </c>
      <c r="H499" s="4"/>
    </row>
    <row r="500" s="1" customFormat="1" spans="1:8">
      <c r="A500" s="4" t="s">
        <v>205</v>
      </c>
      <c r="B500" s="4" t="s">
        <v>57</v>
      </c>
      <c r="C500" s="4" t="s">
        <v>60</v>
      </c>
      <c r="D500" s="4" t="s">
        <v>1203</v>
      </c>
      <c r="E500" s="4">
        <v>2925253</v>
      </c>
      <c r="F500" s="4" t="s">
        <v>1204</v>
      </c>
      <c r="G500" s="4" t="s">
        <v>232</v>
      </c>
      <c r="H500" s="4"/>
    </row>
    <row r="501" s="1" customFormat="1" spans="1:8">
      <c r="A501" s="4" t="s">
        <v>205</v>
      </c>
      <c r="B501" s="4" t="s">
        <v>57</v>
      </c>
      <c r="C501" s="4" t="s">
        <v>60</v>
      </c>
      <c r="D501" s="4" t="s">
        <v>1205</v>
      </c>
      <c r="E501" s="4">
        <v>2925402</v>
      </c>
      <c r="F501" s="4" t="s">
        <v>1206</v>
      </c>
      <c r="G501" s="4" t="s">
        <v>232</v>
      </c>
      <c r="H501" s="4"/>
    </row>
    <row r="502" s="1" customFormat="1" spans="1:8">
      <c r="A502" s="4" t="s">
        <v>205</v>
      </c>
      <c r="B502" s="4" t="s">
        <v>57</v>
      </c>
      <c r="C502" s="4" t="s">
        <v>60</v>
      </c>
      <c r="D502" s="4" t="s">
        <v>1207</v>
      </c>
      <c r="E502" s="4">
        <v>2925105</v>
      </c>
      <c r="F502" s="4" t="s">
        <v>1208</v>
      </c>
      <c r="G502" s="4" t="s">
        <v>232</v>
      </c>
      <c r="H502" s="4"/>
    </row>
    <row r="503" s="1" customFormat="1" spans="1:8">
      <c r="A503" s="4" t="s">
        <v>205</v>
      </c>
      <c r="B503" s="4" t="s">
        <v>57</v>
      </c>
      <c r="C503" s="4" t="s">
        <v>60</v>
      </c>
      <c r="D503" s="4" t="s">
        <v>1209</v>
      </c>
      <c r="E503" s="4">
        <v>2925600</v>
      </c>
      <c r="F503" s="4" t="s">
        <v>1210</v>
      </c>
      <c r="G503" s="4" t="s">
        <v>232</v>
      </c>
      <c r="H503" s="4"/>
    </row>
    <row r="504" s="1" customFormat="1" spans="1:8">
      <c r="A504" s="4" t="s">
        <v>205</v>
      </c>
      <c r="B504" s="4" t="s">
        <v>57</v>
      </c>
      <c r="C504" s="4" t="s">
        <v>60</v>
      </c>
      <c r="D504" s="4" t="s">
        <v>1211</v>
      </c>
      <c r="E504" s="4">
        <v>2925709</v>
      </c>
      <c r="F504" s="4" t="s">
        <v>1212</v>
      </c>
      <c r="G504" s="4" t="s">
        <v>232</v>
      </c>
      <c r="H504" s="4"/>
    </row>
    <row r="505" s="1" customFormat="1" spans="1:8">
      <c r="A505" s="4" t="s">
        <v>205</v>
      </c>
      <c r="B505" s="4" t="s">
        <v>57</v>
      </c>
      <c r="C505" s="4" t="s">
        <v>60</v>
      </c>
      <c r="D505" s="4" t="s">
        <v>1213</v>
      </c>
      <c r="E505" s="4">
        <v>2925907</v>
      </c>
      <c r="F505" s="4" t="s">
        <v>1214</v>
      </c>
      <c r="G505" s="4" t="s">
        <v>232</v>
      </c>
      <c r="H505" s="4"/>
    </row>
    <row r="506" s="1" customFormat="1" spans="1:8">
      <c r="A506" s="4" t="s">
        <v>205</v>
      </c>
      <c r="B506" s="4" t="s">
        <v>57</v>
      </c>
      <c r="C506" s="4" t="s">
        <v>60</v>
      </c>
      <c r="D506" s="4" t="s">
        <v>1215</v>
      </c>
      <c r="E506" s="4">
        <v>2926657</v>
      </c>
      <c r="F506" s="4" t="s">
        <v>1216</v>
      </c>
      <c r="G506" s="4" t="s">
        <v>232</v>
      </c>
      <c r="H506" s="4"/>
    </row>
    <row r="507" s="1" customFormat="1" spans="1:8">
      <c r="A507" s="4" t="s">
        <v>205</v>
      </c>
      <c r="B507" s="4" t="s">
        <v>57</v>
      </c>
      <c r="C507" s="4" t="s">
        <v>60</v>
      </c>
      <c r="D507" s="4" t="s">
        <v>1217</v>
      </c>
      <c r="E507" s="4">
        <v>2926707</v>
      </c>
      <c r="F507" s="4" t="s">
        <v>1218</v>
      </c>
      <c r="G507" s="4" t="s">
        <v>232</v>
      </c>
      <c r="H507" s="4"/>
    </row>
    <row r="508" s="1" customFormat="1" spans="1:8">
      <c r="A508" s="4" t="s">
        <v>205</v>
      </c>
      <c r="B508" s="4" t="s">
        <v>57</v>
      </c>
      <c r="C508" s="4" t="s">
        <v>60</v>
      </c>
      <c r="D508" s="4" t="s">
        <v>1219</v>
      </c>
      <c r="E508" s="4">
        <v>2926806</v>
      </c>
      <c r="F508" s="4" t="s">
        <v>1220</v>
      </c>
      <c r="G508" s="4" t="s">
        <v>232</v>
      </c>
      <c r="H508" s="4"/>
    </row>
    <row r="509" s="1" customFormat="1" spans="1:8">
      <c r="A509" s="4" t="s">
        <v>205</v>
      </c>
      <c r="B509" s="4" t="s">
        <v>57</v>
      </c>
      <c r="C509" s="4" t="s">
        <v>60</v>
      </c>
      <c r="D509" s="4" t="s">
        <v>1221</v>
      </c>
      <c r="E509" s="4">
        <v>2926905</v>
      </c>
      <c r="F509" s="4" t="s">
        <v>1222</v>
      </c>
      <c r="G509" s="4" t="s">
        <v>232</v>
      </c>
      <c r="H509" s="4"/>
    </row>
    <row r="510" s="1" customFormat="1" spans="1:8">
      <c r="A510" s="4" t="s">
        <v>205</v>
      </c>
      <c r="B510" s="4" t="s">
        <v>57</v>
      </c>
      <c r="C510" s="4" t="s">
        <v>60</v>
      </c>
      <c r="D510" s="4" t="s">
        <v>1223</v>
      </c>
      <c r="E510" s="4">
        <v>2927101</v>
      </c>
      <c r="F510" s="4" t="s">
        <v>1224</v>
      </c>
      <c r="G510" s="4" t="s">
        <v>232</v>
      </c>
      <c r="H510" s="4"/>
    </row>
    <row r="511" s="1" customFormat="1" spans="1:8">
      <c r="A511" s="4" t="s">
        <v>205</v>
      </c>
      <c r="B511" s="4" t="s">
        <v>57</v>
      </c>
      <c r="C511" s="4" t="s">
        <v>60</v>
      </c>
      <c r="D511" s="4" t="s">
        <v>1225</v>
      </c>
      <c r="E511" s="4">
        <v>2927200</v>
      </c>
      <c r="F511" s="4" t="s">
        <v>1226</v>
      </c>
      <c r="G511" s="4" t="s">
        <v>232</v>
      </c>
      <c r="H511" s="4"/>
    </row>
    <row r="512" s="1" customFormat="1" spans="1:8">
      <c r="A512" s="4" t="s">
        <v>205</v>
      </c>
      <c r="B512" s="4" t="s">
        <v>57</v>
      </c>
      <c r="C512" s="4" t="s">
        <v>60</v>
      </c>
      <c r="D512" s="4" t="s">
        <v>1227</v>
      </c>
      <c r="E512" s="4">
        <v>2927606</v>
      </c>
      <c r="F512" s="4" t="s">
        <v>1228</v>
      </c>
      <c r="G512" s="4" t="s">
        <v>232</v>
      </c>
      <c r="H512" s="4"/>
    </row>
    <row r="513" s="1" customFormat="1" spans="1:8">
      <c r="A513" s="4" t="s">
        <v>205</v>
      </c>
      <c r="B513" s="4" t="s">
        <v>57</v>
      </c>
      <c r="C513" s="4" t="s">
        <v>60</v>
      </c>
      <c r="D513" s="4" t="s">
        <v>1229</v>
      </c>
      <c r="E513" s="4">
        <v>2927804</v>
      </c>
      <c r="F513" s="4" t="s">
        <v>1230</v>
      </c>
      <c r="G513" s="4" t="s">
        <v>232</v>
      </c>
      <c r="H513" s="4"/>
    </row>
    <row r="514" s="1" customFormat="1" spans="1:8">
      <c r="A514" s="4" t="s">
        <v>205</v>
      </c>
      <c r="B514" s="4" t="s">
        <v>57</v>
      </c>
      <c r="C514" s="4" t="s">
        <v>60</v>
      </c>
      <c r="D514" s="4" t="s">
        <v>1231</v>
      </c>
      <c r="E514" s="4">
        <v>2928059</v>
      </c>
      <c r="F514" s="4" t="s">
        <v>1232</v>
      </c>
      <c r="G514" s="4" t="s">
        <v>232</v>
      </c>
      <c r="H514" s="4"/>
    </row>
    <row r="515" s="1" customFormat="1" spans="1:8">
      <c r="A515" s="4" t="s">
        <v>205</v>
      </c>
      <c r="B515" s="4" t="s">
        <v>57</v>
      </c>
      <c r="C515" s="4" t="s">
        <v>60</v>
      </c>
      <c r="D515" s="4" t="s">
        <v>1233</v>
      </c>
      <c r="E515" s="4">
        <v>2929800</v>
      </c>
      <c r="F515" s="4" t="s">
        <v>1234</v>
      </c>
      <c r="G515" s="4" t="s">
        <v>232</v>
      </c>
      <c r="H515" s="4"/>
    </row>
    <row r="516" s="1" customFormat="1" spans="1:8">
      <c r="A516" s="4" t="s">
        <v>205</v>
      </c>
      <c r="B516" s="4" t="s">
        <v>57</v>
      </c>
      <c r="C516" s="4" t="s">
        <v>60</v>
      </c>
      <c r="D516" s="4" t="s">
        <v>1235</v>
      </c>
      <c r="E516" s="4">
        <v>2929909</v>
      </c>
      <c r="F516" s="4" t="s">
        <v>1236</v>
      </c>
      <c r="G516" s="4" t="s">
        <v>232</v>
      </c>
      <c r="H516" s="4"/>
    </row>
    <row r="517" s="1" customFormat="1" spans="1:8">
      <c r="A517" s="4" t="s">
        <v>205</v>
      </c>
      <c r="B517" s="4" t="s">
        <v>57</v>
      </c>
      <c r="C517" s="4" t="s">
        <v>60</v>
      </c>
      <c r="D517" s="4" t="s">
        <v>1237</v>
      </c>
      <c r="E517" s="4">
        <v>2930105</v>
      </c>
      <c r="F517" s="4" t="s">
        <v>1238</v>
      </c>
      <c r="G517" s="4" t="s">
        <v>232</v>
      </c>
      <c r="H517" s="4"/>
    </row>
    <row r="518" s="1" customFormat="1" spans="1:8">
      <c r="A518" s="4" t="s">
        <v>205</v>
      </c>
      <c r="B518" s="4" t="s">
        <v>57</v>
      </c>
      <c r="C518" s="4" t="s">
        <v>60</v>
      </c>
      <c r="D518" s="4" t="s">
        <v>1239</v>
      </c>
      <c r="E518" s="4">
        <v>2930600</v>
      </c>
      <c r="F518" s="4" t="s">
        <v>1240</v>
      </c>
      <c r="G518" s="4" t="s">
        <v>232</v>
      </c>
      <c r="H518" s="4"/>
    </row>
    <row r="519" s="1" customFormat="1" spans="1:8">
      <c r="A519" s="4" t="s">
        <v>205</v>
      </c>
      <c r="B519" s="4" t="s">
        <v>57</v>
      </c>
      <c r="C519" s="4" t="s">
        <v>60</v>
      </c>
      <c r="D519" s="4" t="s">
        <v>1241</v>
      </c>
      <c r="E519" s="4">
        <v>2930774</v>
      </c>
      <c r="F519" s="4" t="s">
        <v>1242</v>
      </c>
      <c r="G519" s="4" t="s">
        <v>232</v>
      </c>
      <c r="H519" s="4"/>
    </row>
    <row r="520" s="1" customFormat="1" spans="1:8">
      <c r="A520" s="4" t="s">
        <v>205</v>
      </c>
      <c r="B520" s="4" t="s">
        <v>57</v>
      </c>
      <c r="C520" s="4" t="s">
        <v>60</v>
      </c>
      <c r="D520" s="4" t="s">
        <v>1243</v>
      </c>
      <c r="E520" s="4">
        <v>2930808</v>
      </c>
      <c r="F520" s="4" t="s">
        <v>1244</v>
      </c>
      <c r="G520" s="4" t="s">
        <v>232</v>
      </c>
      <c r="H520" s="4"/>
    </row>
    <row r="521" s="1" customFormat="1" spans="1:8">
      <c r="A521" s="4" t="s">
        <v>205</v>
      </c>
      <c r="B521" s="4" t="s">
        <v>57</v>
      </c>
      <c r="C521" s="4" t="s">
        <v>60</v>
      </c>
      <c r="D521" s="4" t="s">
        <v>1245</v>
      </c>
      <c r="E521" s="4">
        <v>2929255</v>
      </c>
      <c r="F521" s="4" t="s">
        <v>1246</v>
      </c>
      <c r="G521" s="4" t="s">
        <v>232</v>
      </c>
      <c r="H521" s="4"/>
    </row>
    <row r="522" s="1" customFormat="1" spans="1:8">
      <c r="A522" s="4" t="s">
        <v>205</v>
      </c>
      <c r="B522" s="4" t="s">
        <v>57</v>
      </c>
      <c r="C522" s="4" t="s">
        <v>60</v>
      </c>
      <c r="D522" s="4" t="s">
        <v>1247</v>
      </c>
      <c r="E522" s="4">
        <v>2929354</v>
      </c>
      <c r="F522" s="4" t="s">
        <v>1248</v>
      </c>
      <c r="G522" s="4" t="s">
        <v>232</v>
      </c>
      <c r="H522" s="4"/>
    </row>
    <row r="523" s="1" customFormat="1" spans="1:8">
      <c r="A523" s="4" t="s">
        <v>205</v>
      </c>
      <c r="B523" s="4" t="s">
        <v>57</v>
      </c>
      <c r="C523" s="4" t="s">
        <v>60</v>
      </c>
      <c r="D523" s="4" t="s">
        <v>1249</v>
      </c>
      <c r="E523" s="4">
        <v>2930766</v>
      </c>
      <c r="F523" s="4" t="s">
        <v>1250</v>
      </c>
      <c r="G523" s="4" t="s">
        <v>232</v>
      </c>
      <c r="H523" s="4"/>
    </row>
    <row r="524" s="1" customFormat="1" spans="1:8">
      <c r="A524" s="4" t="s">
        <v>205</v>
      </c>
      <c r="B524" s="4" t="s">
        <v>57</v>
      </c>
      <c r="C524" s="4" t="s">
        <v>60</v>
      </c>
      <c r="D524" s="4" t="s">
        <v>1251</v>
      </c>
      <c r="E524" s="4">
        <v>2931004</v>
      </c>
      <c r="F524" s="4" t="s">
        <v>1252</v>
      </c>
      <c r="G524" s="4" t="s">
        <v>232</v>
      </c>
      <c r="H524" s="4"/>
    </row>
    <row r="525" s="1" customFormat="1" spans="1:8">
      <c r="A525" s="4" t="s">
        <v>205</v>
      </c>
      <c r="B525" s="4" t="s">
        <v>57</v>
      </c>
      <c r="C525" s="4" t="s">
        <v>60</v>
      </c>
      <c r="D525" s="4" t="s">
        <v>1253</v>
      </c>
      <c r="E525" s="4">
        <v>2931301</v>
      </c>
      <c r="F525" s="4" t="s">
        <v>1254</v>
      </c>
      <c r="G525" s="4" t="s">
        <v>232</v>
      </c>
      <c r="H525" s="4"/>
    </row>
    <row r="526" s="1" customFormat="1" spans="1:8">
      <c r="A526" s="4" t="s">
        <v>205</v>
      </c>
      <c r="B526" s="4" t="s">
        <v>57</v>
      </c>
      <c r="C526" s="4" t="s">
        <v>60</v>
      </c>
      <c r="D526" s="4" t="s">
        <v>1255</v>
      </c>
      <c r="E526" s="4">
        <v>2931806</v>
      </c>
      <c r="F526" s="4" t="s">
        <v>1256</v>
      </c>
      <c r="G526" s="4" t="s">
        <v>232</v>
      </c>
      <c r="H526" s="4"/>
    </row>
    <row r="527" s="1" customFormat="1" spans="1:8">
      <c r="A527" s="4" t="s">
        <v>205</v>
      </c>
      <c r="B527" s="4" t="s">
        <v>57</v>
      </c>
      <c r="C527" s="4" t="s">
        <v>60</v>
      </c>
      <c r="D527" s="4" t="s">
        <v>1257</v>
      </c>
      <c r="E527" s="4">
        <v>2932002</v>
      </c>
      <c r="F527" s="4" t="s">
        <v>1258</v>
      </c>
      <c r="G527" s="4" t="s">
        <v>232</v>
      </c>
      <c r="H527" s="4"/>
    </row>
    <row r="528" s="1" customFormat="1" spans="1:8">
      <c r="A528" s="4" t="s">
        <v>205</v>
      </c>
      <c r="B528" s="4" t="s">
        <v>57</v>
      </c>
      <c r="C528" s="4" t="s">
        <v>60</v>
      </c>
      <c r="D528" s="4" t="s">
        <v>1259</v>
      </c>
      <c r="E528" s="4">
        <v>2932200</v>
      </c>
      <c r="F528" s="4" t="s">
        <v>1260</v>
      </c>
      <c r="G528" s="4" t="s">
        <v>232</v>
      </c>
      <c r="H528" s="4"/>
    </row>
    <row r="529" s="1" customFormat="1" spans="1:8">
      <c r="A529" s="4" t="s">
        <v>205</v>
      </c>
      <c r="B529" s="4" t="s">
        <v>57</v>
      </c>
      <c r="C529" s="4" t="s">
        <v>60</v>
      </c>
      <c r="D529" s="4" t="s">
        <v>1261</v>
      </c>
      <c r="E529" s="4">
        <v>2932309</v>
      </c>
      <c r="F529" s="4" t="s">
        <v>1262</v>
      </c>
      <c r="G529" s="4" t="s">
        <v>232</v>
      </c>
      <c r="H529" s="4"/>
    </row>
    <row r="530" s="1" customFormat="1" spans="1:8">
      <c r="A530" s="4" t="s">
        <v>205</v>
      </c>
      <c r="B530" s="4" t="s">
        <v>57</v>
      </c>
      <c r="C530" s="4" t="s">
        <v>60</v>
      </c>
      <c r="D530" s="4" t="s">
        <v>1263</v>
      </c>
      <c r="E530" s="4">
        <v>2932408</v>
      </c>
      <c r="F530" s="4" t="s">
        <v>1264</v>
      </c>
      <c r="G530" s="4" t="s">
        <v>232</v>
      </c>
      <c r="H530" s="4"/>
    </row>
    <row r="531" s="1" customFormat="1" spans="1:8">
      <c r="A531" s="4" t="s">
        <v>205</v>
      </c>
      <c r="B531" s="4" t="s">
        <v>57</v>
      </c>
      <c r="C531" s="4" t="s">
        <v>60</v>
      </c>
      <c r="D531" s="4" t="s">
        <v>1265</v>
      </c>
      <c r="E531" s="4">
        <v>2932457</v>
      </c>
      <c r="F531" s="4" t="s">
        <v>1266</v>
      </c>
      <c r="G531" s="4" t="s">
        <v>232</v>
      </c>
      <c r="H531" s="4"/>
    </row>
    <row r="532" s="1" customFormat="1" spans="1:8">
      <c r="A532" s="4" t="s">
        <v>205</v>
      </c>
      <c r="B532" s="4" t="s">
        <v>57</v>
      </c>
      <c r="C532" s="4" t="s">
        <v>60</v>
      </c>
      <c r="D532" s="4" t="s">
        <v>1267</v>
      </c>
      <c r="E532" s="4">
        <v>2932507</v>
      </c>
      <c r="F532" s="4" t="s">
        <v>1268</v>
      </c>
      <c r="G532" s="4" t="s">
        <v>232</v>
      </c>
      <c r="H532" s="4"/>
    </row>
    <row r="533" s="1" customFormat="1" spans="1:8">
      <c r="A533" s="4" t="s">
        <v>205</v>
      </c>
      <c r="B533" s="4" t="s">
        <v>57</v>
      </c>
      <c r="C533" s="4" t="s">
        <v>60</v>
      </c>
      <c r="D533" s="4" t="s">
        <v>1269</v>
      </c>
      <c r="E533" s="4">
        <v>2932705</v>
      </c>
      <c r="F533" s="4" t="s">
        <v>1270</v>
      </c>
      <c r="G533" s="4" t="s">
        <v>232</v>
      </c>
      <c r="H533" s="4"/>
    </row>
    <row r="534" s="1" customFormat="1" spans="1:8">
      <c r="A534" s="4" t="s">
        <v>205</v>
      </c>
      <c r="B534" s="4" t="s">
        <v>57</v>
      </c>
      <c r="C534" s="4" t="s">
        <v>60</v>
      </c>
      <c r="D534" s="4" t="s">
        <v>1271</v>
      </c>
      <c r="E534" s="4">
        <v>2932804</v>
      </c>
      <c r="F534" s="4" t="s">
        <v>1272</v>
      </c>
      <c r="G534" s="4" t="s">
        <v>232</v>
      </c>
      <c r="H534" s="4"/>
    </row>
    <row r="535" s="1" customFormat="1" spans="1:8">
      <c r="A535" s="4" t="s">
        <v>205</v>
      </c>
      <c r="B535" s="4" t="s">
        <v>57</v>
      </c>
      <c r="C535" s="4" t="s">
        <v>60</v>
      </c>
      <c r="D535" s="4" t="s">
        <v>1273</v>
      </c>
      <c r="E535" s="4">
        <v>2933307</v>
      </c>
      <c r="F535" s="4" t="s">
        <v>1274</v>
      </c>
      <c r="G535" s="4" t="s">
        <v>232</v>
      </c>
      <c r="H535" s="4"/>
    </row>
    <row r="536" s="1" customFormat="1" spans="1:8">
      <c r="A536" s="4" t="s">
        <v>205</v>
      </c>
      <c r="B536" s="4" t="s">
        <v>57</v>
      </c>
      <c r="C536" s="4" t="s">
        <v>60</v>
      </c>
      <c r="D536" s="4" t="s">
        <v>1275</v>
      </c>
      <c r="E536" s="4">
        <v>2933109</v>
      </c>
      <c r="F536" s="4" t="s">
        <v>1276</v>
      </c>
      <c r="G536" s="4" t="s">
        <v>232</v>
      </c>
      <c r="H536" s="4"/>
    </row>
    <row r="537" s="1" customFormat="1" spans="1:8">
      <c r="A537" s="4" t="s">
        <v>205</v>
      </c>
      <c r="B537" s="4" t="s">
        <v>57</v>
      </c>
      <c r="C537" s="4" t="s">
        <v>60</v>
      </c>
      <c r="D537" s="4" t="s">
        <v>1277</v>
      </c>
      <c r="E537" s="4">
        <v>2933158</v>
      </c>
      <c r="F537" s="4" t="s">
        <v>1278</v>
      </c>
      <c r="G537" s="4" t="s">
        <v>232</v>
      </c>
      <c r="H537" s="4"/>
    </row>
    <row r="538" s="1" customFormat="1" spans="1:8">
      <c r="A538" s="4" t="s">
        <v>205</v>
      </c>
      <c r="B538" s="4" t="s">
        <v>57</v>
      </c>
      <c r="C538" s="4" t="s">
        <v>60</v>
      </c>
      <c r="D538" s="4" t="s">
        <v>1279</v>
      </c>
      <c r="E538" s="4">
        <v>2933406</v>
      </c>
      <c r="F538" s="4" t="s">
        <v>1280</v>
      </c>
      <c r="G538" s="4" t="s">
        <v>232</v>
      </c>
      <c r="H538" s="4"/>
    </row>
    <row r="539" s="1" customFormat="1" spans="1:8">
      <c r="A539" s="4" t="s">
        <v>205</v>
      </c>
      <c r="B539" s="4" t="s">
        <v>57</v>
      </c>
      <c r="C539" s="4" t="s">
        <v>60</v>
      </c>
      <c r="D539" s="4" t="s">
        <v>1281</v>
      </c>
      <c r="E539" s="4">
        <v>2933604</v>
      </c>
      <c r="F539" s="4" t="s">
        <v>712</v>
      </c>
      <c r="G539" s="4" t="s">
        <v>232</v>
      </c>
      <c r="H539" s="4"/>
    </row>
    <row r="540" s="1" customFormat="1" spans="1:8">
      <c r="A540" s="4" t="s">
        <v>205</v>
      </c>
      <c r="B540" s="4" t="s">
        <v>57</v>
      </c>
      <c r="C540" s="4" t="s">
        <v>60</v>
      </c>
      <c r="D540" s="4" t="s">
        <v>1282</v>
      </c>
      <c r="E540" s="4">
        <v>2900801</v>
      </c>
      <c r="F540" s="4" t="s">
        <v>1283</v>
      </c>
      <c r="G540" s="4" t="s">
        <v>243</v>
      </c>
      <c r="H540" s="4"/>
    </row>
    <row r="541" s="1" customFormat="1" spans="1:8">
      <c r="A541" s="4" t="s">
        <v>205</v>
      </c>
      <c r="B541" s="4" t="s">
        <v>57</v>
      </c>
      <c r="C541" s="4" t="s">
        <v>60</v>
      </c>
      <c r="D541" s="4" t="s">
        <v>1284</v>
      </c>
      <c r="E541" s="4">
        <v>2901403</v>
      </c>
      <c r="F541" s="4" t="s">
        <v>1285</v>
      </c>
      <c r="G541" s="4" t="s">
        <v>243</v>
      </c>
      <c r="H541" s="4"/>
    </row>
    <row r="542" s="1" customFormat="1" spans="1:8">
      <c r="A542" s="4" t="s">
        <v>205</v>
      </c>
      <c r="B542" s="4" t="s">
        <v>57</v>
      </c>
      <c r="C542" s="4" t="s">
        <v>60</v>
      </c>
      <c r="D542" s="4" t="s">
        <v>1286</v>
      </c>
      <c r="E542" s="4">
        <v>2902500</v>
      </c>
      <c r="F542" s="4" t="s">
        <v>1287</v>
      </c>
      <c r="G542" s="4" t="s">
        <v>243</v>
      </c>
      <c r="H542" s="4"/>
    </row>
    <row r="543" s="1" customFormat="1" spans="1:8">
      <c r="A543" s="4" t="s">
        <v>205</v>
      </c>
      <c r="B543" s="4" t="s">
        <v>57</v>
      </c>
      <c r="C543" s="4" t="s">
        <v>60</v>
      </c>
      <c r="D543" s="4" t="s">
        <v>1288</v>
      </c>
      <c r="E543" s="4">
        <v>2902708</v>
      </c>
      <c r="F543" s="4" t="s">
        <v>1289</v>
      </c>
      <c r="G543" s="4" t="s">
        <v>243</v>
      </c>
      <c r="H543" s="4"/>
    </row>
    <row r="544" s="1" customFormat="1" spans="1:8">
      <c r="A544" s="4" t="s">
        <v>205</v>
      </c>
      <c r="B544" s="4" t="s">
        <v>57</v>
      </c>
      <c r="C544" s="4" t="s">
        <v>60</v>
      </c>
      <c r="D544" s="4" t="s">
        <v>1290</v>
      </c>
      <c r="E544" s="4">
        <v>2903201</v>
      </c>
      <c r="F544" s="4" t="s">
        <v>1291</v>
      </c>
      <c r="G544" s="4" t="s">
        <v>243</v>
      </c>
      <c r="H544" s="4"/>
    </row>
    <row r="545" s="1" customFormat="1" spans="1:8">
      <c r="A545" s="4" t="s">
        <v>205</v>
      </c>
      <c r="B545" s="4" t="s">
        <v>57</v>
      </c>
      <c r="C545" s="4" t="s">
        <v>60</v>
      </c>
      <c r="D545" s="4" t="s">
        <v>1292</v>
      </c>
      <c r="E545" s="4">
        <v>2903409</v>
      </c>
      <c r="F545" s="4" t="s">
        <v>1293</v>
      </c>
      <c r="G545" s="4" t="s">
        <v>243</v>
      </c>
      <c r="H545" s="4"/>
    </row>
    <row r="546" s="1" customFormat="1" spans="1:8">
      <c r="A546" s="4" t="s">
        <v>205</v>
      </c>
      <c r="B546" s="4" t="s">
        <v>57</v>
      </c>
      <c r="C546" s="4" t="s">
        <v>60</v>
      </c>
      <c r="D546" s="4" t="s">
        <v>1294</v>
      </c>
      <c r="E546" s="4">
        <v>2903904</v>
      </c>
      <c r="F546" s="4" t="s">
        <v>1295</v>
      </c>
      <c r="G546" s="4" t="s">
        <v>243</v>
      </c>
      <c r="H546" s="4"/>
    </row>
    <row r="547" s="1" customFormat="1" spans="1:8">
      <c r="A547" s="4" t="s">
        <v>205</v>
      </c>
      <c r="B547" s="4" t="s">
        <v>57</v>
      </c>
      <c r="C547" s="4" t="s">
        <v>60</v>
      </c>
      <c r="D547" s="4" t="s">
        <v>1296</v>
      </c>
      <c r="E547" s="4">
        <v>2904100</v>
      </c>
      <c r="F547" s="4" t="s">
        <v>1297</v>
      </c>
      <c r="G547" s="4" t="s">
        <v>243</v>
      </c>
      <c r="H547" s="4"/>
    </row>
    <row r="548" s="1" customFormat="1" spans="1:8">
      <c r="A548" s="4" t="s">
        <v>205</v>
      </c>
      <c r="B548" s="4" t="s">
        <v>57</v>
      </c>
      <c r="C548" s="4" t="s">
        <v>60</v>
      </c>
      <c r="D548" s="4" t="s">
        <v>1298</v>
      </c>
      <c r="E548" s="4">
        <v>2904209</v>
      </c>
      <c r="F548" s="4" t="s">
        <v>1299</v>
      </c>
      <c r="G548" s="4" t="s">
        <v>243</v>
      </c>
      <c r="H548" s="4"/>
    </row>
    <row r="549" s="1" customFormat="1" spans="1:8">
      <c r="A549" s="4" t="s">
        <v>205</v>
      </c>
      <c r="B549" s="4" t="s">
        <v>57</v>
      </c>
      <c r="C549" s="4" t="s">
        <v>60</v>
      </c>
      <c r="D549" s="4" t="s">
        <v>1300</v>
      </c>
      <c r="E549" s="4">
        <v>2904407</v>
      </c>
      <c r="F549" s="4" t="s">
        <v>1301</v>
      </c>
      <c r="G549" s="4" t="s">
        <v>243</v>
      </c>
      <c r="H549" s="4"/>
    </row>
    <row r="550" s="1" customFormat="1" spans="1:8">
      <c r="A550" s="4" t="s">
        <v>205</v>
      </c>
      <c r="B550" s="4" t="s">
        <v>57</v>
      </c>
      <c r="C550" s="4" t="s">
        <v>60</v>
      </c>
      <c r="D550" s="4" t="s">
        <v>1302</v>
      </c>
      <c r="E550" s="4">
        <v>2904506</v>
      </c>
      <c r="F550" s="4" t="s">
        <v>1303</v>
      </c>
      <c r="G550" s="4" t="s">
        <v>243</v>
      </c>
      <c r="H550" s="4"/>
    </row>
    <row r="551" s="1" customFormat="1" spans="1:8">
      <c r="A551" s="4" t="s">
        <v>205</v>
      </c>
      <c r="B551" s="4" t="s">
        <v>57</v>
      </c>
      <c r="C551" s="4" t="s">
        <v>60</v>
      </c>
      <c r="D551" s="4" t="s">
        <v>1304</v>
      </c>
      <c r="E551" s="4">
        <v>2904753</v>
      </c>
      <c r="F551" s="4" t="s">
        <v>1305</v>
      </c>
      <c r="G551" s="4" t="s">
        <v>243</v>
      </c>
      <c r="H551" s="4"/>
    </row>
    <row r="552" s="1" customFormat="1" spans="1:8">
      <c r="A552" s="4" t="s">
        <v>205</v>
      </c>
      <c r="B552" s="4" t="s">
        <v>57</v>
      </c>
      <c r="C552" s="4" t="s">
        <v>60</v>
      </c>
      <c r="D552" s="4" t="s">
        <v>1306</v>
      </c>
      <c r="E552" s="4">
        <v>2905909</v>
      </c>
      <c r="F552" s="4" t="s">
        <v>1307</v>
      </c>
      <c r="G552" s="4" t="s">
        <v>243</v>
      </c>
      <c r="H552" s="4"/>
    </row>
    <row r="553" s="1" customFormat="1" spans="1:8">
      <c r="A553" s="4" t="s">
        <v>205</v>
      </c>
      <c r="B553" s="4" t="s">
        <v>57</v>
      </c>
      <c r="C553" s="4" t="s">
        <v>60</v>
      </c>
      <c r="D553" s="4" t="s">
        <v>1308</v>
      </c>
      <c r="E553" s="4">
        <v>2906600</v>
      </c>
      <c r="F553" s="4" t="s">
        <v>1309</v>
      </c>
      <c r="G553" s="4" t="s">
        <v>243</v>
      </c>
      <c r="H553" s="4"/>
    </row>
    <row r="554" s="1" customFormat="1" spans="1:8">
      <c r="A554" s="4" t="s">
        <v>205</v>
      </c>
      <c r="B554" s="4" t="s">
        <v>57</v>
      </c>
      <c r="C554" s="4" t="s">
        <v>60</v>
      </c>
      <c r="D554" s="4" t="s">
        <v>1310</v>
      </c>
      <c r="E554" s="4">
        <v>2906105</v>
      </c>
      <c r="F554" s="4" t="s">
        <v>1311</v>
      </c>
      <c r="G554" s="4" t="s">
        <v>243</v>
      </c>
      <c r="H554" s="4"/>
    </row>
    <row r="555" s="1" customFormat="1" spans="1:8">
      <c r="A555" s="4" t="s">
        <v>205</v>
      </c>
      <c r="B555" s="4" t="s">
        <v>57</v>
      </c>
      <c r="C555" s="4" t="s">
        <v>60</v>
      </c>
      <c r="D555" s="4" t="s">
        <v>1312</v>
      </c>
      <c r="E555" s="4">
        <v>2906907</v>
      </c>
      <c r="F555" s="4" t="s">
        <v>1313</v>
      </c>
      <c r="G555" s="4" t="s">
        <v>243</v>
      </c>
      <c r="H555" s="4"/>
    </row>
    <row r="556" s="1" customFormat="1" spans="1:8">
      <c r="A556" s="4" t="s">
        <v>205</v>
      </c>
      <c r="B556" s="4" t="s">
        <v>57</v>
      </c>
      <c r="C556" s="4" t="s">
        <v>60</v>
      </c>
      <c r="D556" s="4" t="s">
        <v>1314</v>
      </c>
      <c r="E556" s="4">
        <v>2907103</v>
      </c>
      <c r="F556" s="4" t="s">
        <v>1315</v>
      </c>
      <c r="G556" s="4" t="s">
        <v>243</v>
      </c>
      <c r="H556" s="4"/>
    </row>
    <row r="557" s="1" customFormat="1" spans="1:8">
      <c r="A557" s="4" t="s">
        <v>205</v>
      </c>
      <c r="B557" s="4" t="s">
        <v>57</v>
      </c>
      <c r="C557" s="4" t="s">
        <v>60</v>
      </c>
      <c r="D557" s="4" t="s">
        <v>1316</v>
      </c>
      <c r="E557" s="4">
        <v>2907400</v>
      </c>
      <c r="F557" s="4" t="s">
        <v>1317</v>
      </c>
      <c r="G557" s="4" t="s">
        <v>243</v>
      </c>
      <c r="H557" s="4"/>
    </row>
    <row r="558" s="1" customFormat="1" spans="1:8">
      <c r="A558" s="4" t="s">
        <v>205</v>
      </c>
      <c r="B558" s="4" t="s">
        <v>57</v>
      </c>
      <c r="C558" s="4" t="s">
        <v>60</v>
      </c>
      <c r="D558" s="4" t="s">
        <v>1318</v>
      </c>
      <c r="E558" s="4">
        <v>2907558</v>
      </c>
      <c r="F558" s="4" t="s">
        <v>1319</v>
      </c>
      <c r="G558" s="4" t="s">
        <v>243</v>
      </c>
      <c r="H558" s="4"/>
    </row>
    <row r="559" s="1" customFormat="1" spans="1:8">
      <c r="A559" s="4" t="s">
        <v>205</v>
      </c>
      <c r="B559" s="4" t="s">
        <v>57</v>
      </c>
      <c r="C559" s="4" t="s">
        <v>60</v>
      </c>
      <c r="D559" s="4" t="s">
        <v>1320</v>
      </c>
      <c r="E559" s="4">
        <v>2908101</v>
      </c>
      <c r="F559" s="4" t="s">
        <v>1321</v>
      </c>
      <c r="G559" s="4" t="s">
        <v>243</v>
      </c>
      <c r="H559" s="4"/>
    </row>
    <row r="560" s="1" customFormat="1" spans="1:8">
      <c r="A560" s="4" t="s">
        <v>205</v>
      </c>
      <c r="B560" s="4" t="s">
        <v>57</v>
      </c>
      <c r="C560" s="4" t="s">
        <v>60</v>
      </c>
      <c r="D560" s="4" t="s">
        <v>1322</v>
      </c>
      <c r="E560" s="4">
        <v>2908705</v>
      </c>
      <c r="F560" s="4" t="s">
        <v>1323</v>
      </c>
      <c r="G560" s="4" t="s">
        <v>243</v>
      </c>
      <c r="H560" s="4"/>
    </row>
    <row r="561" s="1" customFormat="1" spans="1:8">
      <c r="A561" s="4" t="s">
        <v>205</v>
      </c>
      <c r="B561" s="4" t="s">
        <v>57</v>
      </c>
      <c r="C561" s="4" t="s">
        <v>60</v>
      </c>
      <c r="D561" s="4" t="s">
        <v>1324</v>
      </c>
      <c r="E561" s="4">
        <v>2909000</v>
      </c>
      <c r="F561" s="4" t="s">
        <v>1325</v>
      </c>
      <c r="G561" s="4" t="s">
        <v>243</v>
      </c>
      <c r="H561" s="4"/>
    </row>
    <row r="562" s="1" customFormat="1" spans="1:8">
      <c r="A562" s="4" t="s">
        <v>205</v>
      </c>
      <c r="B562" s="4" t="s">
        <v>57</v>
      </c>
      <c r="C562" s="4" t="s">
        <v>60</v>
      </c>
      <c r="D562" s="4" t="s">
        <v>1326</v>
      </c>
      <c r="E562" s="4">
        <v>2909109</v>
      </c>
      <c r="F562" s="4" t="s">
        <v>1327</v>
      </c>
      <c r="G562" s="4" t="s">
        <v>243</v>
      </c>
      <c r="H562" s="4"/>
    </row>
    <row r="563" s="1" customFormat="1" spans="1:8">
      <c r="A563" s="4" t="s">
        <v>205</v>
      </c>
      <c r="B563" s="4" t="s">
        <v>57</v>
      </c>
      <c r="C563" s="4" t="s">
        <v>60</v>
      </c>
      <c r="D563" s="4" t="s">
        <v>1328</v>
      </c>
      <c r="E563" s="4">
        <v>2909307</v>
      </c>
      <c r="F563" s="4" t="s">
        <v>1329</v>
      </c>
      <c r="G563" s="4" t="s">
        <v>243</v>
      </c>
      <c r="H563" s="4"/>
    </row>
    <row r="564" s="1" customFormat="1" spans="1:8">
      <c r="A564" s="4" t="s">
        <v>205</v>
      </c>
      <c r="B564" s="4" t="s">
        <v>57</v>
      </c>
      <c r="C564" s="4" t="s">
        <v>60</v>
      </c>
      <c r="D564" s="4" t="s">
        <v>1330</v>
      </c>
      <c r="E564" s="4">
        <v>2909406</v>
      </c>
      <c r="F564" s="4" t="s">
        <v>1331</v>
      </c>
      <c r="G564" s="4" t="s">
        <v>243</v>
      </c>
      <c r="H564" s="4"/>
    </row>
    <row r="565" s="1" customFormat="1" spans="1:8">
      <c r="A565" s="4" t="s">
        <v>205</v>
      </c>
      <c r="B565" s="4" t="s">
        <v>57</v>
      </c>
      <c r="C565" s="4" t="s">
        <v>60</v>
      </c>
      <c r="D565" s="4" t="s">
        <v>1332</v>
      </c>
      <c r="E565" s="4">
        <v>2909703</v>
      </c>
      <c r="F565" s="4" t="s">
        <v>1333</v>
      </c>
      <c r="G565" s="4" t="s">
        <v>243</v>
      </c>
      <c r="H565" s="4"/>
    </row>
    <row r="566" s="1" customFormat="1" spans="1:8">
      <c r="A566" s="4" t="s">
        <v>205</v>
      </c>
      <c r="B566" s="4" t="s">
        <v>57</v>
      </c>
      <c r="C566" s="4" t="s">
        <v>60</v>
      </c>
      <c r="D566" s="4" t="s">
        <v>1334</v>
      </c>
      <c r="E566" s="4">
        <v>2910727</v>
      </c>
      <c r="F566" s="4" t="s">
        <v>1335</v>
      </c>
      <c r="G566" s="4" t="s">
        <v>243</v>
      </c>
      <c r="H566" s="4"/>
    </row>
    <row r="567" s="1" customFormat="1" spans="1:8">
      <c r="A567" s="4" t="s">
        <v>205</v>
      </c>
      <c r="B567" s="4" t="s">
        <v>57</v>
      </c>
      <c r="C567" s="4" t="s">
        <v>60</v>
      </c>
      <c r="D567" s="4" t="s">
        <v>1336</v>
      </c>
      <c r="E567" s="4">
        <v>2910776</v>
      </c>
      <c r="F567" s="4" t="s">
        <v>1337</v>
      </c>
      <c r="G567" s="4" t="s">
        <v>243</v>
      </c>
      <c r="H567" s="4"/>
    </row>
    <row r="568" s="1" customFormat="1" spans="1:8">
      <c r="A568" s="4" t="s">
        <v>205</v>
      </c>
      <c r="B568" s="4" t="s">
        <v>57</v>
      </c>
      <c r="C568" s="4" t="s">
        <v>60</v>
      </c>
      <c r="D568" s="4" t="s">
        <v>1338</v>
      </c>
      <c r="E568" s="4">
        <v>2911105</v>
      </c>
      <c r="F568" s="4" t="s">
        <v>1339</v>
      </c>
      <c r="G568" s="4" t="s">
        <v>243</v>
      </c>
      <c r="H568" s="4"/>
    </row>
    <row r="569" s="1" customFormat="1" spans="1:8">
      <c r="A569" s="4" t="s">
        <v>205</v>
      </c>
      <c r="B569" s="4" t="s">
        <v>57</v>
      </c>
      <c r="C569" s="4" t="s">
        <v>60</v>
      </c>
      <c r="D569" s="4" t="s">
        <v>1340</v>
      </c>
      <c r="E569" s="4">
        <v>2911709</v>
      </c>
      <c r="F569" s="4" t="s">
        <v>1341</v>
      </c>
      <c r="G569" s="4" t="s">
        <v>243</v>
      </c>
      <c r="H569" s="4"/>
    </row>
    <row r="570" s="1" customFormat="1" spans="1:8">
      <c r="A570" s="4" t="s">
        <v>205</v>
      </c>
      <c r="B570" s="4" t="s">
        <v>57</v>
      </c>
      <c r="C570" s="4" t="s">
        <v>60</v>
      </c>
      <c r="D570" s="4" t="s">
        <v>1342</v>
      </c>
      <c r="E570" s="4">
        <v>2911808</v>
      </c>
      <c r="F570" s="4" t="s">
        <v>1343</v>
      </c>
      <c r="G570" s="4" t="s">
        <v>243</v>
      </c>
      <c r="H570" s="4"/>
    </row>
    <row r="571" s="1" customFormat="1" spans="1:8">
      <c r="A571" s="4" t="s">
        <v>205</v>
      </c>
      <c r="B571" s="4" t="s">
        <v>57</v>
      </c>
      <c r="C571" s="4" t="s">
        <v>60</v>
      </c>
      <c r="D571" s="4" t="s">
        <v>1344</v>
      </c>
      <c r="E571" s="4">
        <v>2912806</v>
      </c>
      <c r="F571" s="4" t="s">
        <v>1345</v>
      </c>
      <c r="G571" s="4" t="s">
        <v>243</v>
      </c>
      <c r="H571" s="4"/>
    </row>
    <row r="572" s="1" customFormat="1" spans="1:8">
      <c r="A572" s="4" t="s">
        <v>205</v>
      </c>
      <c r="B572" s="4" t="s">
        <v>57</v>
      </c>
      <c r="C572" s="4" t="s">
        <v>60</v>
      </c>
      <c r="D572" s="4" t="s">
        <v>1346</v>
      </c>
      <c r="E572" s="4">
        <v>2913200</v>
      </c>
      <c r="F572" s="4" t="s">
        <v>1347</v>
      </c>
      <c r="G572" s="4" t="s">
        <v>243</v>
      </c>
      <c r="H572" s="4"/>
    </row>
    <row r="573" s="1" customFormat="1" spans="1:8">
      <c r="A573" s="4" t="s">
        <v>205</v>
      </c>
      <c r="B573" s="4" t="s">
        <v>57</v>
      </c>
      <c r="C573" s="4" t="s">
        <v>60</v>
      </c>
      <c r="D573" s="4" t="s">
        <v>1348</v>
      </c>
      <c r="E573" s="4">
        <v>2913408</v>
      </c>
      <c r="F573" s="4" t="s">
        <v>1349</v>
      </c>
      <c r="G573" s="4" t="s">
        <v>243</v>
      </c>
      <c r="H573" s="4"/>
    </row>
    <row r="574" s="1" customFormat="1" spans="1:8">
      <c r="A574" s="4" t="s">
        <v>205</v>
      </c>
      <c r="B574" s="4" t="s">
        <v>57</v>
      </c>
      <c r="C574" s="4" t="s">
        <v>60</v>
      </c>
      <c r="D574" s="4" t="s">
        <v>1350</v>
      </c>
      <c r="E574" s="4">
        <v>2914109</v>
      </c>
      <c r="F574" s="4" t="s">
        <v>724</v>
      </c>
      <c r="G574" s="4" t="s">
        <v>243</v>
      </c>
      <c r="H574" s="4"/>
    </row>
    <row r="575" s="1" customFormat="1" spans="1:8">
      <c r="A575" s="4" t="s">
        <v>205</v>
      </c>
      <c r="B575" s="4" t="s">
        <v>57</v>
      </c>
      <c r="C575" s="4" t="s">
        <v>60</v>
      </c>
      <c r="D575" s="4" t="s">
        <v>1351</v>
      </c>
      <c r="E575" s="4">
        <v>2914653</v>
      </c>
      <c r="F575" s="4" t="s">
        <v>1352</v>
      </c>
      <c r="G575" s="4" t="s">
        <v>243</v>
      </c>
      <c r="H575" s="4"/>
    </row>
    <row r="576" s="1" customFormat="1" spans="1:8">
      <c r="A576" s="4" t="s">
        <v>205</v>
      </c>
      <c r="B576" s="4" t="s">
        <v>57</v>
      </c>
      <c r="C576" s="4" t="s">
        <v>60</v>
      </c>
      <c r="D576" s="4" t="s">
        <v>1353</v>
      </c>
      <c r="E576" s="4">
        <v>2915601</v>
      </c>
      <c r="F576" s="4" t="s">
        <v>1354</v>
      </c>
      <c r="G576" s="4" t="s">
        <v>243</v>
      </c>
      <c r="H576" s="4"/>
    </row>
    <row r="577" s="1" customFormat="1" spans="1:8">
      <c r="A577" s="4" t="s">
        <v>205</v>
      </c>
      <c r="B577" s="4" t="s">
        <v>57</v>
      </c>
      <c r="C577" s="4" t="s">
        <v>60</v>
      </c>
      <c r="D577" s="4" t="s">
        <v>1355</v>
      </c>
      <c r="E577" s="4">
        <v>2916005</v>
      </c>
      <c r="F577" s="4" t="s">
        <v>1356</v>
      </c>
      <c r="G577" s="4" t="s">
        <v>243</v>
      </c>
      <c r="H577" s="4"/>
    </row>
    <row r="578" s="1" customFormat="1" spans="1:8">
      <c r="A578" s="4" t="s">
        <v>205</v>
      </c>
      <c r="B578" s="4" t="s">
        <v>57</v>
      </c>
      <c r="C578" s="4" t="s">
        <v>60</v>
      </c>
      <c r="D578" s="4" t="s">
        <v>1357</v>
      </c>
      <c r="E578" s="4">
        <v>2917334</v>
      </c>
      <c r="F578" s="4" t="s">
        <v>1358</v>
      </c>
      <c r="G578" s="4" t="s">
        <v>243</v>
      </c>
      <c r="H578" s="4"/>
    </row>
    <row r="579" s="1" customFormat="1" spans="1:8">
      <c r="A579" s="4" t="s">
        <v>205</v>
      </c>
      <c r="B579" s="4" t="s">
        <v>57</v>
      </c>
      <c r="C579" s="4" t="s">
        <v>60</v>
      </c>
      <c r="D579" s="4" t="s">
        <v>1359</v>
      </c>
      <c r="E579" s="4">
        <v>2917359</v>
      </c>
      <c r="F579" s="4" t="s">
        <v>1360</v>
      </c>
      <c r="G579" s="4" t="s">
        <v>243</v>
      </c>
      <c r="H579" s="4"/>
    </row>
    <row r="580" s="1" customFormat="1" spans="1:8">
      <c r="A580" s="4" t="s">
        <v>205</v>
      </c>
      <c r="B580" s="4" t="s">
        <v>57</v>
      </c>
      <c r="C580" s="4" t="s">
        <v>60</v>
      </c>
      <c r="D580" s="4" t="s">
        <v>1361</v>
      </c>
      <c r="E580" s="4">
        <v>2917409</v>
      </c>
      <c r="F580" s="4" t="s">
        <v>1362</v>
      </c>
      <c r="G580" s="4" t="s">
        <v>243</v>
      </c>
      <c r="H580" s="4"/>
    </row>
    <row r="581" s="1" customFormat="1" spans="1:8">
      <c r="A581" s="4" t="s">
        <v>205</v>
      </c>
      <c r="B581" s="4" t="s">
        <v>57</v>
      </c>
      <c r="C581" s="4" t="s">
        <v>60</v>
      </c>
      <c r="D581" s="4" t="s">
        <v>1363</v>
      </c>
      <c r="E581" s="4">
        <v>2918456</v>
      </c>
      <c r="F581" s="4" t="s">
        <v>1364</v>
      </c>
      <c r="G581" s="4" t="s">
        <v>243</v>
      </c>
      <c r="H581" s="4"/>
    </row>
    <row r="582" s="1" customFormat="1" spans="1:8">
      <c r="A582" s="4" t="s">
        <v>205</v>
      </c>
      <c r="B582" s="4" t="s">
        <v>57</v>
      </c>
      <c r="C582" s="4" t="s">
        <v>60</v>
      </c>
      <c r="D582" s="4" t="s">
        <v>1365</v>
      </c>
      <c r="E582" s="4">
        <v>2918902</v>
      </c>
      <c r="F582" s="4" t="s">
        <v>1366</v>
      </c>
      <c r="G582" s="4" t="s">
        <v>243</v>
      </c>
      <c r="H582" s="4"/>
    </row>
    <row r="583" s="1" customFormat="1" spans="1:8">
      <c r="A583" s="4" t="s">
        <v>205</v>
      </c>
      <c r="B583" s="4" t="s">
        <v>57</v>
      </c>
      <c r="C583" s="4" t="s">
        <v>60</v>
      </c>
      <c r="D583" s="4" t="s">
        <v>1367</v>
      </c>
      <c r="E583" s="4">
        <v>2919405</v>
      </c>
      <c r="F583" s="4" t="s">
        <v>1368</v>
      </c>
      <c r="G583" s="4" t="s">
        <v>243</v>
      </c>
      <c r="H583" s="4"/>
    </row>
    <row r="584" s="1" customFormat="1" spans="1:8">
      <c r="A584" s="4" t="s">
        <v>205</v>
      </c>
      <c r="B584" s="4" t="s">
        <v>57</v>
      </c>
      <c r="C584" s="4" t="s">
        <v>60</v>
      </c>
      <c r="D584" s="4" t="s">
        <v>1369</v>
      </c>
      <c r="E584" s="4">
        <v>2919553</v>
      </c>
      <c r="F584" s="4" t="s">
        <v>1370</v>
      </c>
      <c r="G584" s="4" t="s">
        <v>243</v>
      </c>
      <c r="H584" s="4"/>
    </row>
    <row r="585" s="1" customFormat="1" spans="1:8">
      <c r="A585" s="4" t="s">
        <v>205</v>
      </c>
      <c r="B585" s="4" t="s">
        <v>57</v>
      </c>
      <c r="C585" s="4" t="s">
        <v>60</v>
      </c>
      <c r="D585" s="4" t="s">
        <v>1371</v>
      </c>
      <c r="E585" s="4">
        <v>2920205</v>
      </c>
      <c r="F585" s="4" t="s">
        <v>1372</v>
      </c>
      <c r="G585" s="4" t="s">
        <v>243</v>
      </c>
      <c r="H585" s="4"/>
    </row>
    <row r="586" s="1" customFormat="1" spans="1:8">
      <c r="A586" s="4" t="s">
        <v>205</v>
      </c>
      <c r="B586" s="4" t="s">
        <v>57</v>
      </c>
      <c r="C586" s="4" t="s">
        <v>60</v>
      </c>
      <c r="D586" s="4" t="s">
        <v>1373</v>
      </c>
      <c r="E586" s="4">
        <v>2920452</v>
      </c>
      <c r="F586" s="4" t="s">
        <v>1374</v>
      </c>
      <c r="G586" s="4" t="s">
        <v>243</v>
      </c>
      <c r="H586" s="4"/>
    </row>
    <row r="587" s="1" customFormat="1" spans="1:8">
      <c r="A587" s="4" t="s">
        <v>205</v>
      </c>
      <c r="B587" s="4" t="s">
        <v>57</v>
      </c>
      <c r="C587" s="4" t="s">
        <v>60</v>
      </c>
      <c r="D587" s="4" t="s">
        <v>1375</v>
      </c>
      <c r="E587" s="4">
        <v>2921054</v>
      </c>
      <c r="F587" s="4" t="s">
        <v>1376</v>
      </c>
      <c r="G587" s="4" t="s">
        <v>243</v>
      </c>
      <c r="H587" s="4"/>
    </row>
    <row r="588" s="1" customFormat="1" spans="1:8">
      <c r="A588" s="4" t="s">
        <v>205</v>
      </c>
      <c r="B588" s="4" t="s">
        <v>57</v>
      </c>
      <c r="C588" s="4" t="s">
        <v>60</v>
      </c>
      <c r="D588" s="4" t="s">
        <v>1377</v>
      </c>
      <c r="E588" s="4">
        <v>2921104</v>
      </c>
      <c r="F588" s="4" t="s">
        <v>1378</v>
      </c>
      <c r="G588" s="4" t="s">
        <v>243</v>
      </c>
      <c r="H588" s="4"/>
    </row>
    <row r="589" s="1" customFormat="1" spans="1:8">
      <c r="A589" s="4" t="s">
        <v>205</v>
      </c>
      <c r="B589" s="4" t="s">
        <v>57</v>
      </c>
      <c r="C589" s="4" t="s">
        <v>60</v>
      </c>
      <c r="D589" s="4" t="s">
        <v>1379</v>
      </c>
      <c r="E589" s="4">
        <v>2921609</v>
      </c>
      <c r="F589" s="4" t="s">
        <v>1380</v>
      </c>
      <c r="G589" s="4" t="s">
        <v>243</v>
      </c>
      <c r="H589" s="4"/>
    </row>
    <row r="590" s="1" customFormat="1" spans="1:8">
      <c r="A590" s="4" t="s">
        <v>205</v>
      </c>
      <c r="B590" s="4" t="s">
        <v>57</v>
      </c>
      <c r="C590" s="4" t="s">
        <v>60</v>
      </c>
      <c r="D590" s="4" t="s">
        <v>1381</v>
      </c>
      <c r="E590" s="4">
        <v>2921807</v>
      </c>
      <c r="F590" s="4" t="s">
        <v>1382</v>
      </c>
      <c r="G590" s="4" t="s">
        <v>243</v>
      </c>
      <c r="H590" s="4"/>
    </row>
    <row r="591" s="1" customFormat="1" spans="1:8">
      <c r="A591" s="4" t="s">
        <v>205</v>
      </c>
      <c r="B591" s="4" t="s">
        <v>57</v>
      </c>
      <c r="C591" s="4" t="s">
        <v>60</v>
      </c>
      <c r="D591" s="4" t="s">
        <v>1383</v>
      </c>
      <c r="E591" s="4">
        <v>2922003</v>
      </c>
      <c r="F591" s="4" t="s">
        <v>1384</v>
      </c>
      <c r="G591" s="4" t="s">
        <v>243</v>
      </c>
      <c r="H591" s="4"/>
    </row>
    <row r="592" s="1" customFormat="1" spans="1:8">
      <c r="A592" s="4" t="s">
        <v>205</v>
      </c>
      <c r="B592" s="4" t="s">
        <v>57</v>
      </c>
      <c r="C592" s="4" t="s">
        <v>60</v>
      </c>
      <c r="D592" s="4" t="s">
        <v>1385</v>
      </c>
      <c r="E592" s="4">
        <v>2922250</v>
      </c>
      <c r="F592" s="4" t="s">
        <v>1386</v>
      </c>
      <c r="G592" s="4" t="s">
        <v>243</v>
      </c>
      <c r="H592" s="4"/>
    </row>
    <row r="593" s="1" customFormat="1" spans="1:8">
      <c r="A593" s="4" t="s">
        <v>205</v>
      </c>
      <c r="B593" s="4" t="s">
        <v>57</v>
      </c>
      <c r="C593" s="4" t="s">
        <v>60</v>
      </c>
      <c r="D593" s="4" t="s">
        <v>1387</v>
      </c>
      <c r="E593" s="4">
        <v>2923001</v>
      </c>
      <c r="F593" s="4" t="s">
        <v>1388</v>
      </c>
      <c r="G593" s="4" t="s">
        <v>243</v>
      </c>
      <c r="H593" s="4"/>
    </row>
    <row r="594" s="1" customFormat="1" spans="1:8">
      <c r="A594" s="4" t="s">
        <v>205</v>
      </c>
      <c r="B594" s="4" t="s">
        <v>57</v>
      </c>
      <c r="C594" s="4" t="s">
        <v>60</v>
      </c>
      <c r="D594" s="4" t="s">
        <v>1389</v>
      </c>
      <c r="E594" s="4">
        <v>2923407</v>
      </c>
      <c r="F594" s="4" t="s">
        <v>1390</v>
      </c>
      <c r="G594" s="4" t="s">
        <v>243</v>
      </c>
      <c r="H594" s="4"/>
    </row>
    <row r="595" s="1" customFormat="1" spans="1:8">
      <c r="A595" s="4" t="s">
        <v>205</v>
      </c>
      <c r="B595" s="4" t="s">
        <v>57</v>
      </c>
      <c r="C595" s="4" t="s">
        <v>60</v>
      </c>
      <c r="D595" s="4" t="s">
        <v>1391</v>
      </c>
      <c r="E595" s="4">
        <v>2923605</v>
      </c>
      <c r="F595" s="4" t="s">
        <v>1392</v>
      </c>
      <c r="G595" s="4" t="s">
        <v>243</v>
      </c>
      <c r="H595" s="4"/>
    </row>
    <row r="596" s="1" customFormat="1" spans="1:8">
      <c r="A596" s="4" t="s">
        <v>205</v>
      </c>
      <c r="B596" s="4" t="s">
        <v>57</v>
      </c>
      <c r="C596" s="4" t="s">
        <v>60</v>
      </c>
      <c r="D596" s="4" t="s">
        <v>1393</v>
      </c>
      <c r="E596" s="4">
        <v>2923704</v>
      </c>
      <c r="F596" s="4" t="s">
        <v>1394</v>
      </c>
      <c r="G596" s="4" t="s">
        <v>243</v>
      </c>
      <c r="H596" s="4"/>
    </row>
    <row r="597" s="1" customFormat="1" spans="1:8">
      <c r="A597" s="4" t="s">
        <v>205</v>
      </c>
      <c r="B597" s="4" t="s">
        <v>57</v>
      </c>
      <c r="C597" s="4" t="s">
        <v>60</v>
      </c>
      <c r="D597" s="4" t="s">
        <v>1395</v>
      </c>
      <c r="E597" s="4">
        <v>2924405</v>
      </c>
      <c r="F597" s="4" t="s">
        <v>1396</v>
      </c>
      <c r="G597" s="4" t="s">
        <v>243</v>
      </c>
      <c r="H597" s="4"/>
    </row>
    <row r="598" s="1" customFormat="1" spans="1:8">
      <c r="A598" s="4" t="s">
        <v>205</v>
      </c>
      <c r="B598" s="4" t="s">
        <v>57</v>
      </c>
      <c r="C598" s="4" t="s">
        <v>60</v>
      </c>
      <c r="D598" s="4" t="s">
        <v>1397</v>
      </c>
      <c r="E598" s="4">
        <v>2924504</v>
      </c>
      <c r="F598" s="4" t="s">
        <v>1398</v>
      </c>
      <c r="G598" s="4" t="s">
        <v>243</v>
      </c>
      <c r="H598" s="4"/>
    </row>
    <row r="599" s="1" customFormat="1" spans="1:8">
      <c r="A599" s="4" t="s">
        <v>205</v>
      </c>
      <c r="B599" s="4" t="s">
        <v>57</v>
      </c>
      <c r="C599" s="4" t="s">
        <v>60</v>
      </c>
      <c r="D599" s="4" t="s">
        <v>1399</v>
      </c>
      <c r="E599" s="4">
        <v>2925303</v>
      </c>
      <c r="F599" s="4" t="s">
        <v>1400</v>
      </c>
      <c r="G599" s="4" t="s">
        <v>243</v>
      </c>
      <c r="H599" s="4"/>
    </row>
    <row r="600" s="1" customFormat="1" spans="1:8">
      <c r="A600" s="4" t="s">
        <v>205</v>
      </c>
      <c r="B600" s="4" t="s">
        <v>57</v>
      </c>
      <c r="C600" s="4" t="s">
        <v>60</v>
      </c>
      <c r="D600" s="4" t="s">
        <v>1401</v>
      </c>
      <c r="E600" s="4">
        <v>2925501</v>
      </c>
      <c r="F600" s="4" t="s">
        <v>1402</v>
      </c>
      <c r="G600" s="4" t="s">
        <v>243</v>
      </c>
      <c r="H600" s="4"/>
    </row>
    <row r="601" s="1" customFormat="1" spans="1:8">
      <c r="A601" s="4" t="s">
        <v>205</v>
      </c>
      <c r="B601" s="4" t="s">
        <v>57</v>
      </c>
      <c r="C601" s="4" t="s">
        <v>60</v>
      </c>
      <c r="D601" s="4" t="s">
        <v>1403</v>
      </c>
      <c r="E601" s="4">
        <v>2926004</v>
      </c>
      <c r="F601" s="4" t="s">
        <v>1404</v>
      </c>
      <c r="G601" s="4" t="s">
        <v>243</v>
      </c>
      <c r="H601" s="4"/>
    </row>
    <row r="602" s="1" customFormat="1" spans="1:8">
      <c r="A602" s="4" t="s">
        <v>205</v>
      </c>
      <c r="B602" s="4" t="s">
        <v>57</v>
      </c>
      <c r="C602" s="4" t="s">
        <v>60</v>
      </c>
      <c r="D602" s="4" t="s">
        <v>1405</v>
      </c>
      <c r="E602" s="4">
        <v>2926400</v>
      </c>
      <c r="F602" s="4" t="s">
        <v>1406</v>
      </c>
      <c r="G602" s="4" t="s">
        <v>243</v>
      </c>
      <c r="H602" s="4"/>
    </row>
    <row r="603" s="1" customFormat="1" spans="1:8">
      <c r="A603" s="4" t="s">
        <v>205</v>
      </c>
      <c r="B603" s="4" t="s">
        <v>57</v>
      </c>
      <c r="C603" s="4" t="s">
        <v>60</v>
      </c>
      <c r="D603" s="4" t="s">
        <v>1407</v>
      </c>
      <c r="E603" s="4">
        <v>2926202</v>
      </c>
      <c r="F603" s="4" t="s">
        <v>1408</v>
      </c>
      <c r="G603" s="4" t="s">
        <v>243</v>
      </c>
      <c r="H603" s="4"/>
    </row>
    <row r="604" s="1" customFormat="1" spans="1:8">
      <c r="A604" s="4" t="s">
        <v>205</v>
      </c>
      <c r="B604" s="4" t="s">
        <v>57</v>
      </c>
      <c r="C604" s="4" t="s">
        <v>60</v>
      </c>
      <c r="D604" s="4" t="s">
        <v>1409</v>
      </c>
      <c r="E604" s="4">
        <v>2927705</v>
      </c>
      <c r="F604" s="4" t="s">
        <v>1410</v>
      </c>
      <c r="G604" s="4" t="s">
        <v>243</v>
      </c>
      <c r="H604" s="4"/>
    </row>
    <row r="605" s="1" customFormat="1" spans="1:8">
      <c r="A605" s="4" t="s">
        <v>205</v>
      </c>
      <c r="B605" s="4" t="s">
        <v>57</v>
      </c>
      <c r="C605" s="4" t="s">
        <v>60</v>
      </c>
      <c r="D605" s="4" t="s">
        <v>1411</v>
      </c>
      <c r="E605" s="4">
        <v>2928109</v>
      </c>
      <c r="F605" s="4" t="s">
        <v>1412</v>
      </c>
      <c r="G605" s="4" t="s">
        <v>243</v>
      </c>
      <c r="H605" s="4"/>
    </row>
    <row r="606" s="1" customFormat="1" spans="1:8">
      <c r="A606" s="4" t="s">
        <v>205</v>
      </c>
      <c r="B606" s="4" t="s">
        <v>57</v>
      </c>
      <c r="C606" s="4" t="s">
        <v>60</v>
      </c>
      <c r="D606" s="4" t="s">
        <v>1413</v>
      </c>
      <c r="E606" s="4">
        <v>2928406</v>
      </c>
      <c r="F606" s="4" t="s">
        <v>1414</v>
      </c>
      <c r="G606" s="4" t="s">
        <v>243</v>
      </c>
      <c r="H606" s="4"/>
    </row>
    <row r="607" s="1" customFormat="1" spans="1:8">
      <c r="A607" s="4" t="s">
        <v>205</v>
      </c>
      <c r="B607" s="4" t="s">
        <v>57</v>
      </c>
      <c r="C607" s="4" t="s">
        <v>60</v>
      </c>
      <c r="D607" s="4" t="s">
        <v>584</v>
      </c>
      <c r="E607" s="4">
        <v>2928208</v>
      </c>
      <c r="F607" s="4" t="s">
        <v>1415</v>
      </c>
      <c r="G607" s="4" t="s">
        <v>243</v>
      </c>
      <c r="H607" s="4"/>
    </row>
    <row r="608" s="1" customFormat="1" spans="1:8">
      <c r="A608" s="4" t="s">
        <v>205</v>
      </c>
      <c r="B608" s="4" t="s">
        <v>57</v>
      </c>
      <c r="C608" s="4" t="s">
        <v>60</v>
      </c>
      <c r="D608" s="4" t="s">
        <v>1416</v>
      </c>
      <c r="E608" s="4">
        <v>2930006</v>
      </c>
      <c r="F608" s="4" t="s">
        <v>1417</v>
      </c>
      <c r="G608" s="4" t="s">
        <v>243</v>
      </c>
      <c r="H608" s="4"/>
    </row>
    <row r="609" s="1" customFormat="1" spans="1:8">
      <c r="A609" s="4" t="s">
        <v>205</v>
      </c>
      <c r="B609" s="4" t="s">
        <v>57</v>
      </c>
      <c r="C609" s="4" t="s">
        <v>60</v>
      </c>
      <c r="D609" s="4" t="s">
        <v>1418</v>
      </c>
      <c r="E609" s="4">
        <v>2930204</v>
      </c>
      <c r="F609" s="4" t="s">
        <v>1419</v>
      </c>
      <c r="G609" s="4" t="s">
        <v>243</v>
      </c>
      <c r="H609" s="4"/>
    </row>
    <row r="610" s="1" customFormat="1" spans="1:8">
      <c r="A610" s="4" t="s">
        <v>205</v>
      </c>
      <c r="B610" s="4" t="s">
        <v>57</v>
      </c>
      <c r="C610" s="4" t="s">
        <v>60</v>
      </c>
      <c r="D610" s="4" t="s">
        <v>1420</v>
      </c>
      <c r="E610" s="4">
        <v>2930154</v>
      </c>
      <c r="F610" s="4" t="s">
        <v>1421</v>
      </c>
      <c r="G610" s="4" t="s">
        <v>243</v>
      </c>
      <c r="H610" s="4"/>
    </row>
    <row r="611" s="1" customFormat="1" spans="1:8">
      <c r="A611" s="4" t="s">
        <v>205</v>
      </c>
      <c r="B611" s="4" t="s">
        <v>57</v>
      </c>
      <c r="C611" s="4" t="s">
        <v>60</v>
      </c>
      <c r="D611" s="4" t="s">
        <v>1422</v>
      </c>
      <c r="E611" s="4">
        <v>2930303</v>
      </c>
      <c r="F611" s="4" t="s">
        <v>1423</v>
      </c>
      <c r="G611" s="4" t="s">
        <v>243</v>
      </c>
      <c r="H611" s="4"/>
    </row>
    <row r="612" s="1" customFormat="1" spans="1:8">
      <c r="A612" s="4" t="s">
        <v>205</v>
      </c>
      <c r="B612" s="4" t="s">
        <v>57</v>
      </c>
      <c r="C612" s="4" t="s">
        <v>60</v>
      </c>
      <c r="D612" s="4" t="s">
        <v>1424</v>
      </c>
      <c r="E612" s="4">
        <v>2928901</v>
      </c>
      <c r="F612" s="4" t="s">
        <v>1425</v>
      </c>
      <c r="G612" s="4" t="s">
        <v>243</v>
      </c>
      <c r="H612" s="4"/>
    </row>
    <row r="613" s="1" customFormat="1" spans="1:8">
      <c r="A613" s="4" t="s">
        <v>205</v>
      </c>
      <c r="B613" s="4" t="s">
        <v>57</v>
      </c>
      <c r="C613" s="4" t="s">
        <v>60</v>
      </c>
      <c r="D613" s="4" t="s">
        <v>1426</v>
      </c>
      <c r="E613" s="4">
        <v>2929057</v>
      </c>
      <c r="F613" s="4" t="s">
        <v>1427</v>
      </c>
      <c r="G613" s="4" t="s">
        <v>243</v>
      </c>
      <c r="H613" s="4"/>
    </row>
    <row r="614" s="1" customFormat="1" spans="1:8">
      <c r="A614" s="4" t="s">
        <v>205</v>
      </c>
      <c r="B614" s="4" t="s">
        <v>57</v>
      </c>
      <c r="C614" s="4" t="s">
        <v>60</v>
      </c>
      <c r="D614" s="4" t="s">
        <v>1428</v>
      </c>
      <c r="E614" s="4">
        <v>2930758</v>
      </c>
      <c r="F614" s="4" t="s">
        <v>1429</v>
      </c>
      <c r="G614" s="4" t="s">
        <v>243</v>
      </c>
      <c r="H614" s="4"/>
    </row>
    <row r="615" s="1" customFormat="1" spans="1:8">
      <c r="A615" s="4" t="s">
        <v>205</v>
      </c>
      <c r="B615" s="4" t="s">
        <v>57</v>
      </c>
      <c r="C615" s="4" t="s">
        <v>60</v>
      </c>
      <c r="D615" s="4" t="s">
        <v>1430</v>
      </c>
      <c r="E615" s="4">
        <v>2930907</v>
      </c>
      <c r="F615" s="4" t="s">
        <v>1431</v>
      </c>
      <c r="G615" s="4" t="s">
        <v>243</v>
      </c>
      <c r="H615" s="4"/>
    </row>
    <row r="616" s="1" customFormat="1" spans="1:8">
      <c r="A616" s="4" t="s">
        <v>205</v>
      </c>
      <c r="B616" s="4" t="s">
        <v>57</v>
      </c>
      <c r="C616" s="4" t="s">
        <v>60</v>
      </c>
      <c r="D616" s="4" t="s">
        <v>1432</v>
      </c>
      <c r="E616" s="4">
        <v>2931053</v>
      </c>
      <c r="F616" s="4" t="s">
        <v>1433</v>
      </c>
      <c r="G616" s="4" t="s">
        <v>243</v>
      </c>
      <c r="H616" s="4"/>
    </row>
    <row r="617" s="1" customFormat="1" spans="1:8">
      <c r="A617" s="4" t="s">
        <v>205</v>
      </c>
      <c r="B617" s="4" t="s">
        <v>57</v>
      </c>
      <c r="C617" s="4" t="s">
        <v>60</v>
      </c>
      <c r="D617" s="4" t="s">
        <v>1434</v>
      </c>
      <c r="E617" s="4">
        <v>2931350</v>
      </c>
      <c r="F617" s="4" t="s">
        <v>1435</v>
      </c>
      <c r="G617" s="4" t="s">
        <v>243</v>
      </c>
      <c r="H617" s="4"/>
    </row>
    <row r="618" s="1" customFormat="1" spans="1:8">
      <c r="A618" s="4" t="s">
        <v>205</v>
      </c>
      <c r="B618" s="4" t="s">
        <v>57</v>
      </c>
      <c r="C618" s="4" t="s">
        <v>60</v>
      </c>
      <c r="D618" s="4" t="s">
        <v>1436</v>
      </c>
      <c r="E618" s="4">
        <v>2932606</v>
      </c>
      <c r="F618" s="4" t="s">
        <v>1437</v>
      </c>
      <c r="G618" s="4" t="s">
        <v>243</v>
      </c>
      <c r="H618" s="4"/>
    </row>
    <row r="619" s="1" customFormat="1" spans="1:8">
      <c r="A619" s="4" t="s">
        <v>205</v>
      </c>
      <c r="B619" s="4" t="s">
        <v>57</v>
      </c>
      <c r="C619" s="4" t="s">
        <v>60</v>
      </c>
      <c r="D619" s="4" t="s">
        <v>1438</v>
      </c>
      <c r="E619" s="4">
        <v>2933257</v>
      </c>
      <c r="F619" s="4" t="s">
        <v>1439</v>
      </c>
      <c r="G619" s="4" t="s">
        <v>243</v>
      </c>
      <c r="H619" s="4"/>
    </row>
    <row r="620" s="1" customFormat="1" spans="1:8">
      <c r="A620" s="4" t="s">
        <v>205</v>
      </c>
      <c r="B620" s="4" t="s">
        <v>57</v>
      </c>
      <c r="C620" s="4" t="s">
        <v>60</v>
      </c>
      <c r="D620" s="4" t="s">
        <v>1440</v>
      </c>
      <c r="E620" s="4">
        <v>2933455</v>
      </c>
      <c r="F620" s="4" t="s">
        <v>1441</v>
      </c>
      <c r="G620" s="4" t="s">
        <v>243</v>
      </c>
      <c r="H620" s="4"/>
    </row>
    <row r="621" s="1" customFormat="1" spans="1:8">
      <c r="A621" s="4" t="s">
        <v>205</v>
      </c>
      <c r="B621" s="9" t="s">
        <v>57</v>
      </c>
      <c r="C621" s="9" t="s">
        <v>60</v>
      </c>
      <c r="D621" s="9" t="s">
        <v>1442</v>
      </c>
      <c r="E621" s="9">
        <v>2900504</v>
      </c>
      <c r="F621" s="9" t="s">
        <v>1443</v>
      </c>
      <c r="G621" s="9" t="s">
        <v>243</v>
      </c>
      <c r="H621" s="10"/>
    </row>
    <row r="622" s="1" customFormat="1" spans="1:8">
      <c r="A622" s="4" t="s">
        <v>205</v>
      </c>
      <c r="B622" s="4" t="s">
        <v>57</v>
      </c>
      <c r="C622" s="4" t="s">
        <v>62</v>
      </c>
      <c r="D622" s="4" t="s">
        <v>63</v>
      </c>
      <c r="E622" s="4">
        <v>2304400</v>
      </c>
      <c r="F622" s="4" t="s">
        <v>1444</v>
      </c>
      <c r="G622" s="4" t="s">
        <v>207</v>
      </c>
      <c r="H622" s="4"/>
    </row>
    <row r="623" s="1" customFormat="1" spans="1:8">
      <c r="A623" s="4" t="s">
        <v>205</v>
      </c>
      <c r="B623" s="4" t="s">
        <v>57</v>
      </c>
      <c r="C623" s="4" t="s">
        <v>62</v>
      </c>
      <c r="D623" s="4" t="s">
        <v>1445</v>
      </c>
      <c r="E623" s="4">
        <v>2301000</v>
      </c>
      <c r="F623" s="4" t="s">
        <v>1446</v>
      </c>
      <c r="G623" s="4" t="s">
        <v>210</v>
      </c>
      <c r="H623" s="4"/>
    </row>
    <row r="624" s="1" customFormat="1" spans="1:8">
      <c r="A624" s="4" t="s">
        <v>205</v>
      </c>
      <c r="B624" s="4" t="s">
        <v>57</v>
      </c>
      <c r="C624" s="4" t="s">
        <v>62</v>
      </c>
      <c r="D624" s="4" t="s">
        <v>1447</v>
      </c>
      <c r="E624" s="4">
        <v>2303709</v>
      </c>
      <c r="F624" s="4" t="s">
        <v>1448</v>
      </c>
      <c r="G624" s="4" t="s">
        <v>210</v>
      </c>
      <c r="H624" s="4"/>
    </row>
    <row r="625" s="1" customFormat="1" spans="1:8">
      <c r="A625" s="4" t="s">
        <v>205</v>
      </c>
      <c r="B625" s="4" t="s">
        <v>57</v>
      </c>
      <c r="C625" s="4" t="s">
        <v>62</v>
      </c>
      <c r="D625" s="4" t="s">
        <v>1449</v>
      </c>
      <c r="E625" s="4">
        <v>2304285</v>
      </c>
      <c r="F625" s="4" t="s">
        <v>1450</v>
      </c>
      <c r="G625" s="4" t="s">
        <v>210</v>
      </c>
      <c r="H625" s="4"/>
    </row>
    <row r="626" s="1" customFormat="1" spans="1:8">
      <c r="A626" s="4" t="s">
        <v>205</v>
      </c>
      <c r="B626" s="4" t="s">
        <v>57</v>
      </c>
      <c r="C626" s="4" t="s">
        <v>62</v>
      </c>
      <c r="D626" s="4" t="s">
        <v>1451</v>
      </c>
      <c r="E626" s="4">
        <v>2306256</v>
      </c>
      <c r="F626" s="4" t="s">
        <v>1452</v>
      </c>
      <c r="G626" s="4" t="s">
        <v>210</v>
      </c>
      <c r="H626" s="4"/>
    </row>
    <row r="627" s="1" customFormat="1" spans="1:8">
      <c r="A627" s="4" t="s">
        <v>205</v>
      </c>
      <c r="B627" s="4" t="s">
        <v>57</v>
      </c>
      <c r="C627" s="4" t="s">
        <v>62</v>
      </c>
      <c r="D627" s="4" t="s">
        <v>1453</v>
      </c>
      <c r="E627" s="4">
        <v>2307650</v>
      </c>
      <c r="F627" s="4" t="s">
        <v>1454</v>
      </c>
      <c r="G627" s="4" t="s">
        <v>210</v>
      </c>
      <c r="H627" s="4"/>
    </row>
    <row r="628" s="1" customFormat="1" spans="1:8">
      <c r="A628" s="4" t="s">
        <v>205</v>
      </c>
      <c r="B628" s="4" t="s">
        <v>57</v>
      </c>
      <c r="C628" s="4" t="s">
        <v>62</v>
      </c>
      <c r="D628" s="4" t="s">
        <v>1455</v>
      </c>
      <c r="E628" s="4">
        <v>2307700</v>
      </c>
      <c r="F628" s="4" t="s">
        <v>1456</v>
      </c>
      <c r="G628" s="4" t="s">
        <v>210</v>
      </c>
      <c r="H628" s="4"/>
    </row>
    <row r="629" s="1" customFormat="1" spans="1:8">
      <c r="A629" s="4" t="s">
        <v>205</v>
      </c>
      <c r="B629" s="4" t="s">
        <v>57</v>
      </c>
      <c r="C629" s="4" t="s">
        <v>62</v>
      </c>
      <c r="D629" s="4" t="s">
        <v>1457</v>
      </c>
      <c r="E629" s="4">
        <v>2300150</v>
      </c>
      <c r="F629" s="4" t="s">
        <v>1458</v>
      </c>
      <c r="G629" s="4" t="s">
        <v>215</v>
      </c>
      <c r="H629" s="4"/>
    </row>
    <row r="630" s="1" customFormat="1" spans="1:8">
      <c r="A630" s="4" t="s">
        <v>205</v>
      </c>
      <c r="B630" s="4" t="s">
        <v>57</v>
      </c>
      <c r="C630" s="4" t="s">
        <v>62</v>
      </c>
      <c r="D630" s="4" t="s">
        <v>1459</v>
      </c>
      <c r="E630" s="4">
        <v>2300754</v>
      </c>
      <c r="F630" s="4" t="s">
        <v>1460</v>
      </c>
      <c r="G630" s="4" t="s">
        <v>215</v>
      </c>
      <c r="H630" s="4"/>
    </row>
    <row r="631" s="1" customFormat="1" spans="1:8">
      <c r="A631" s="4" t="s">
        <v>205</v>
      </c>
      <c r="B631" s="4" t="s">
        <v>57</v>
      </c>
      <c r="C631" s="4" t="s">
        <v>62</v>
      </c>
      <c r="D631" s="4" t="s">
        <v>1461</v>
      </c>
      <c r="E631" s="4">
        <v>2300903</v>
      </c>
      <c r="F631" s="4" t="s">
        <v>1462</v>
      </c>
      <c r="G631" s="4" t="s">
        <v>215</v>
      </c>
      <c r="H631" s="4"/>
    </row>
    <row r="632" s="1" customFormat="1" spans="1:8">
      <c r="A632" s="4" t="s">
        <v>205</v>
      </c>
      <c r="B632" s="4" t="s">
        <v>57</v>
      </c>
      <c r="C632" s="4" t="s">
        <v>62</v>
      </c>
      <c r="D632" s="4" t="s">
        <v>1463</v>
      </c>
      <c r="E632" s="4">
        <v>2301109</v>
      </c>
      <c r="F632" s="4" t="s">
        <v>1464</v>
      </c>
      <c r="G632" s="4" t="s">
        <v>215</v>
      </c>
      <c r="H632" s="4"/>
    </row>
    <row r="633" s="1" customFormat="1" spans="1:8">
      <c r="A633" s="4" t="s">
        <v>205</v>
      </c>
      <c r="B633" s="4" t="s">
        <v>57</v>
      </c>
      <c r="C633" s="4" t="s">
        <v>62</v>
      </c>
      <c r="D633" s="4" t="s">
        <v>1465</v>
      </c>
      <c r="E633" s="4">
        <v>2301208</v>
      </c>
      <c r="F633" s="4" t="s">
        <v>1466</v>
      </c>
      <c r="G633" s="4" t="s">
        <v>215</v>
      </c>
      <c r="H633" s="4"/>
    </row>
    <row r="634" s="1" customFormat="1" spans="1:8">
      <c r="A634" s="4" t="s">
        <v>205</v>
      </c>
      <c r="B634" s="4" t="s">
        <v>57</v>
      </c>
      <c r="C634" s="4" t="s">
        <v>62</v>
      </c>
      <c r="D634" s="4" t="s">
        <v>1467</v>
      </c>
      <c r="E634" s="4">
        <v>2301406</v>
      </c>
      <c r="F634" s="4" t="s">
        <v>1468</v>
      </c>
      <c r="G634" s="4" t="s">
        <v>215</v>
      </c>
      <c r="H634" s="4"/>
    </row>
    <row r="635" s="1" customFormat="1" spans="1:8">
      <c r="A635" s="4" t="s">
        <v>205</v>
      </c>
      <c r="B635" s="4" t="s">
        <v>57</v>
      </c>
      <c r="C635" s="4" t="s">
        <v>62</v>
      </c>
      <c r="D635" s="4" t="s">
        <v>1469</v>
      </c>
      <c r="E635" s="4">
        <v>2301950</v>
      </c>
      <c r="F635" s="4" t="s">
        <v>1470</v>
      </c>
      <c r="G635" s="4" t="s">
        <v>215</v>
      </c>
      <c r="H635" s="4"/>
    </row>
    <row r="636" s="1" customFormat="1" spans="1:8">
      <c r="A636" s="4" t="s">
        <v>205</v>
      </c>
      <c r="B636" s="4" t="s">
        <v>57</v>
      </c>
      <c r="C636" s="4" t="s">
        <v>62</v>
      </c>
      <c r="D636" s="4" t="s">
        <v>1471</v>
      </c>
      <c r="E636" s="4">
        <v>2302107</v>
      </c>
      <c r="F636" s="4" t="s">
        <v>1472</v>
      </c>
      <c r="G636" s="4" t="s">
        <v>215</v>
      </c>
      <c r="H636" s="4"/>
    </row>
    <row r="637" s="1" customFormat="1" spans="1:8">
      <c r="A637" s="4" t="s">
        <v>205</v>
      </c>
      <c r="B637" s="4" t="s">
        <v>57</v>
      </c>
      <c r="C637" s="4" t="s">
        <v>62</v>
      </c>
      <c r="D637" s="4" t="s">
        <v>1473</v>
      </c>
      <c r="E637" s="4">
        <v>2302206</v>
      </c>
      <c r="F637" s="4" t="s">
        <v>1474</v>
      </c>
      <c r="G637" s="4" t="s">
        <v>215</v>
      </c>
      <c r="H637" s="4"/>
    </row>
    <row r="638" s="1" customFormat="1" spans="1:8">
      <c r="A638" s="4" t="s">
        <v>205</v>
      </c>
      <c r="B638" s="4" t="s">
        <v>57</v>
      </c>
      <c r="C638" s="4" t="s">
        <v>62</v>
      </c>
      <c r="D638" s="4" t="s">
        <v>1475</v>
      </c>
      <c r="E638" s="4">
        <v>2302800</v>
      </c>
      <c r="F638" s="4" t="s">
        <v>1476</v>
      </c>
      <c r="G638" s="4" t="s">
        <v>215</v>
      </c>
      <c r="H638" s="4"/>
    </row>
    <row r="639" s="1" customFormat="1" spans="1:8">
      <c r="A639" s="4" t="s">
        <v>205</v>
      </c>
      <c r="B639" s="4" t="s">
        <v>57</v>
      </c>
      <c r="C639" s="4" t="s">
        <v>62</v>
      </c>
      <c r="D639" s="4" t="s">
        <v>1477</v>
      </c>
      <c r="E639" s="4">
        <v>2302909</v>
      </c>
      <c r="F639" s="4" t="s">
        <v>1478</v>
      </c>
      <c r="G639" s="4" t="s">
        <v>215</v>
      </c>
      <c r="H639" s="4"/>
    </row>
    <row r="640" s="1" customFormat="1" spans="1:8">
      <c r="A640" s="4" t="s">
        <v>205</v>
      </c>
      <c r="B640" s="4" t="s">
        <v>57</v>
      </c>
      <c r="C640" s="4" t="s">
        <v>62</v>
      </c>
      <c r="D640" s="4" t="s">
        <v>1479</v>
      </c>
      <c r="E640" s="4">
        <v>2303006</v>
      </c>
      <c r="F640" s="4" t="s">
        <v>1480</v>
      </c>
      <c r="G640" s="4" t="s">
        <v>215</v>
      </c>
      <c r="H640" s="4"/>
    </row>
    <row r="641" s="1" customFormat="1" spans="1:8">
      <c r="A641" s="4" t="s">
        <v>205</v>
      </c>
      <c r="B641" s="4" t="s">
        <v>57</v>
      </c>
      <c r="C641" s="4" t="s">
        <v>62</v>
      </c>
      <c r="D641" s="4" t="s">
        <v>1481</v>
      </c>
      <c r="E641" s="4">
        <v>2303501</v>
      </c>
      <c r="F641" s="4" t="s">
        <v>1482</v>
      </c>
      <c r="G641" s="4" t="s">
        <v>215</v>
      </c>
      <c r="H641" s="4"/>
    </row>
    <row r="642" s="1" customFormat="1" spans="1:8">
      <c r="A642" s="4" t="s">
        <v>205</v>
      </c>
      <c r="B642" s="4" t="s">
        <v>57</v>
      </c>
      <c r="C642" s="4" t="s">
        <v>62</v>
      </c>
      <c r="D642" s="4" t="s">
        <v>1483</v>
      </c>
      <c r="E642" s="4">
        <v>2303956</v>
      </c>
      <c r="F642" s="4" t="s">
        <v>1484</v>
      </c>
      <c r="G642" s="4" t="s">
        <v>215</v>
      </c>
      <c r="H642" s="4"/>
    </row>
    <row r="643" s="1" customFormat="1" spans="1:8">
      <c r="A643" s="4" t="s">
        <v>205</v>
      </c>
      <c r="B643" s="4" t="s">
        <v>57</v>
      </c>
      <c r="C643" s="4" t="s">
        <v>62</v>
      </c>
      <c r="D643" s="4" t="s">
        <v>1485</v>
      </c>
      <c r="E643" s="4">
        <v>2304459</v>
      </c>
      <c r="F643" s="4" t="s">
        <v>1486</v>
      </c>
      <c r="G643" s="4" t="s">
        <v>215</v>
      </c>
      <c r="H643" s="4"/>
    </row>
    <row r="644" s="1" customFormat="1" spans="1:8">
      <c r="A644" s="4" t="s">
        <v>205</v>
      </c>
      <c r="B644" s="4" t="s">
        <v>57</v>
      </c>
      <c r="C644" s="4" t="s">
        <v>62</v>
      </c>
      <c r="D644" s="4" t="s">
        <v>1487</v>
      </c>
      <c r="E644" s="4">
        <v>2304608</v>
      </c>
      <c r="F644" s="4" t="s">
        <v>1488</v>
      </c>
      <c r="G644" s="4" t="s">
        <v>215</v>
      </c>
      <c r="H644" s="4"/>
    </row>
    <row r="645" s="1" customFormat="1" spans="1:8">
      <c r="A645" s="4" t="s">
        <v>205</v>
      </c>
      <c r="B645" s="4" t="s">
        <v>57</v>
      </c>
      <c r="C645" s="4" t="s">
        <v>62</v>
      </c>
      <c r="D645" s="4" t="s">
        <v>1489</v>
      </c>
      <c r="E645" s="4">
        <v>2304954</v>
      </c>
      <c r="F645" s="4" t="s">
        <v>1490</v>
      </c>
      <c r="G645" s="4" t="s">
        <v>215</v>
      </c>
      <c r="H645" s="4"/>
    </row>
    <row r="646" s="1" customFormat="1" spans="1:8">
      <c r="A646" s="4" t="s">
        <v>205</v>
      </c>
      <c r="B646" s="4" t="s">
        <v>57</v>
      </c>
      <c r="C646" s="4" t="s">
        <v>62</v>
      </c>
      <c r="D646" s="4" t="s">
        <v>1491</v>
      </c>
      <c r="E646" s="4">
        <v>2305100</v>
      </c>
      <c r="F646" s="4" t="s">
        <v>1492</v>
      </c>
      <c r="G646" s="4" t="s">
        <v>215</v>
      </c>
      <c r="H646" s="4"/>
    </row>
    <row r="647" s="1" customFormat="1" spans="1:8">
      <c r="A647" s="4" t="s">
        <v>205</v>
      </c>
      <c r="B647" s="4" t="s">
        <v>57</v>
      </c>
      <c r="C647" s="4" t="s">
        <v>62</v>
      </c>
      <c r="D647" s="4" t="s">
        <v>1493</v>
      </c>
      <c r="E647" s="4">
        <v>2305233</v>
      </c>
      <c r="F647" s="4" t="s">
        <v>1494</v>
      </c>
      <c r="G647" s="4" t="s">
        <v>215</v>
      </c>
      <c r="H647" s="4"/>
    </row>
    <row r="648" s="1" customFormat="1" spans="1:8">
      <c r="A648" s="4" t="s">
        <v>205</v>
      </c>
      <c r="B648" s="4" t="s">
        <v>57</v>
      </c>
      <c r="C648" s="4" t="s">
        <v>62</v>
      </c>
      <c r="D648" s="4" t="s">
        <v>1495</v>
      </c>
      <c r="E648" s="4">
        <v>2305266</v>
      </c>
      <c r="F648" s="4" t="s">
        <v>1496</v>
      </c>
      <c r="G648" s="4" t="s">
        <v>215</v>
      </c>
      <c r="H648" s="4"/>
    </row>
    <row r="649" s="1" customFormat="1" spans="1:8">
      <c r="A649" s="4" t="s">
        <v>205</v>
      </c>
      <c r="B649" s="4" t="s">
        <v>57</v>
      </c>
      <c r="C649" s="4" t="s">
        <v>62</v>
      </c>
      <c r="D649" s="4" t="s">
        <v>1497</v>
      </c>
      <c r="E649" s="4">
        <v>2305332</v>
      </c>
      <c r="F649" s="4" t="s">
        <v>1498</v>
      </c>
      <c r="G649" s="4" t="s">
        <v>215</v>
      </c>
      <c r="H649" s="4"/>
    </row>
    <row r="650" s="1" customFormat="1" spans="1:8">
      <c r="A650" s="4" t="s">
        <v>205</v>
      </c>
      <c r="B650" s="4" t="s">
        <v>57</v>
      </c>
      <c r="C650" s="4" t="s">
        <v>62</v>
      </c>
      <c r="D650" s="4" t="s">
        <v>1499</v>
      </c>
      <c r="E650" s="4">
        <v>2306108</v>
      </c>
      <c r="F650" s="4" t="s">
        <v>1500</v>
      </c>
      <c r="G650" s="4" t="s">
        <v>215</v>
      </c>
      <c r="H650" s="4"/>
    </row>
    <row r="651" s="1" customFormat="1" spans="1:8">
      <c r="A651" s="4" t="s">
        <v>205</v>
      </c>
      <c r="B651" s="4" t="s">
        <v>57</v>
      </c>
      <c r="C651" s="4" t="s">
        <v>62</v>
      </c>
      <c r="D651" s="4" t="s">
        <v>1501</v>
      </c>
      <c r="E651" s="4">
        <v>2306207</v>
      </c>
      <c r="F651" s="4" t="s">
        <v>1502</v>
      </c>
      <c r="G651" s="4" t="s">
        <v>215</v>
      </c>
      <c r="H651" s="4"/>
    </row>
    <row r="652" s="1" customFormat="1" spans="1:8">
      <c r="A652" s="4" t="s">
        <v>205</v>
      </c>
      <c r="B652" s="4" t="s">
        <v>57</v>
      </c>
      <c r="C652" s="4" t="s">
        <v>62</v>
      </c>
      <c r="D652" s="4" t="s">
        <v>1503</v>
      </c>
      <c r="E652" s="4">
        <v>2306306</v>
      </c>
      <c r="F652" s="4" t="s">
        <v>1504</v>
      </c>
      <c r="G652" s="4" t="s">
        <v>215</v>
      </c>
      <c r="H652" s="4"/>
    </row>
    <row r="653" s="1" customFormat="1" spans="1:8">
      <c r="A653" s="4" t="s">
        <v>205</v>
      </c>
      <c r="B653" s="4" t="s">
        <v>57</v>
      </c>
      <c r="C653" s="4" t="s">
        <v>62</v>
      </c>
      <c r="D653" s="4" t="s">
        <v>1505</v>
      </c>
      <c r="E653" s="4">
        <v>2306405</v>
      </c>
      <c r="F653" s="4" t="s">
        <v>1506</v>
      </c>
      <c r="G653" s="4" t="s">
        <v>215</v>
      </c>
      <c r="H653" s="4"/>
    </row>
    <row r="654" s="1" customFormat="1" spans="1:8">
      <c r="A654" s="4" t="s">
        <v>205</v>
      </c>
      <c r="B654" s="4" t="s">
        <v>57</v>
      </c>
      <c r="C654" s="4" t="s">
        <v>62</v>
      </c>
      <c r="D654" s="4" t="s">
        <v>1507</v>
      </c>
      <c r="E654" s="4">
        <v>2306504</v>
      </c>
      <c r="F654" s="4" t="s">
        <v>1508</v>
      </c>
      <c r="G654" s="4" t="s">
        <v>215</v>
      </c>
      <c r="H654" s="4"/>
    </row>
    <row r="655" s="1" customFormat="1" spans="1:8">
      <c r="A655" s="4" t="s">
        <v>205</v>
      </c>
      <c r="B655" s="4" t="s">
        <v>57</v>
      </c>
      <c r="C655" s="4" t="s">
        <v>62</v>
      </c>
      <c r="D655" s="4" t="s">
        <v>1509</v>
      </c>
      <c r="E655" s="4">
        <v>2306603</v>
      </c>
      <c r="F655" s="4" t="s">
        <v>1510</v>
      </c>
      <c r="G655" s="4" t="s">
        <v>215</v>
      </c>
      <c r="H655" s="4"/>
    </row>
    <row r="656" s="1" customFormat="1" spans="1:8">
      <c r="A656" s="4" t="s">
        <v>205</v>
      </c>
      <c r="B656" s="4" t="s">
        <v>57</v>
      </c>
      <c r="C656" s="4" t="s">
        <v>62</v>
      </c>
      <c r="D656" s="4" t="s">
        <v>1511</v>
      </c>
      <c r="E656" s="4">
        <v>2307106</v>
      </c>
      <c r="F656" s="4" t="s">
        <v>1512</v>
      </c>
      <c r="G656" s="4" t="s">
        <v>215</v>
      </c>
      <c r="H656" s="4"/>
    </row>
    <row r="657" s="1" customFormat="1" spans="1:8">
      <c r="A657" s="4" t="s">
        <v>205</v>
      </c>
      <c r="B657" s="4" t="s">
        <v>57</v>
      </c>
      <c r="C657" s="4" t="s">
        <v>62</v>
      </c>
      <c r="D657" s="4" t="s">
        <v>1513</v>
      </c>
      <c r="E657" s="4">
        <v>2307635</v>
      </c>
      <c r="F657" s="4" t="s">
        <v>1514</v>
      </c>
      <c r="G657" s="4" t="s">
        <v>215</v>
      </c>
      <c r="H657" s="4"/>
    </row>
    <row r="658" s="1" customFormat="1" spans="1:8">
      <c r="A658" s="4" t="s">
        <v>205</v>
      </c>
      <c r="B658" s="4" t="s">
        <v>57</v>
      </c>
      <c r="C658" s="4" t="s">
        <v>62</v>
      </c>
      <c r="D658" s="4" t="s">
        <v>1515</v>
      </c>
      <c r="E658" s="4">
        <v>2308377</v>
      </c>
      <c r="F658" s="4" t="s">
        <v>1516</v>
      </c>
      <c r="G658" s="4" t="s">
        <v>215</v>
      </c>
      <c r="H658" s="4"/>
    </row>
    <row r="659" s="1" customFormat="1" spans="1:8">
      <c r="A659" s="4" t="s">
        <v>205</v>
      </c>
      <c r="B659" s="4" t="s">
        <v>57</v>
      </c>
      <c r="C659" s="4" t="s">
        <v>62</v>
      </c>
      <c r="D659" s="4" t="s">
        <v>1517</v>
      </c>
      <c r="E659" s="4">
        <v>2308708</v>
      </c>
      <c r="F659" s="4" t="s">
        <v>1518</v>
      </c>
      <c r="G659" s="4" t="s">
        <v>215</v>
      </c>
      <c r="H659" s="4"/>
    </row>
    <row r="660" s="1" customFormat="1" spans="1:8">
      <c r="A660" s="4" t="s">
        <v>205</v>
      </c>
      <c r="B660" s="4" t="s">
        <v>57</v>
      </c>
      <c r="C660" s="4" t="s">
        <v>62</v>
      </c>
      <c r="D660" s="4" t="s">
        <v>1519</v>
      </c>
      <c r="E660" s="4">
        <v>2309102</v>
      </c>
      <c r="F660" s="4" t="s">
        <v>1520</v>
      </c>
      <c r="G660" s="4" t="s">
        <v>215</v>
      </c>
      <c r="H660" s="4"/>
    </row>
    <row r="661" s="1" customFormat="1" spans="1:8">
      <c r="A661" s="4" t="s">
        <v>205</v>
      </c>
      <c r="B661" s="4" t="s">
        <v>57</v>
      </c>
      <c r="C661" s="4" t="s">
        <v>62</v>
      </c>
      <c r="D661" s="4" t="s">
        <v>1521</v>
      </c>
      <c r="E661" s="4">
        <v>2309458</v>
      </c>
      <c r="F661" s="4" t="s">
        <v>1522</v>
      </c>
      <c r="G661" s="4" t="s">
        <v>215</v>
      </c>
      <c r="H661" s="4"/>
    </row>
    <row r="662" s="1" customFormat="1" spans="1:8">
      <c r="A662" s="4" t="s">
        <v>205</v>
      </c>
      <c r="B662" s="4" t="s">
        <v>57</v>
      </c>
      <c r="C662" s="4" t="s">
        <v>62</v>
      </c>
      <c r="D662" s="4" t="s">
        <v>1523</v>
      </c>
      <c r="E662" s="4">
        <v>2309607</v>
      </c>
      <c r="F662" s="4" t="s">
        <v>1524</v>
      </c>
      <c r="G662" s="4" t="s">
        <v>215</v>
      </c>
      <c r="H662" s="4"/>
    </row>
    <row r="663" s="1" customFormat="1" spans="1:8">
      <c r="A663" s="4" t="s">
        <v>205</v>
      </c>
      <c r="B663" s="4" t="s">
        <v>57</v>
      </c>
      <c r="C663" s="4" t="s">
        <v>62</v>
      </c>
      <c r="D663" s="4" t="s">
        <v>1525</v>
      </c>
      <c r="E663" s="4">
        <v>2309706</v>
      </c>
      <c r="F663" s="4" t="s">
        <v>1526</v>
      </c>
      <c r="G663" s="4" t="s">
        <v>215</v>
      </c>
      <c r="H663" s="4"/>
    </row>
    <row r="664" s="1" customFormat="1" spans="1:8">
      <c r="A664" s="4" t="s">
        <v>205</v>
      </c>
      <c r="B664" s="4" t="s">
        <v>57</v>
      </c>
      <c r="C664" s="4" t="s">
        <v>62</v>
      </c>
      <c r="D664" s="4" t="s">
        <v>1527</v>
      </c>
      <c r="E664" s="4">
        <v>2309805</v>
      </c>
      <c r="F664" s="4" t="s">
        <v>1528</v>
      </c>
      <c r="G664" s="4" t="s">
        <v>215</v>
      </c>
      <c r="H664" s="4"/>
    </row>
    <row r="665" s="1" customFormat="1" spans="1:8">
      <c r="A665" s="4" t="s">
        <v>205</v>
      </c>
      <c r="B665" s="4" t="s">
        <v>57</v>
      </c>
      <c r="C665" s="4" t="s">
        <v>62</v>
      </c>
      <c r="D665" s="4" t="s">
        <v>1529</v>
      </c>
      <c r="E665" s="4">
        <v>2310001</v>
      </c>
      <c r="F665" s="4" t="s">
        <v>1530</v>
      </c>
      <c r="G665" s="4" t="s">
        <v>215</v>
      </c>
      <c r="H665" s="4"/>
    </row>
    <row r="666" s="1" customFormat="1" spans="1:8">
      <c r="A666" s="4" t="s">
        <v>205</v>
      </c>
      <c r="B666" s="4" t="s">
        <v>57</v>
      </c>
      <c r="C666" s="4" t="s">
        <v>62</v>
      </c>
      <c r="D666" s="4" t="s">
        <v>1531</v>
      </c>
      <c r="E666" s="4">
        <v>2310100</v>
      </c>
      <c r="F666" s="4" t="s">
        <v>1532</v>
      </c>
      <c r="G666" s="4" t="s">
        <v>215</v>
      </c>
      <c r="H666" s="4"/>
    </row>
    <row r="667" s="1" customFormat="1" spans="1:8">
      <c r="A667" s="4" t="s">
        <v>205</v>
      </c>
      <c r="B667" s="4" t="s">
        <v>57</v>
      </c>
      <c r="C667" s="4" t="s">
        <v>62</v>
      </c>
      <c r="D667" s="4" t="s">
        <v>1533</v>
      </c>
      <c r="E667" s="4">
        <v>2310209</v>
      </c>
      <c r="F667" s="4" t="s">
        <v>1534</v>
      </c>
      <c r="G667" s="4" t="s">
        <v>215</v>
      </c>
      <c r="H667" s="4"/>
    </row>
    <row r="668" s="1" customFormat="1" spans="1:8">
      <c r="A668" s="4" t="s">
        <v>205</v>
      </c>
      <c r="B668" s="4" t="s">
        <v>57</v>
      </c>
      <c r="C668" s="4" t="s">
        <v>62</v>
      </c>
      <c r="D668" s="4" t="s">
        <v>1535</v>
      </c>
      <c r="E668" s="4">
        <v>2310258</v>
      </c>
      <c r="F668" s="4" t="s">
        <v>1536</v>
      </c>
      <c r="G668" s="4" t="s">
        <v>215</v>
      </c>
      <c r="H668" s="4"/>
    </row>
    <row r="669" s="1" customFormat="1" spans="1:8">
      <c r="A669" s="4" t="s">
        <v>205</v>
      </c>
      <c r="B669" s="4" t="s">
        <v>57</v>
      </c>
      <c r="C669" s="4" t="s">
        <v>62</v>
      </c>
      <c r="D669" s="4" t="s">
        <v>1537</v>
      </c>
      <c r="E669" s="4">
        <v>2310407</v>
      </c>
      <c r="F669" s="4" t="s">
        <v>1538</v>
      </c>
      <c r="G669" s="4" t="s">
        <v>215</v>
      </c>
      <c r="H669" s="4"/>
    </row>
    <row r="670" s="1" customFormat="1" spans="1:8">
      <c r="A670" s="4" t="s">
        <v>205</v>
      </c>
      <c r="B670" s="4" t="s">
        <v>57</v>
      </c>
      <c r="C670" s="4" t="s">
        <v>62</v>
      </c>
      <c r="D670" s="4" t="s">
        <v>1539</v>
      </c>
      <c r="E670" s="4">
        <v>2310704</v>
      </c>
      <c r="F670" s="4" t="s">
        <v>1540</v>
      </c>
      <c r="G670" s="4" t="s">
        <v>215</v>
      </c>
      <c r="H670" s="4"/>
    </row>
    <row r="671" s="1" customFormat="1" spans="1:8">
      <c r="A671" s="4" t="s">
        <v>205</v>
      </c>
      <c r="B671" s="4" t="s">
        <v>57</v>
      </c>
      <c r="C671" s="4" t="s">
        <v>62</v>
      </c>
      <c r="D671" s="4" t="s">
        <v>1541</v>
      </c>
      <c r="E671" s="4">
        <v>2310852</v>
      </c>
      <c r="F671" s="4" t="s">
        <v>1542</v>
      </c>
      <c r="G671" s="4" t="s">
        <v>215</v>
      </c>
      <c r="H671" s="4"/>
    </row>
    <row r="672" s="1" customFormat="1" spans="1:8">
      <c r="A672" s="4" t="s">
        <v>205</v>
      </c>
      <c r="B672" s="4" t="s">
        <v>57</v>
      </c>
      <c r="C672" s="4" t="s">
        <v>62</v>
      </c>
      <c r="D672" s="4" t="s">
        <v>1543</v>
      </c>
      <c r="E672" s="4">
        <v>2311306</v>
      </c>
      <c r="F672" s="4" t="s">
        <v>1544</v>
      </c>
      <c r="G672" s="4" t="s">
        <v>215</v>
      </c>
      <c r="H672" s="4"/>
    </row>
    <row r="673" s="1" customFormat="1" spans="1:8">
      <c r="A673" s="4" t="s">
        <v>205</v>
      </c>
      <c r="B673" s="4" t="s">
        <v>57</v>
      </c>
      <c r="C673" s="4" t="s">
        <v>62</v>
      </c>
      <c r="D673" s="4" t="s">
        <v>1545</v>
      </c>
      <c r="E673" s="4">
        <v>2311603</v>
      </c>
      <c r="F673" s="4" t="s">
        <v>1546</v>
      </c>
      <c r="G673" s="4" t="s">
        <v>215</v>
      </c>
      <c r="H673" s="4"/>
    </row>
    <row r="674" s="1" customFormat="1" spans="1:8">
      <c r="A674" s="4" t="s">
        <v>205</v>
      </c>
      <c r="B674" s="4" t="s">
        <v>57</v>
      </c>
      <c r="C674" s="4" t="s">
        <v>62</v>
      </c>
      <c r="D674" s="4" t="s">
        <v>1547</v>
      </c>
      <c r="E674" s="4">
        <v>2311801</v>
      </c>
      <c r="F674" s="4" t="s">
        <v>1548</v>
      </c>
      <c r="G674" s="4" t="s">
        <v>215</v>
      </c>
      <c r="H674" s="4"/>
    </row>
    <row r="675" s="1" customFormat="1" spans="1:8">
      <c r="A675" s="4" t="s">
        <v>205</v>
      </c>
      <c r="B675" s="4" t="s">
        <v>57</v>
      </c>
      <c r="C675" s="4" t="s">
        <v>62</v>
      </c>
      <c r="D675" s="4" t="s">
        <v>1549</v>
      </c>
      <c r="E675" s="4">
        <v>2312403</v>
      </c>
      <c r="F675" s="4" t="s">
        <v>1550</v>
      </c>
      <c r="G675" s="4" t="s">
        <v>215</v>
      </c>
      <c r="H675" s="4"/>
    </row>
    <row r="676" s="1" customFormat="1" spans="1:8">
      <c r="A676" s="4" t="s">
        <v>205</v>
      </c>
      <c r="B676" s="4" t="s">
        <v>57</v>
      </c>
      <c r="C676" s="4" t="s">
        <v>62</v>
      </c>
      <c r="D676" s="4" t="s">
        <v>1551</v>
      </c>
      <c r="E676" s="4">
        <v>2312601</v>
      </c>
      <c r="F676" s="4" t="s">
        <v>1552</v>
      </c>
      <c r="G676" s="4" t="s">
        <v>215</v>
      </c>
      <c r="H676" s="4"/>
    </row>
    <row r="677" s="1" customFormat="1" spans="1:8">
      <c r="A677" s="4" t="s">
        <v>205</v>
      </c>
      <c r="B677" s="4" t="s">
        <v>57</v>
      </c>
      <c r="C677" s="4" t="s">
        <v>62</v>
      </c>
      <c r="D677" s="4" t="s">
        <v>1553</v>
      </c>
      <c r="E677" s="4">
        <v>2313351</v>
      </c>
      <c r="F677" s="4" t="s">
        <v>1554</v>
      </c>
      <c r="G677" s="4" t="s">
        <v>215</v>
      </c>
      <c r="H677" s="4"/>
    </row>
    <row r="678" s="1" customFormat="1" spans="1:8">
      <c r="A678" s="4" t="s">
        <v>205</v>
      </c>
      <c r="B678" s="4" t="s">
        <v>57</v>
      </c>
      <c r="C678" s="4" t="s">
        <v>62</v>
      </c>
      <c r="D678" s="4" t="s">
        <v>1555</v>
      </c>
      <c r="E678" s="4">
        <v>2313500</v>
      </c>
      <c r="F678" s="4" t="s">
        <v>1556</v>
      </c>
      <c r="G678" s="4" t="s">
        <v>215</v>
      </c>
      <c r="H678" s="4"/>
    </row>
    <row r="679" s="1" customFormat="1" spans="1:8">
      <c r="A679" s="4" t="s">
        <v>205</v>
      </c>
      <c r="B679" s="4" t="s">
        <v>57</v>
      </c>
      <c r="C679" s="4" t="s">
        <v>62</v>
      </c>
      <c r="D679" s="4" t="s">
        <v>1557</v>
      </c>
      <c r="E679" s="4">
        <v>2313559</v>
      </c>
      <c r="F679" s="4" t="s">
        <v>1558</v>
      </c>
      <c r="G679" s="4" t="s">
        <v>215</v>
      </c>
      <c r="H679" s="4"/>
    </row>
    <row r="680" s="1" customFormat="1" spans="1:8">
      <c r="A680" s="4" t="s">
        <v>205</v>
      </c>
      <c r="B680" s="4" t="s">
        <v>57</v>
      </c>
      <c r="C680" s="4" t="s">
        <v>62</v>
      </c>
      <c r="D680" s="4" t="s">
        <v>1559</v>
      </c>
      <c r="E680" s="4">
        <v>2313757</v>
      </c>
      <c r="F680" s="4" t="s">
        <v>1560</v>
      </c>
      <c r="G680" s="4" t="s">
        <v>215</v>
      </c>
      <c r="H680" s="4"/>
    </row>
    <row r="681" s="1" customFormat="1" spans="1:8">
      <c r="A681" s="4" t="s">
        <v>205</v>
      </c>
      <c r="B681" s="4" t="s">
        <v>57</v>
      </c>
      <c r="C681" s="4" t="s">
        <v>62</v>
      </c>
      <c r="D681" s="4" t="s">
        <v>1561</v>
      </c>
      <c r="E681" s="4">
        <v>2313807</v>
      </c>
      <c r="F681" s="4" t="s">
        <v>1562</v>
      </c>
      <c r="G681" s="4" t="s">
        <v>215</v>
      </c>
      <c r="H681" s="4"/>
    </row>
    <row r="682" s="1" customFormat="1" spans="1:8">
      <c r="A682" s="4" t="s">
        <v>205</v>
      </c>
      <c r="B682" s="4" t="s">
        <v>57</v>
      </c>
      <c r="C682" s="4" t="s">
        <v>62</v>
      </c>
      <c r="D682" s="4" t="s">
        <v>1563</v>
      </c>
      <c r="E682" s="4">
        <v>2300200</v>
      </c>
      <c r="F682" s="4" t="s">
        <v>1564</v>
      </c>
      <c r="G682" s="4" t="s">
        <v>232</v>
      </c>
      <c r="H682" s="4"/>
    </row>
    <row r="683" s="1" customFormat="1" spans="1:8">
      <c r="A683" s="4" t="s">
        <v>205</v>
      </c>
      <c r="B683" s="4" t="s">
        <v>57</v>
      </c>
      <c r="C683" s="4" t="s">
        <v>62</v>
      </c>
      <c r="D683" s="4" t="s">
        <v>1565</v>
      </c>
      <c r="E683" s="4">
        <v>2300309</v>
      </c>
      <c r="F683" s="4" t="s">
        <v>1566</v>
      </c>
      <c r="G683" s="4" t="s">
        <v>232</v>
      </c>
      <c r="H683" s="4"/>
    </row>
    <row r="684" s="1" customFormat="1" spans="1:8">
      <c r="A684" s="4" t="s">
        <v>205</v>
      </c>
      <c r="B684" s="4" t="s">
        <v>57</v>
      </c>
      <c r="C684" s="4" t="s">
        <v>62</v>
      </c>
      <c r="D684" s="4" t="s">
        <v>1567</v>
      </c>
      <c r="E684" s="4">
        <v>2300507</v>
      </c>
      <c r="F684" s="4" t="s">
        <v>1568</v>
      </c>
      <c r="G684" s="4" t="s">
        <v>232</v>
      </c>
      <c r="H684" s="4"/>
    </row>
    <row r="685" s="1" customFormat="1" spans="1:8">
      <c r="A685" s="4" t="s">
        <v>205</v>
      </c>
      <c r="B685" s="4" t="s">
        <v>57</v>
      </c>
      <c r="C685" s="4" t="s">
        <v>62</v>
      </c>
      <c r="D685" s="4" t="s">
        <v>1569</v>
      </c>
      <c r="E685" s="4">
        <v>2300705</v>
      </c>
      <c r="F685" s="4" t="s">
        <v>1570</v>
      </c>
      <c r="G685" s="4" t="s">
        <v>232</v>
      </c>
      <c r="H685" s="4"/>
    </row>
    <row r="686" s="1" customFormat="1" spans="1:8">
      <c r="A686" s="4" t="s">
        <v>205</v>
      </c>
      <c r="B686" s="4" t="s">
        <v>57</v>
      </c>
      <c r="C686" s="4" t="s">
        <v>62</v>
      </c>
      <c r="D686" s="4" t="s">
        <v>1571</v>
      </c>
      <c r="E686" s="4">
        <v>2301257</v>
      </c>
      <c r="F686" s="4" t="s">
        <v>1572</v>
      </c>
      <c r="G686" s="4" t="s">
        <v>232</v>
      </c>
      <c r="H686" s="4"/>
    </row>
    <row r="687" s="1" customFormat="1" spans="1:8">
      <c r="A687" s="4" t="s">
        <v>205</v>
      </c>
      <c r="B687" s="4" t="s">
        <v>57</v>
      </c>
      <c r="C687" s="4" t="s">
        <v>62</v>
      </c>
      <c r="D687" s="4" t="s">
        <v>1573</v>
      </c>
      <c r="E687" s="4">
        <v>2301851</v>
      </c>
      <c r="F687" s="4" t="s">
        <v>1574</v>
      </c>
      <c r="G687" s="4" t="s">
        <v>232</v>
      </c>
      <c r="H687" s="4"/>
    </row>
    <row r="688" s="1" customFormat="1" spans="1:8">
      <c r="A688" s="4" t="s">
        <v>205</v>
      </c>
      <c r="B688" s="4" t="s">
        <v>57</v>
      </c>
      <c r="C688" s="4" t="s">
        <v>62</v>
      </c>
      <c r="D688" s="4" t="s">
        <v>1575</v>
      </c>
      <c r="E688" s="4">
        <v>2302305</v>
      </c>
      <c r="F688" s="4" t="s">
        <v>1576</v>
      </c>
      <c r="G688" s="4" t="s">
        <v>232</v>
      </c>
      <c r="H688" s="4"/>
    </row>
    <row r="689" s="1" customFormat="1" spans="1:8">
      <c r="A689" s="4" t="s">
        <v>205</v>
      </c>
      <c r="B689" s="4" t="s">
        <v>57</v>
      </c>
      <c r="C689" s="4" t="s">
        <v>62</v>
      </c>
      <c r="D689" s="4" t="s">
        <v>1577</v>
      </c>
      <c r="E689" s="4">
        <v>2302404</v>
      </c>
      <c r="F689" s="4" t="s">
        <v>1578</v>
      </c>
      <c r="G689" s="4" t="s">
        <v>232</v>
      </c>
      <c r="H689" s="4"/>
    </row>
    <row r="690" s="1" customFormat="1" spans="1:8">
      <c r="A690" s="4" t="s">
        <v>205</v>
      </c>
      <c r="B690" s="4" t="s">
        <v>57</v>
      </c>
      <c r="C690" s="4" t="s">
        <v>62</v>
      </c>
      <c r="D690" s="4" t="s">
        <v>1579</v>
      </c>
      <c r="E690" s="4">
        <v>2302602</v>
      </c>
      <c r="F690" s="4" t="s">
        <v>1580</v>
      </c>
      <c r="G690" s="4" t="s">
        <v>232</v>
      </c>
      <c r="H690" s="4"/>
    </row>
    <row r="691" s="1" customFormat="1" spans="1:8">
      <c r="A691" s="4" t="s">
        <v>205</v>
      </c>
      <c r="B691" s="4" t="s">
        <v>57</v>
      </c>
      <c r="C691" s="4" t="s">
        <v>62</v>
      </c>
      <c r="D691" s="4" t="s">
        <v>1581</v>
      </c>
      <c r="E691" s="4">
        <v>2303105</v>
      </c>
      <c r="F691" s="4" t="s">
        <v>1582</v>
      </c>
      <c r="G691" s="4" t="s">
        <v>232</v>
      </c>
      <c r="H691" s="4"/>
    </row>
    <row r="692" s="1" customFormat="1" spans="1:8">
      <c r="A692" s="4" t="s">
        <v>205</v>
      </c>
      <c r="B692" s="4" t="s">
        <v>57</v>
      </c>
      <c r="C692" s="4" t="s">
        <v>62</v>
      </c>
      <c r="D692" s="11" t="s">
        <v>1583</v>
      </c>
      <c r="E692" s="4">
        <v>2303402</v>
      </c>
      <c r="F692" s="4" t="s">
        <v>1584</v>
      </c>
      <c r="G692" s="4" t="s">
        <v>232</v>
      </c>
      <c r="H692" s="4"/>
    </row>
    <row r="693" s="1" customFormat="1" spans="1:8">
      <c r="A693" s="4" t="s">
        <v>205</v>
      </c>
      <c r="B693" s="4" t="s">
        <v>57</v>
      </c>
      <c r="C693" s="4" t="s">
        <v>62</v>
      </c>
      <c r="D693" s="4" t="s">
        <v>1585</v>
      </c>
      <c r="E693" s="4">
        <v>2303600</v>
      </c>
      <c r="F693" s="4" t="s">
        <v>1586</v>
      </c>
      <c r="G693" s="4" t="s">
        <v>232</v>
      </c>
      <c r="H693" s="4"/>
    </row>
    <row r="694" s="1" customFormat="1" spans="1:8">
      <c r="A694" s="4" t="s">
        <v>205</v>
      </c>
      <c r="B694" s="4" t="s">
        <v>57</v>
      </c>
      <c r="C694" s="4" t="s">
        <v>62</v>
      </c>
      <c r="D694" s="4" t="s">
        <v>1587</v>
      </c>
      <c r="E694" s="4">
        <v>2303659</v>
      </c>
      <c r="F694" s="4" t="s">
        <v>1588</v>
      </c>
      <c r="G694" s="4" t="s">
        <v>232</v>
      </c>
      <c r="H694" s="4"/>
    </row>
    <row r="695" s="1" customFormat="1" spans="1:8">
      <c r="A695" s="4" t="s">
        <v>205</v>
      </c>
      <c r="B695" s="4" t="s">
        <v>57</v>
      </c>
      <c r="C695" s="4" t="s">
        <v>62</v>
      </c>
      <c r="D695" s="4" t="s">
        <v>1589</v>
      </c>
      <c r="E695" s="4">
        <v>2303931</v>
      </c>
      <c r="F695" s="4" t="s">
        <v>1590</v>
      </c>
      <c r="G695" s="4" t="s">
        <v>232</v>
      </c>
      <c r="H695" s="4"/>
    </row>
    <row r="696" s="1" customFormat="1" spans="1:8">
      <c r="A696" s="4" t="s">
        <v>205</v>
      </c>
      <c r="B696" s="4" t="s">
        <v>57</v>
      </c>
      <c r="C696" s="4" t="s">
        <v>62</v>
      </c>
      <c r="D696" s="4" t="s">
        <v>1591</v>
      </c>
      <c r="E696" s="4">
        <v>2304004</v>
      </c>
      <c r="F696" s="4" t="s">
        <v>1592</v>
      </c>
      <c r="G696" s="4" t="s">
        <v>232</v>
      </c>
      <c r="H696" s="4"/>
    </row>
    <row r="697" s="1" customFormat="1" spans="1:8">
      <c r="A697" s="4" t="s">
        <v>205</v>
      </c>
      <c r="B697" s="4" t="s">
        <v>57</v>
      </c>
      <c r="C697" s="4" t="s">
        <v>62</v>
      </c>
      <c r="D697" s="4" t="s">
        <v>1593</v>
      </c>
      <c r="E697" s="4">
        <v>2304103</v>
      </c>
      <c r="F697" s="4" t="s">
        <v>1594</v>
      </c>
      <c r="G697" s="4" t="s">
        <v>232</v>
      </c>
      <c r="H697" s="4"/>
    </row>
    <row r="698" s="1" customFormat="1" spans="1:8">
      <c r="A698" s="4" t="s">
        <v>205</v>
      </c>
      <c r="B698" s="4" t="s">
        <v>57</v>
      </c>
      <c r="C698" s="4" t="s">
        <v>62</v>
      </c>
      <c r="D698" s="4" t="s">
        <v>1595</v>
      </c>
      <c r="E698" s="4">
        <v>2304236</v>
      </c>
      <c r="F698" s="4" t="s">
        <v>1596</v>
      </c>
      <c r="G698" s="4" t="s">
        <v>232</v>
      </c>
      <c r="H698" s="4"/>
    </row>
    <row r="699" s="1" customFormat="1" spans="1:8">
      <c r="A699" s="4" t="s">
        <v>205</v>
      </c>
      <c r="B699" s="4" t="s">
        <v>57</v>
      </c>
      <c r="C699" s="4" t="s">
        <v>62</v>
      </c>
      <c r="D699" s="4" t="s">
        <v>1597</v>
      </c>
      <c r="E699" s="4">
        <v>2304251</v>
      </c>
      <c r="F699" s="4" t="s">
        <v>1598</v>
      </c>
      <c r="G699" s="4" t="s">
        <v>232</v>
      </c>
      <c r="H699" s="4"/>
    </row>
    <row r="700" s="1" customFormat="1" spans="1:8">
      <c r="A700" s="4" t="s">
        <v>205</v>
      </c>
      <c r="B700" s="4" t="s">
        <v>57</v>
      </c>
      <c r="C700" s="4" t="s">
        <v>62</v>
      </c>
      <c r="D700" s="4" t="s">
        <v>1599</v>
      </c>
      <c r="E700" s="4">
        <v>2304269</v>
      </c>
      <c r="F700" s="4" t="s">
        <v>1600</v>
      </c>
      <c r="G700" s="4" t="s">
        <v>232</v>
      </c>
      <c r="H700" s="4"/>
    </row>
    <row r="701" s="1" customFormat="1" spans="1:8">
      <c r="A701" s="4" t="s">
        <v>205</v>
      </c>
      <c r="B701" s="4" t="s">
        <v>57</v>
      </c>
      <c r="C701" s="4" t="s">
        <v>62</v>
      </c>
      <c r="D701" s="4" t="s">
        <v>1601</v>
      </c>
      <c r="E701" s="4">
        <v>2304277</v>
      </c>
      <c r="F701" s="4" t="s">
        <v>1602</v>
      </c>
      <c r="G701" s="4" t="s">
        <v>232</v>
      </c>
      <c r="H701" s="4"/>
    </row>
    <row r="702" s="1" customFormat="1" spans="1:8">
      <c r="A702" s="4" t="s">
        <v>205</v>
      </c>
      <c r="B702" s="4" t="s">
        <v>57</v>
      </c>
      <c r="C702" s="4" t="s">
        <v>62</v>
      </c>
      <c r="D702" s="4" t="s">
        <v>1603</v>
      </c>
      <c r="E702" s="4">
        <v>2304350</v>
      </c>
      <c r="F702" s="4" t="s">
        <v>1604</v>
      </c>
      <c r="G702" s="4" t="s">
        <v>232</v>
      </c>
      <c r="H702" s="4"/>
    </row>
    <row r="703" s="1" customFormat="1" spans="1:8">
      <c r="A703" s="4" t="s">
        <v>205</v>
      </c>
      <c r="B703" s="4" t="s">
        <v>57</v>
      </c>
      <c r="C703" s="4" t="s">
        <v>62</v>
      </c>
      <c r="D703" s="4" t="s">
        <v>1605</v>
      </c>
      <c r="E703" s="4">
        <v>2304509</v>
      </c>
      <c r="F703" s="4" t="s">
        <v>1606</v>
      </c>
      <c r="G703" s="4" t="s">
        <v>232</v>
      </c>
      <c r="H703" s="4"/>
    </row>
    <row r="704" s="1" customFormat="1" spans="1:8">
      <c r="A704" s="4" t="s">
        <v>205</v>
      </c>
      <c r="B704" s="4" t="s">
        <v>57</v>
      </c>
      <c r="C704" s="4" t="s">
        <v>62</v>
      </c>
      <c r="D704" s="4" t="s">
        <v>1607</v>
      </c>
      <c r="E704" s="4">
        <v>2304707</v>
      </c>
      <c r="F704" s="4" t="s">
        <v>1608</v>
      </c>
      <c r="G704" s="4" t="s">
        <v>232</v>
      </c>
      <c r="H704" s="4"/>
    </row>
    <row r="705" s="1" customFormat="1" spans="1:8">
      <c r="A705" s="4" t="s">
        <v>205</v>
      </c>
      <c r="B705" s="4" t="s">
        <v>57</v>
      </c>
      <c r="C705" s="4" t="s">
        <v>62</v>
      </c>
      <c r="D705" s="4" t="s">
        <v>1609</v>
      </c>
      <c r="E705" s="4">
        <v>2304657</v>
      </c>
      <c r="F705" s="4" t="s">
        <v>1610</v>
      </c>
      <c r="G705" s="4" t="s">
        <v>232</v>
      </c>
      <c r="H705" s="4"/>
    </row>
    <row r="706" s="1" customFormat="1" spans="1:8">
      <c r="A706" s="4" t="s">
        <v>205</v>
      </c>
      <c r="B706" s="4" t="s">
        <v>57</v>
      </c>
      <c r="C706" s="4" t="s">
        <v>62</v>
      </c>
      <c r="D706" s="4" t="s">
        <v>1611</v>
      </c>
      <c r="E706" s="4">
        <v>2304905</v>
      </c>
      <c r="F706" s="4" t="s">
        <v>1612</v>
      </c>
      <c r="G706" s="4" t="s">
        <v>232</v>
      </c>
      <c r="H706" s="4"/>
    </row>
    <row r="707" s="1" customFormat="1" spans="1:8">
      <c r="A707" s="4" t="s">
        <v>205</v>
      </c>
      <c r="B707" s="4" t="s">
        <v>57</v>
      </c>
      <c r="C707" s="4" t="s">
        <v>62</v>
      </c>
      <c r="D707" s="4" t="s">
        <v>1613</v>
      </c>
      <c r="E707" s="4">
        <v>2305001</v>
      </c>
      <c r="F707" s="4" t="s">
        <v>1614</v>
      </c>
      <c r="G707" s="4" t="s">
        <v>232</v>
      </c>
      <c r="H707" s="4"/>
    </row>
    <row r="708" s="1" customFormat="1" spans="1:8">
      <c r="A708" s="4" t="s">
        <v>205</v>
      </c>
      <c r="B708" s="4" t="s">
        <v>57</v>
      </c>
      <c r="C708" s="4" t="s">
        <v>62</v>
      </c>
      <c r="D708" s="4" t="s">
        <v>1615</v>
      </c>
      <c r="E708" s="4">
        <v>2305209</v>
      </c>
      <c r="F708" s="4" t="s">
        <v>1616</v>
      </c>
      <c r="G708" s="4" t="s">
        <v>232</v>
      </c>
      <c r="H708" s="4"/>
    </row>
    <row r="709" s="1" customFormat="1" spans="1:8">
      <c r="A709" s="4" t="s">
        <v>205</v>
      </c>
      <c r="B709" s="4" t="s">
        <v>57</v>
      </c>
      <c r="C709" s="4" t="s">
        <v>62</v>
      </c>
      <c r="D709" s="4" t="s">
        <v>1617</v>
      </c>
      <c r="E709" s="4">
        <v>2305308</v>
      </c>
      <c r="F709" s="4" t="s">
        <v>1618</v>
      </c>
      <c r="G709" s="4" t="s">
        <v>232</v>
      </c>
      <c r="H709" s="4"/>
    </row>
    <row r="710" s="1" customFormat="1" spans="1:8">
      <c r="A710" s="4" t="s">
        <v>205</v>
      </c>
      <c r="B710" s="4" t="s">
        <v>57</v>
      </c>
      <c r="C710" s="4" t="s">
        <v>62</v>
      </c>
      <c r="D710" s="4" t="s">
        <v>1619</v>
      </c>
      <c r="E710" s="4">
        <v>2305357</v>
      </c>
      <c r="F710" s="4" t="s">
        <v>1620</v>
      </c>
      <c r="G710" s="4" t="s">
        <v>232</v>
      </c>
      <c r="H710" s="4"/>
    </row>
    <row r="711" s="1" customFormat="1" spans="1:8">
      <c r="A711" s="4" t="s">
        <v>205</v>
      </c>
      <c r="B711" s="4" t="s">
        <v>57</v>
      </c>
      <c r="C711" s="4" t="s">
        <v>62</v>
      </c>
      <c r="D711" s="4" t="s">
        <v>1621</v>
      </c>
      <c r="E711" s="4">
        <v>2305407</v>
      </c>
      <c r="F711" s="4" t="s">
        <v>1622</v>
      </c>
      <c r="G711" s="4" t="s">
        <v>232</v>
      </c>
      <c r="H711" s="4"/>
    </row>
    <row r="712" s="1" customFormat="1" spans="1:8">
      <c r="A712" s="4" t="s">
        <v>205</v>
      </c>
      <c r="B712" s="4" t="s">
        <v>57</v>
      </c>
      <c r="C712" s="4" t="s">
        <v>62</v>
      </c>
      <c r="D712" s="4" t="s">
        <v>1623</v>
      </c>
      <c r="E712" s="4">
        <v>2305506</v>
      </c>
      <c r="F712" s="4" t="s">
        <v>1624</v>
      </c>
      <c r="G712" s="4" t="s">
        <v>232</v>
      </c>
      <c r="H712" s="4"/>
    </row>
    <row r="713" s="1" customFormat="1" spans="1:8">
      <c r="A713" s="4" t="s">
        <v>205</v>
      </c>
      <c r="B713" s="4" t="s">
        <v>57</v>
      </c>
      <c r="C713" s="4" t="s">
        <v>62</v>
      </c>
      <c r="D713" s="4" t="s">
        <v>1625</v>
      </c>
      <c r="E713" s="4">
        <v>2305605</v>
      </c>
      <c r="F713" s="4" t="s">
        <v>1626</v>
      </c>
      <c r="G713" s="4" t="s">
        <v>232</v>
      </c>
      <c r="H713" s="4"/>
    </row>
    <row r="714" s="1" customFormat="1" spans="1:8">
      <c r="A714" s="4" t="s">
        <v>205</v>
      </c>
      <c r="B714" s="4" t="s">
        <v>57</v>
      </c>
      <c r="C714" s="4" t="s">
        <v>62</v>
      </c>
      <c r="D714" s="4" t="s">
        <v>1627</v>
      </c>
      <c r="E714" s="4">
        <v>2305803</v>
      </c>
      <c r="F714" s="4" t="s">
        <v>1628</v>
      </c>
      <c r="G714" s="4" t="s">
        <v>232</v>
      </c>
      <c r="H714" s="4"/>
    </row>
    <row r="715" s="1" customFormat="1" spans="1:8">
      <c r="A715" s="4" t="s">
        <v>205</v>
      </c>
      <c r="B715" s="4" t="s">
        <v>57</v>
      </c>
      <c r="C715" s="4" t="s">
        <v>62</v>
      </c>
      <c r="D715" s="4" t="s">
        <v>1629</v>
      </c>
      <c r="E715" s="4">
        <v>2305902</v>
      </c>
      <c r="F715" s="4" t="s">
        <v>1630</v>
      </c>
      <c r="G715" s="4" t="s">
        <v>232</v>
      </c>
      <c r="H715" s="4"/>
    </row>
    <row r="716" s="1" customFormat="1" spans="1:8">
      <c r="A716" s="4" t="s">
        <v>205</v>
      </c>
      <c r="B716" s="4" t="s">
        <v>57</v>
      </c>
      <c r="C716" s="4" t="s">
        <v>62</v>
      </c>
      <c r="D716" s="4" t="s">
        <v>1631</v>
      </c>
      <c r="E716" s="4">
        <v>2306009</v>
      </c>
      <c r="F716" s="4" t="s">
        <v>1632</v>
      </c>
      <c r="G716" s="4" t="s">
        <v>232</v>
      </c>
      <c r="H716" s="4"/>
    </row>
    <row r="717" s="1" customFormat="1" spans="1:8">
      <c r="A717" s="4" t="s">
        <v>205</v>
      </c>
      <c r="B717" s="4" t="s">
        <v>57</v>
      </c>
      <c r="C717" s="4" t="s">
        <v>62</v>
      </c>
      <c r="D717" s="4" t="s">
        <v>1633</v>
      </c>
      <c r="E717" s="4">
        <v>2306553</v>
      </c>
      <c r="F717" s="4" t="s">
        <v>1634</v>
      </c>
      <c r="G717" s="4" t="s">
        <v>232</v>
      </c>
      <c r="H717" s="4"/>
    </row>
    <row r="718" s="1" customFormat="1" spans="1:8">
      <c r="A718" s="4" t="s">
        <v>205</v>
      </c>
      <c r="B718" s="4" t="s">
        <v>57</v>
      </c>
      <c r="C718" s="4" t="s">
        <v>62</v>
      </c>
      <c r="D718" s="4" t="s">
        <v>1635</v>
      </c>
      <c r="E718" s="4">
        <v>2306702</v>
      </c>
      <c r="F718" s="4" t="s">
        <v>1636</v>
      </c>
      <c r="G718" s="4" t="s">
        <v>232</v>
      </c>
      <c r="H718" s="4"/>
    </row>
    <row r="719" s="1" customFormat="1" spans="1:8">
      <c r="A719" s="4" t="s">
        <v>205</v>
      </c>
      <c r="B719" s="4" t="s">
        <v>57</v>
      </c>
      <c r="C719" s="4" t="s">
        <v>62</v>
      </c>
      <c r="D719" s="4" t="s">
        <v>1637</v>
      </c>
      <c r="E719" s="4">
        <v>2306801</v>
      </c>
      <c r="F719" s="4" t="s">
        <v>1638</v>
      </c>
      <c r="G719" s="4" t="s">
        <v>232</v>
      </c>
      <c r="H719" s="4"/>
    </row>
    <row r="720" s="1" customFormat="1" spans="1:8">
      <c r="A720" s="4" t="s">
        <v>205</v>
      </c>
      <c r="B720" s="4" t="s">
        <v>57</v>
      </c>
      <c r="C720" s="4" t="s">
        <v>62</v>
      </c>
      <c r="D720" s="4" t="s">
        <v>1639</v>
      </c>
      <c r="E720" s="4">
        <v>2306900</v>
      </c>
      <c r="F720" s="4" t="s">
        <v>1640</v>
      </c>
      <c r="G720" s="4" t="s">
        <v>232</v>
      </c>
      <c r="H720" s="4"/>
    </row>
    <row r="721" s="1" customFormat="1" spans="1:8">
      <c r="A721" s="4" t="s">
        <v>205</v>
      </c>
      <c r="B721" s="4" t="s">
        <v>57</v>
      </c>
      <c r="C721" s="4" t="s">
        <v>62</v>
      </c>
      <c r="D721" s="4" t="s">
        <v>1641</v>
      </c>
      <c r="E721" s="4">
        <v>2307007</v>
      </c>
      <c r="F721" s="4" t="s">
        <v>1642</v>
      </c>
      <c r="G721" s="4" t="s">
        <v>232</v>
      </c>
      <c r="H721" s="4"/>
    </row>
    <row r="722" s="1" customFormat="1" spans="1:8">
      <c r="A722" s="4" t="s">
        <v>205</v>
      </c>
      <c r="B722" s="4" t="s">
        <v>57</v>
      </c>
      <c r="C722" s="4" t="s">
        <v>62</v>
      </c>
      <c r="D722" s="4" t="s">
        <v>1643</v>
      </c>
      <c r="E722" s="4">
        <v>2307254</v>
      </c>
      <c r="F722" s="4" t="s">
        <v>1644</v>
      </c>
      <c r="G722" s="4" t="s">
        <v>232</v>
      </c>
      <c r="H722" s="4"/>
    </row>
    <row r="723" s="1" customFormat="1" spans="1:8">
      <c r="A723" s="4" t="s">
        <v>205</v>
      </c>
      <c r="B723" s="4" t="s">
        <v>57</v>
      </c>
      <c r="C723" s="4" t="s">
        <v>62</v>
      </c>
      <c r="D723" s="4" t="s">
        <v>1645</v>
      </c>
      <c r="E723" s="4">
        <v>2307601</v>
      </c>
      <c r="F723" s="4" t="s">
        <v>1646</v>
      </c>
      <c r="G723" s="4" t="s">
        <v>232</v>
      </c>
      <c r="H723" s="4"/>
    </row>
    <row r="724" s="1" customFormat="1" spans="1:8">
      <c r="A724" s="4" t="s">
        <v>205</v>
      </c>
      <c r="B724" s="4" t="s">
        <v>57</v>
      </c>
      <c r="C724" s="4" t="s">
        <v>62</v>
      </c>
      <c r="D724" s="4" t="s">
        <v>1647</v>
      </c>
      <c r="E724" s="4">
        <v>2307809</v>
      </c>
      <c r="F724" s="4" t="s">
        <v>1648</v>
      </c>
      <c r="G724" s="4" t="s">
        <v>232</v>
      </c>
      <c r="H724" s="4"/>
    </row>
    <row r="725" s="1" customFormat="1" spans="1:8">
      <c r="A725" s="4" t="s">
        <v>205</v>
      </c>
      <c r="B725" s="4" t="s">
        <v>57</v>
      </c>
      <c r="C725" s="4" t="s">
        <v>62</v>
      </c>
      <c r="D725" s="4" t="s">
        <v>1649</v>
      </c>
      <c r="E725" s="4">
        <v>2307908</v>
      </c>
      <c r="F725" s="4" t="s">
        <v>1650</v>
      </c>
      <c r="G725" s="4" t="s">
        <v>232</v>
      </c>
      <c r="H725" s="4"/>
    </row>
    <row r="726" s="1" customFormat="1" spans="1:8">
      <c r="A726" s="4" t="s">
        <v>205</v>
      </c>
      <c r="B726" s="4" t="s">
        <v>57</v>
      </c>
      <c r="C726" s="4" t="s">
        <v>62</v>
      </c>
      <c r="D726" s="4" t="s">
        <v>1651</v>
      </c>
      <c r="E726" s="4">
        <v>2308005</v>
      </c>
      <c r="F726" s="4" t="s">
        <v>1652</v>
      </c>
      <c r="G726" s="4" t="s">
        <v>232</v>
      </c>
      <c r="H726" s="4"/>
    </row>
    <row r="727" s="1" customFormat="1" spans="1:8">
      <c r="A727" s="4" t="s">
        <v>205</v>
      </c>
      <c r="B727" s="4" t="s">
        <v>57</v>
      </c>
      <c r="C727" s="4" t="s">
        <v>62</v>
      </c>
      <c r="D727" s="4" t="s">
        <v>1653</v>
      </c>
      <c r="E727" s="4">
        <v>2308203</v>
      </c>
      <c r="F727" s="4" t="s">
        <v>1654</v>
      </c>
      <c r="G727" s="4" t="s">
        <v>232</v>
      </c>
      <c r="H727" s="4"/>
    </row>
    <row r="728" s="1" customFormat="1" spans="1:8">
      <c r="A728" s="4" t="s">
        <v>205</v>
      </c>
      <c r="B728" s="4" t="s">
        <v>57</v>
      </c>
      <c r="C728" s="4" t="s">
        <v>62</v>
      </c>
      <c r="D728" s="4" t="s">
        <v>1655</v>
      </c>
      <c r="E728" s="4">
        <v>2308351</v>
      </c>
      <c r="F728" s="4" t="s">
        <v>1656</v>
      </c>
      <c r="G728" s="4" t="s">
        <v>232</v>
      </c>
      <c r="H728" s="4"/>
    </row>
    <row r="729" s="1" customFormat="1" spans="1:8">
      <c r="A729" s="4" t="s">
        <v>205</v>
      </c>
      <c r="B729" s="4" t="s">
        <v>57</v>
      </c>
      <c r="C729" s="4" t="s">
        <v>62</v>
      </c>
      <c r="D729" s="4" t="s">
        <v>1657</v>
      </c>
      <c r="E729" s="4">
        <v>2308500</v>
      </c>
      <c r="F729" s="4" t="s">
        <v>1658</v>
      </c>
      <c r="G729" s="4" t="s">
        <v>232</v>
      </c>
      <c r="H729" s="4"/>
    </row>
    <row r="730" s="1" customFormat="1" spans="1:8">
      <c r="A730" s="4" t="s">
        <v>205</v>
      </c>
      <c r="B730" s="4" t="s">
        <v>57</v>
      </c>
      <c r="C730" s="4" t="s">
        <v>62</v>
      </c>
      <c r="D730" s="4" t="s">
        <v>1659</v>
      </c>
      <c r="E730" s="4">
        <v>2308609</v>
      </c>
      <c r="F730" s="4" t="s">
        <v>1660</v>
      </c>
      <c r="G730" s="4" t="s">
        <v>232</v>
      </c>
      <c r="H730" s="4"/>
    </row>
    <row r="731" s="1" customFormat="1" spans="1:8">
      <c r="A731" s="4" t="s">
        <v>205</v>
      </c>
      <c r="B731" s="4" t="s">
        <v>57</v>
      </c>
      <c r="C731" s="4" t="s">
        <v>62</v>
      </c>
      <c r="D731" s="4" t="s">
        <v>1661</v>
      </c>
      <c r="E731" s="4">
        <v>2308807</v>
      </c>
      <c r="F731" s="4" t="s">
        <v>1662</v>
      </c>
      <c r="G731" s="4" t="s">
        <v>232</v>
      </c>
      <c r="H731" s="4"/>
    </row>
    <row r="732" s="1" customFormat="1" spans="1:8">
      <c r="A732" s="4" t="s">
        <v>205</v>
      </c>
      <c r="B732" s="4" t="s">
        <v>57</v>
      </c>
      <c r="C732" s="4" t="s">
        <v>62</v>
      </c>
      <c r="D732" s="4" t="s">
        <v>1663</v>
      </c>
      <c r="E732" s="4">
        <v>2308906</v>
      </c>
      <c r="F732" s="4" t="s">
        <v>1664</v>
      </c>
      <c r="G732" s="4" t="s">
        <v>232</v>
      </c>
      <c r="H732" s="4"/>
    </row>
    <row r="733" s="1" customFormat="1" spans="1:8">
      <c r="A733" s="4" t="s">
        <v>205</v>
      </c>
      <c r="B733" s="4" t="s">
        <v>57</v>
      </c>
      <c r="C733" s="4" t="s">
        <v>62</v>
      </c>
      <c r="D733" s="4" t="s">
        <v>1665</v>
      </c>
      <c r="E733" s="4">
        <v>2309003</v>
      </c>
      <c r="F733" s="4" t="s">
        <v>1666</v>
      </c>
      <c r="G733" s="4" t="s">
        <v>232</v>
      </c>
      <c r="H733" s="4"/>
    </row>
    <row r="734" s="1" customFormat="1" spans="1:8">
      <c r="A734" s="4" t="s">
        <v>205</v>
      </c>
      <c r="B734" s="4" t="s">
        <v>57</v>
      </c>
      <c r="C734" s="4" t="s">
        <v>62</v>
      </c>
      <c r="D734" s="4" t="s">
        <v>1667</v>
      </c>
      <c r="E734" s="4">
        <v>2309300</v>
      </c>
      <c r="F734" s="4" t="s">
        <v>1668</v>
      </c>
      <c r="G734" s="4" t="s">
        <v>232</v>
      </c>
      <c r="H734" s="4"/>
    </row>
    <row r="735" s="1" customFormat="1" spans="1:8">
      <c r="A735" s="4" t="s">
        <v>205</v>
      </c>
      <c r="B735" s="4" t="s">
        <v>57</v>
      </c>
      <c r="C735" s="4" t="s">
        <v>62</v>
      </c>
      <c r="D735" s="4" t="s">
        <v>1669</v>
      </c>
      <c r="E735" s="4">
        <v>2309508</v>
      </c>
      <c r="F735" s="4" t="s">
        <v>1670</v>
      </c>
      <c r="G735" s="4" t="s">
        <v>232</v>
      </c>
      <c r="H735" s="4"/>
    </row>
    <row r="736" s="1" customFormat="1" spans="1:8">
      <c r="A736" s="4" t="s">
        <v>205</v>
      </c>
      <c r="B736" s="4" t="s">
        <v>57</v>
      </c>
      <c r="C736" s="4" t="s">
        <v>62</v>
      </c>
      <c r="D736" s="4" t="s">
        <v>1671</v>
      </c>
      <c r="E736" s="4">
        <v>2309904</v>
      </c>
      <c r="F736" s="4" t="s">
        <v>1672</v>
      </c>
      <c r="G736" s="4" t="s">
        <v>232</v>
      </c>
      <c r="H736" s="4"/>
    </row>
    <row r="737" s="1" customFormat="1" spans="1:8">
      <c r="A737" s="4" t="s">
        <v>205</v>
      </c>
      <c r="B737" s="4" t="s">
        <v>57</v>
      </c>
      <c r="C737" s="4" t="s">
        <v>62</v>
      </c>
      <c r="D737" s="4" t="s">
        <v>1673</v>
      </c>
      <c r="E737" s="4">
        <v>2310506</v>
      </c>
      <c r="F737" s="4" t="s">
        <v>1674</v>
      </c>
      <c r="G737" s="4" t="s">
        <v>232</v>
      </c>
      <c r="H737" s="4"/>
    </row>
    <row r="738" s="1" customFormat="1" spans="1:8">
      <c r="A738" s="4" t="s">
        <v>205</v>
      </c>
      <c r="B738" s="4" t="s">
        <v>57</v>
      </c>
      <c r="C738" s="4" t="s">
        <v>62</v>
      </c>
      <c r="D738" s="4" t="s">
        <v>1675</v>
      </c>
      <c r="E738" s="4">
        <v>2310803</v>
      </c>
      <c r="F738" s="4" t="s">
        <v>1676</v>
      </c>
      <c r="G738" s="4" t="s">
        <v>232</v>
      </c>
      <c r="H738" s="4"/>
    </row>
    <row r="739" s="1" customFormat="1" spans="1:8">
      <c r="A739" s="4" t="s">
        <v>205</v>
      </c>
      <c r="B739" s="4" t="s">
        <v>57</v>
      </c>
      <c r="C739" s="4" t="s">
        <v>62</v>
      </c>
      <c r="D739" s="4" t="s">
        <v>1677</v>
      </c>
      <c r="E739" s="4">
        <v>2310902</v>
      </c>
      <c r="F739" s="4" t="s">
        <v>1678</v>
      </c>
      <c r="G739" s="4" t="s">
        <v>232</v>
      </c>
      <c r="H739" s="4"/>
    </row>
    <row r="740" s="1" customFormat="1" spans="1:8">
      <c r="A740" s="4" t="s">
        <v>205</v>
      </c>
      <c r="B740" s="4" t="s">
        <v>57</v>
      </c>
      <c r="C740" s="4" t="s">
        <v>62</v>
      </c>
      <c r="D740" s="4" t="s">
        <v>1679</v>
      </c>
      <c r="E740" s="4">
        <v>2310951</v>
      </c>
      <c r="F740" s="4" t="s">
        <v>1680</v>
      </c>
      <c r="G740" s="4" t="s">
        <v>232</v>
      </c>
      <c r="H740" s="4"/>
    </row>
    <row r="741" s="1" customFormat="1" spans="1:8">
      <c r="A741" s="4" t="s">
        <v>205</v>
      </c>
      <c r="B741" s="4" t="s">
        <v>57</v>
      </c>
      <c r="C741" s="4" t="s">
        <v>62</v>
      </c>
      <c r="D741" s="4" t="s">
        <v>1681</v>
      </c>
      <c r="E741" s="4">
        <v>2311009</v>
      </c>
      <c r="F741" s="4" t="s">
        <v>1682</v>
      </c>
      <c r="G741" s="4" t="s">
        <v>232</v>
      </c>
      <c r="H741" s="4"/>
    </row>
    <row r="742" s="1" customFormat="1" spans="1:8">
      <c r="A742" s="4" t="s">
        <v>205</v>
      </c>
      <c r="B742" s="4" t="s">
        <v>57</v>
      </c>
      <c r="C742" s="4" t="s">
        <v>62</v>
      </c>
      <c r="D742" s="4" t="s">
        <v>1683</v>
      </c>
      <c r="E742" s="4">
        <v>2311231</v>
      </c>
      <c r="F742" s="4" t="s">
        <v>1684</v>
      </c>
      <c r="G742" s="4" t="s">
        <v>232</v>
      </c>
      <c r="H742" s="4"/>
    </row>
    <row r="743" s="1" customFormat="1" spans="1:8">
      <c r="A743" s="4" t="s">
        <v>205</v>
      </c>
      <c r="B743" s="4" t="s">
        <v>57</v>
      </c>
      <c r="C743" s="4" t="s">
        <v>62</v>
      </c>
      <c r="D743" s="4" t="s">
        <v>1685</v>
      </c>
      <c r="E743" s="4">
        <v>2311355</v>
      </c>
      <c r="F743" s="4" t="s">
        <v>1686</v>
      </c>
      <c r="G743" s="4" t="s">
        <v>232</v>
      </c>
      <c r="H743" s="4"/>
    </row>
    <row r="744" s="1" customFormat="1" spans="1:8">
      <c r="A744" s="4" t="s">
        <v>205</v>
      </c>
      <c r="B744" s="4" t="s">
        <v>57</v>
      </c>
      <c r="C744" s="4" t="s">
        <v>62</v>
      </c>
      <c r="D744" s="4" t="s">
        <v>1687</v>
      </c>
      <c r="E744" s="4">
        <v>2311405</v>
      </c>
      <c r="F744" s="4" t="s">
        <v>1688</v>
      </c>
      <c r="G744" s="4" t="s">
        <v>232</v>
      </c>
      <c r="H744" s="4"/>
    </row>
    <row r="745" s="1" customFormat="1" spans="1:8">
      <c r="A745" s="4" t="s">
        <v>205</v>
      </c>
      <c r="B745" s="4" t="s">
        <v>57</v>
      </c>
      <c r="C745" s="4" t="s">
        <v>62</v>
      </c>
      <c r="D745" s="4" t="s">
        <v>1689</v>
      </c>
      <c r="E745" s="4">
        <v>2311504</v>
      </c>
      <c r="F745" s="4" t="s">
        <v>1690</v>
      </c>
      <c r="G745" s="4" t="s">
        <v>232</v>
      </c>
      <c r="H745" s="4"/>
    </row>
    <row r="746" s="1" customFormat="1" spans="1:8">
      <c r="A746" s="4" t="s">
        <v>205</v>
      </c>
      <c r="B746" s="4" t="s">
        <v>57</v>
      </c>
      <c r="C746" s="4" t="s">
        <v>62</v>
      </c>
      <c r="D746" s="4" t="s">
        <v>1691</v>
      </c>
      <c r="E746" s="4">
        <v>2311702</v>
      </c>
      <c r="F746" s="4" t="s">
        <v>1692</v>
      </c>
      <c r="G746" s="4" t="s">
        <v>232</v>
      </c>
      <c r="H746" s="4"/>
    </row>
    <row r="747" s="1" customFormat="1" spans="1:8">
      <c r="A747" s="4" t="s">
        <v>205</v>
      </c>
      <c r="B747" s="4" t="s">
        <v>57</v>
      </c>
      <c r="C747" s="4" t="s">
        <v>62</v>
      </c>
      <c r="D747" s="4" t="s">
        <v>1693</v>
      </c>
      <c r="E747" s="4">
        <v>2312205</v>
      </c>
      <c r="F747" s="4" t="s">
        <v>1694</v>
      </c>
      <c r="G747" s="4" t="s">
        <v>232</v>
      </c>
      <c r="H747" s="4"/>
    </row>
    <row r="748" s="1" customFormat="1" spans="1:8">
      <c r="A748" s="4" t="s">
        <v>205</v>
      </c>
      <c r="B748" s="4" t="s">
        <v>57</v>
      </c>
      <c r="C748" s="4" t="s">
        <v>62</v>
      </c>
      <c r="D748" s="4" t="s">
        <v>1695</v>
      </c>
      <c r="E748" s="4">
        <v>2312007</v>
      </c>
      <c r="F748" s="4" t="s">
        <v>1696</v>
      </c>
      <c r="G748" s="4" t="s">
        <v>232</v>
      </c>
      <c r="H748" s="4"/>
    </row>
    <row r="749" s="1" customFormat="1" spans="1:8">
      <c r="A749" s="4" t="s">
        <v>205</v>
      </c>
      <c r="B749" s="4" t="s">
        <v>57</v>
      </c>
      <c r="C749" s="4" t="s">
        <v>62</v>
      </c>
      <c r="D749" s="4" t="s">
        <v>1697</v>
      </c>
      <c r="E749" s="4">
        <v>2312700</v>
      </c>
      <c r="F749" s="4" t="s">
        <v>1698</v>
      </c>
      <c r="G749" s="4" t="s">
        <v>232</v>
      </c>
      <c r="H749" s="4"/>
    </row>
    <row r="750" s="1" customFormat="1" spans="1:8">
      <c r="A750" s="4" t="s">
        <v>205</v>
      </c>
      <c r="B750" s="4" t="s">
        <v>57</v>
      </c>
      <c r="C750" s="4" t="s">
        <v>62</v>
      </c>
      <c r="D750" s="4" t="s">
        <v>1699</v>
      </c>
      <c r="E750" s="4">
        <v>2312809</v>
      </c>
      <c r="F750" s="4" t="s">
        <v>1700</v>
      </c>
      <c r="G750" s="4" t="s">
        <v>232</v>
      </c>
      <c r="H750" s="4"/>
    </row>
    <row r="751" s="1" customFormat="1" spans="1:8">
      <c r="A751" s="4" t="s">
        <v>205</v>
      </c>
      <c r="B751" s="4" t="s">
        <v>57</v>
      </c>
      <c r="C751" s="4" t="s">
        <v>62</v>
      </c>
      <c r="D751" s="4" t="s">
        <v>1701</v>
      </c>
      <c r="E751" s="4">
        <v>2312908</v>
      </c>
      <c r="F751" s="4" t="s">
        <v>1702</v>
      </c>
      <c r="G751" s="4" t="s">
        <v>232</v>
      </c>
      <c r="H751" s="4"/>
    </row>
    <row r="752" s="1" customFormat="1" spans="1:8">
      <c r="A752" s="4" t="s">
        <v>205</v>
      </c>
      <c r="B752" s="4" t="s">
        <v>57</v>
      </c>
      <c r="C752" s="4" t="s">
        <v>62</v>
      </c>
      <c r="D752" s="4" t="s">
        <v>1703</v>
      </c>
      <c r="E752" s="4">
        <v>2313005</v>
      </c>
      <c r="F752" s="4" t="s">
        <v>1704</v>
      </c>
      <c r="G752" s="4" t="s">
        <v>232</v>
      </c>
      <c r="H752" s="4"/>
    </row>
    <row r="753" s="1" customFormat="1" spans="1:8">
      <c r="A753" s="4" t="s">
        <v>205</v>
      </c>
      <c r="B753" s="4" t="s">
        <v>57</v>
      </c>
      <c r="C753" s="4" t="s">
        <v>62</v>
      </c>
      <c r="D753" s="4" t="s">
        <v>1705</v>
      </c>
      <c r="E753" s="4">
        <v>2312304</v>
      </c>
      <c r="F753" s="4" t="s">
        <v>1706</v>
      </c>
      <c r="G753" s="4" t="s">
        <v>232</v>
      </c>
      <c r="H753" s="4"/>
    </row>
    <row r="754" s="1" customFormat="1" spans="1:8">
      <c r="A754" s="4" t="s">
        <v>205</v>
      </c>
      <c r="B754" s="4" t="s">
        <v>57</v>
      </c>
      <c r="C754" s="4" t="s">
        <v>62</v>
      </c>
      <c r="D754" s="4" t="s">
        <v>1707</v>
      </c>
      <c r="E754" s="4">
        <v>2312502</v>
      </c>
      <c r="F754" s="4" t="s">
        <v>1708</v>
      </c>
      <c r="G754" s="4" t="s">
        <v>232</v>
      </c>
      <c r="H754" s="4"/>
    </row>
    <row r="755" s="1" customFormat="1" spans="1:8">
      <c r="A755" s="4" t="s">
        <v>205</v>
      </c>
      <c r="B755" s="4" t="s">
        <v>57</v>
      </c>
      <c r="C755" s="4" t="s">
        <v>62</v>
      </c>
      <c r="D755" s="4" t="s">
        <v>1709</v>
      </c>
      <c r="E755" s="4">
        <v>2313104</v>
      </c>
      <c r="F755" s="4" t="s">
        <v>1710</v>
      </c>
      <c r="G755" s="4" t="s">
        <v>232</v>
      </c>
      <c r="H755" s="4"/>
    </row>
    <row r="756" s="1" customFormat="1" spans="1:8">
      <c r="A756" s="4" t="s">
        <v>205</v>
      </c>
      <c r="B756" s="4" t="s">
        <v>57</v>
      </c>
      <c r="C756" s="4" t="s">
        <v>62</v>
      </c>
      <c r="D756" s="4" t="s">
        <v>1711</v>
      </c>
      <c r="E756" s="4">
        <v>2313203</v>
      </c>
      <c r="F756" s="4" t="s">
        <v>1712</v>
      </c>
      <c r="G756" s="4" t="s">
        <v>232</v>
      </c>
      <c r="H756" s="4"/>
    </row>
    <row r="757" s="1" customFormat="1" spans="1:8">
      <c r="A757" s="4" t="s">
        <v>205</v>
      </c>
      <c r="B757" s="4" t="s">
        <v>57</v>
      </c>
      <c r="C757" s="4" t="s">
        <v>62</v>
      </c>
      <c r="D757" s="4" t="s">
        <v>1713</v>
      </c>
      <c r="E757" s="4">
        <v>2313302</v>
      </c>
      <c r="F757" s="4" t="s">
        <v>1714</v>
      </c>
      <c r="G757" s="4" t="s">
        <v>232</v>
      </c>
      <c r="H757" s="4"/>
    </row>
    <row r="758" s="1" customFormat="1" spans="1:8">
      <c r="A758" s="4" t="s">
        <v>205</v>
      </c>
      <c r="B758" s="4" t="s">
        <v>57</v>
      </c>
      <c r="C758" s="4" t="s">
        <v>62</v>
      </c>
      <c r="D758" s="4" t="s">
        <v>1715</v>
      </c>
      <c r="E758" s="4">
        <v>2313401</v>
      </c>
      <c r="F758" s="4" t="s">
        <v>1716</v>
      </c>
      <c r="G758" s="4" t="s">
        <v>232</v>
      </c>
      <c r="H758" s="4"/>
    </row>
    <row r="759" s="1" customFormat="1" spans="1:8">
      <c r="A759" s="4" t="s">
        <v>205</v>
      </c>
      <c r="B759" s="4" t="s">
        <v>57</v>
      </c>
      <c r="C759" s="4" t="s">
        <v>62</v>
      </c>
      <c r="D759" s="4" t="s">
        <v>1717</v>
      </c>
      <c r="E759" s="4">
        <v>2313609</v>
      </c>
      <c r="F759" s="4" t="s">
        <v>1718</v>
      </c>
      <c r="G759" s="4" t="s">
        <v>232</v>
      </c>
      <c r="H759" s="4"/>
    </row>
    <row r="760" s="1" customFormat="1" spans="1:8">
      <c r="A760" s="4" t="s">
        <v>205</v>
      </c>
      <c r="B760" s="4" t="s">
        <v>57</v>
      </c>
      <c r="C760" s="4" t="s">
        <v>62</v>
      </c>
      <c r="D760" s="4" t="s">
        <v>1719</v>
      </c>
      <c r="E760" s="4">
        <v>2313906</v>
      </c>
      <c r="F760" s="4" t="s">
        <v>1720</v>
      </c>
      <c r="G760" s="4" t="s">
        <v>232</v>
      </c>
      <c r="H760" s="4"/>
    </row>
    <row r="761" s="1" customFormat="1" spans="1:8">
      <c r="A761" s="4" t="s">
        <v>205</v>
      </c>
      <c r="B761" s="4" t="s">
        <v>57</v>
      </c>
      <c r="C761" s="4" t="s">
        <v>62</v>
      </c>
      <c r="D761" s="4" t="s">
        <v>1721</v>
      </c>
      <c r="E761" s="4">
        <v>2313955</v>
      </c>
      <c r="F761" s="4" t="s">
        <v>1722</v>
      </c>
      <c r="G761" s="4" t="s">
        <v>232</v>
      </c>
      <c r="H761" s="4"/>
    </row>
    <row r="762" s="1" customFormat="1" spans="1:8">
      <c r="A762" s="4" t="s">
        <v>205</v>
      </c>
      <c r="B762" s="4" t="s">
        <v>57</v>
      </c>
      <c r="C762" s="4" t="s">
        <v>62</v>
      </c>
      <c r="D762" s="4" t="s">
        <v>1723</v>
      </c>
      <c r="E762" s="4">
        <v>2314102</v>
      </c>
      <c r="F762" s="4" t="s">
        <v>1724</v>
      </c>
      <c r="G762" s="4" t="s">
        <v>232</v>
      </c>
      <c r="H762" s="4"/>
    </row>
    <row r="763" s="1" customFormat="1" spans="1:8">
      <c r="A763" s="4" t="s">
        <v>205</v>
      </c>
      <c r="B763" s="4" t="s">
        <v>57</v>
      </c>
      <c r="C763" s="4" t="s">
        <v>62</v>
      </c>
      <c r="D763" s="4" t="s">
        <v>1725</v>
      </c>
      <c r="E763" s="4">
        <v>2314003</v>
      </c>
      <c r="F763" s="4" t="s">
        <v>1726</v>
      </c>
      <c r="G763" s="4" t="s">
        <v>232</v>
      </c>
      <c r="H763" s="4"/>
    </row>
    <row r="764" s="1" customFormat="1" spans="1:8">
      <c r="A764" s="4" t="s">
        <v>205</v>
      </c>
      <c r="B764" s="4" t="s">
        <v>57</v>
      </c>
      <c r="C764" s="4" t="s">
        <v>62</v>
      </c>
      <c r="D764" s="4" t="s">
        <v>1727</v>
      </c>
      <c r="E764" s="4">
        <v>2300101</v>
      </c>
      <c r="F764" s="4" t="s">
        <v>1728</v>
      </c>
      <c r="G764" s="4" t="s">
        <v>243</v>
      </c>
      <c r="H764" s="4"/>
    </row>
    <row r="765" s="1" customFormat="1" spans="1:8">
      <c r="A765" s="4" t="s">
        <v>205</v>
      </c>
      <c r="B765" s="4" t="s">
        <v>57</v>
      </c>
      <c r="C765" s="4" t="s">
        <v>62</v>
      </c>
      <c r="D765" s="4" t="s">
        <v>1729</v>
      </c>
      <c r="E765" s="4">
        <v>2300408</v>
      </c>
      <c r="F765" s="4" t="s">
        <v>1730</v>
      </c>
      <c r="G765" s="4" t="s">
        <v>243</v>
      </c>
      <c r="H765" s="4"/>
    </row>
    <row r="766" s="1" customFormat="1" spans="1:8">
      <c r="A766" s="4" t="s">
        <v>205</v>
      </c>
      <c r="B766" s="4" t="s">
        <v>57</v>
      </c>
      <c r="C766" s="4" t="s">
        <v>62</v>
      </c>
      <c r="D766" s="4" t="s">
        <v>1731</v>
      </c>
      <c r="E766" s="4">
        <v>2300606</v>
      </c>
      <c r="F766" s="4" t="s">
        <v>1732</v>
      </c>
      <c r="G766" s="4" t="s">
        <v>243</v>
      </c>
      <c r="H766" s="4"/>
    </row>
    <row r="767" s="1" customFormat="1" spans="1:8">
      <c r="A767" s="4" t="s">
        <v>205</v>
      </c>
      <c r="B767" s="4" t="s">
        <v>57</v>
      </c>
      <c r="C767" s="4" t="s">
        <v>62</v>
      </c>
      <c r="D767" s="4" t="s">
        <v>1733</v>
      </c>
      <c r="E767" s="4">
        <v>2300804</v>
      </c>
      <c r="F767" s="4" t="s">
        <v>1734</v>
      </c>
      <c r="G767" s="4" t="s">
        <v>243</v>
      </c>
      <c r="H767" s="4"/>
    </row>
    <row r="768" s="1" customFormat="1" spans="1:8">
      <c r="A768" s="4" t="s">
        <v>205</v>
      </c>
      <c r="B768" s="4" t="s">
        <v>57</v>
      </c>
      <c r="C768" s="4" t="s">
        <v>62</v>
      </c>
      <c r="D768" s="4" t="s">
        <v>1735</v>
      </c>
      <c r="E768" s="4">
        <v>2301307</v>
      </c>
      <c r="F768" s="4" t="s">
        <v>1736</v>
      </c>
      <c r="G768" s="4" t="s">
        <v>243</v>
      </c>
      <c r="H768" s="4"/>
    </row>
    <row r="769" s="1" customFormat="1" spans="1:8">
      <c r="A769" s="4" t="s">
        <v>205</v>
      </c>
      <c r="B769" s="4" t="s">
        <v>57</v>
      </c>
      <c r="C769" s="4" t="s">
        <v>62</v>
      </c>
      <c r="D769" s="4" t="s">
        <v>1737</v>
      </c>
      <c r="E769" s="4">
        <v>2301505</v>
      </c>
      <c r="F769" s="4" t="s">
        <v>1738</v>
      </c>
      <c r="G769" s="4" t="s">
        <v>243</v>
      </c>
      <c r="H769" s="4"/>
    </row>
    <row r="770" s="1" customFormat="1" spans="1:8">
      <c r="A770" s="4" t="s">
        <v>205</v>
      </c>
      <c r="B770" s="4" t="s">
        <v>57</v>
      </c>
      <c r="C770" s="4" t="s">
        <v>62</v>
      </c>
      <c r="D770" s="4" t="s">
        <v>1739</v>
      </c>
      <c r="E770" s="4">
        <v>2301604</v>
      </c>
      <c r="F770" s="4" t="s">
        <v>1740</v>
      </c>
      <c r="G770" s="4" t="s">
        <v>243</v>
      </c>
      <c r="H770" s="4"/>
    </row>
    <row r="771" s="1" customFormat="1" spans="1:8">
      <c r="A771" s="4" t="s">
        <v>205</v>
      </c>
      <c r="B771" s="4" t="s">
        <v>57</v>
      </c>
      <c r="C771" s="4" t="s">
        <v>62</v>
      </c>
      <c r="D771" s="4" t="s">
        <v>1741</v>
      </c>
      <c r="E771" s="4">
        <v>2301703</v>
      </c>
      <c r="F771" s="4" t="s">
        <v>1742</v>
      </c>
      <c r="G771" s="4" t="s">
        <v>243</v>
      </c>
      <c r="H771" s="4"/>
    </row>
    <row r="772" s="1" customFormat="1" spans="1:8">
      <c r="A772" s="4" t="s">
        <v>205</v>
      </c>
      <c r="B772" s="4" t="s">
        <v>57</v>
      </c>
      <c r="C772" s="4" t="s">
        <v>62</v>
      </c>
      <c r="D772" s="4" t="s">
        <v>1743</v>
      </c>
      <c r="E772" s="4">
        <v>2301802</v>
      </c>
      <c r="F772" s="4" t="s">
        <v>1744</v>
      </c>
      <c r="G772" s="4" t="s">
        <v>243</v>
      </c>
      <c r="H772" s="4"/>
    </row>
    <row r="773" s="1" customFormat="1" spans="1:8">
      <c r="A773" s="4" t="s">
        <v>205</v>
      </c>
      <c r="B773" s="4" t="s">
        <v>57</v>
      </c>
      <c r="C773" s="4" t="s">
        <v>62</v>
      </c>
      <c r="D773" s="4" t="s">
        <v>1745</v>
      </c>
      <c r="E773" s="4">
        <v>2301901</v>
      </c>
      <c r="F773" s="4" t="s">
        <v>1746</v>
      </c>
      <c r="G773" s="4" t="s">
        <v>243</v>
      </c>
      <c r="H773" s="4"/>
    </row>
    <row r="774" s="1" customFormat="1" spans="1:8">
      <c r="A774" s="4" t="s">
        <v>205</v>
      </c>
      <c r="B774" s="4" t="s">
        <v>57</v>
      </c>
      <c r="C774" s="4" t="s">
        <v>62</v>
      </c>
      <c r="D774" s="4" t="s">
        <v>1747</v>
      </c>
      <c r="E774" s="4">
        <v>2302008</v>
      </c>
      <c r="F774" s="4" t="s">
        <v>1748</v>
      </c>
      <c r="G774" s="4" t="s">
        <v>243</v>
      </c>
      <c r="H774" s="4"/>
    </row>
    <row r="775" s="1" customFormat="1" spans="1:8">
      <c r="A775" s="4" t="s">
        <v>205</v>
      </c>
      <c r="B775" s="4" t="s">
        <v>57</v>
      </c>
      <c r="C775" s="4" t="s">
        <v>62</v>
      </c>
      <c r="D775" s="4" t="s">
        <v>1749</v>
      </c>
      <c r="E775" s="4">
        <v>2302057</v>
      </c>
      <c r="F775" s="4" t="s">
        <v>1750</v>
      </c>
      <c r="G775" s="4" t="s">
        <v>243</v>
      </c>
      <c r="H775" s="4"/>
    </row>
    <row r="776" s="1" customFormat="1" spans="1:8">
      <c r="A776" s="4" t="s">
        <v>205</v>
      </c>
      <c r="B776" s="4" t="s">
        <v>57</v>
      </c>
      <c r="C776" s="4" t="s">
        <v>62</v>
      </c>
      <c r="D776" s="4" t="s">
        <v>1751</v>
      </c>
      <c r="E776" s="4">
        <v>2302503</v>
      </c>
      <c r="F776" s="4" t="s">
        <v>1752</v>
      </c>
      <c r="G776" s="4" t="s">
        <v>243</v>
      </c>
      <c r="H776" s="4"/>
    </row>
    <row r="777" s="1" customFormat="1" spans="1:8">
      <c r="A777" s="4" t="s">
        <v>205</v>
      </c>
      <c r="B777" s="4" t="s">
        <v>57</v>
      </c>
      <c r="C777" s="4" t="s">
        <v>62</v>
      </c>
      <c r="D777" s="4" t="s">
        <v>1753</v>
      </c>
      <c r="E777" s="4">
        <v>2302701</v>
      </c>
      <c r="F777" s="4" t="s">
        <v>1754</v>
      </c>
      <c r="G777" s="4" t="s">
        <v>243</v>
      </c>
      <c r="H777" s="4"/>
    </row>
    <row r="778" s="1" customFormat="1" spans="1:8">
      <c r="A778" s="4" t="s">
        <v>205</v>
      </c>
      <c r="B778" s="4" t="s">
        <v>57</v>
      </c>
      <c r="C778" s="4" t="s">
        <v>62</v>
      </c>
      <c r="D778" s="4" t="s">
        <v>1755</v>
      </c>
      <c r="E778" s="4">
        <v>2303204</v>
      </c>
      <c r="F778" s="4" t="s">
        <v>1756</v>
      </c>
      <c r="G778" s="4" t="s">
        <v>243</v>
      </c>
      <c r="H778" s="4"/>
    </row>
    <row r="779" s="1" customFormat="1" spans="1:8">
      <c r="A779" s="4" t="s">
        <v>205</v>
      </c>
      <c r="B779" s="4" t="s">
        <v>57</v>
      </c>
      <c r="C779" s="4" t="s">
        <v>62</v>
      </c>
      <c r="D779" s="4" t="s">
        <v>1757</v>
      </c>
      <c r="E779" s="4">
        <v>2303303</v>
      </c>
      <c r="F779" s="4" t="s">
        <v>1758</v>
      </c>
      <c r="G779" s="4" t="s">
        <v>243</v>
      </c>
      <c r="H779" s="4"/>
    </row>
    <row r="780" s="1" customFormat="1" spans="1:8">
      <c r="A780" s="4" t="s">
        <v>205</v>
      </c>
      <c r="B780" s="4" t="s">
        <v>57</v>
      </c>
      <c r="C780" s="4" t="s">
        <v>62</v>
      </c>
      <c r="D780" s="4" t="s">
        <v>1759</v>
      </c>
      <c r="E780" s="4">
        <v>2303808</v>
      </c>
      <c r="F780" s="4" t="s">
        <v>1760</v>
      </c>
      <c r="G780" s="4" t="s">
        <v>243</v>
      </c>
      <c r="H780" s="4"/>
    </row>
    <row r="781" s="1" customFormat="1" spans="1:8">
      <c r="A781" s="4" t="s">
        <v>205</v>
      </c>
      <c r="B781" s="4" t="s">
        <v>57</v>
      </c>
      <c r="C781" s="4" t="s">
        <v>62</v>
      </c>
      <c r="D781" s="4" t="s">
        <v>1761</v>
      </c>
      <c r="E781" s="4">
        <v>2303907</v>
      </c>
      <c r="F781" s="4" t="s">
        <v>1762</v>
      </c>
      <c r="G781" s="4" t="s">
        <v>243</v>
      </c>
      <c r="H781" s="4"/>
    </row>
    <row r="782" s="1" customFormat="1" spans="1:8">
      <c r="A782" s="4" t="s">
        <v>205</v>
      </c>
      <c r="B782" s="4" t="s">
        <v>57</v>
      </c>
      <c r="C782" s="4" t="s">
        <v>62</v>
      </c>
      <c r="D782" s="4" t="s">
        <v>1763</v>
      </c>
      <c r="E782" s="4">
        <v>2304202</v>
      </c>
      <c r="F782" s="4" t="s">
        <v>1764</v>
      </c>
      <c r="G782" s="4" t="s">
        <v>243</v>
      </c>
      <c r="H782" s="4"/>
    </row>
    <row r="783" s="1" customFormat="1" spans="1:8">
      <c r="A783" s="4" t="s">
        <v>205</v>
      </c>
      <c r="B783" s="4" t="s">
        <v>57</v>
      </c>
      <c r="C783" s="4" t="s">
        <v>62</v>
      </c>
      <c r="D783" s="4" t="s">
        <v>1765</v>
      </c>
      <c r="E783" s="4">
        <v>2304301</v>
      </c>
      <c r="F783" s="4" t="s">
        <v>1766</v>
      </c>
      <c r="G783" s="4" t="s">
        <v>243</v>
      </c>
      <c r="H783" s="4"/>
    </row>
    <row r="784" s="1" customFormat="1" spans="1:8">
      <c r="A784" s="4" t="s">
        <v>205</v>
      </c>
      <c r="B784" s="4" t="s">
        <v>57</v>
      </c>
      <c r="C784" s="4" t="s">
        <v>62</v>
      </c>
      <c r="D784" s="4" t="s">
        <v>1767</v>
      </c>
      <c r="E784" s="4">
        <v>2304806</v>
      </c>
      <c r="F784" s="4" t="s">
        <v>1768</v>
      </c>
      <c r="G784" s="4" t="s">
        <v>243</v>
      </c>
      <c r="H784" s="4"/>
    </row>
    <row r="785" s="1" customFormat="1" spans="1:8">
      <c r="A785" s="4" t="s">
        <v>205</v>
      </c>
      <c r="B785" s="4" t="s">
        <v>57</v>
      </c>
      <c r="C785" s="4" t="s">
        <v>62</v>
      </c>
      <c r="D785" s="4" t="s">
        <v>1769</v>
      </c>
      <c r="E785" s="4">
        <v>2305654</v>
      </c>
      <c r="F785" s="4" t="s">
        <v>1770</v>
      </c>
      <c r="G785" s="4" t="s">
        <v>243</v>
      </c>
      <c r="H785" s="4"/>
    </row>
    <row r="786" s="1" customFormat="1" spans="1:8">
      <c r="A786" s="4" t="s">
        <v>205</v>
      </c>
      <c r="B786" s="4" t="s">
        <v>57</v>
      </c>
      <c r="C786" s="4" t="s">
        <v>62</v>
      </c>
      <c r="D786" s="4" t="s">
        <v>1771</v>
      </c>
      <c r="E786" s="4">
        <v>2305704</v>
      </c>
      <c r="F786" s="4" t="s">
        <v>1772</v>
      </c>
      <c r="G786" s="4" t="s">
        <v>243</v>
      </c>
      <c r="H786" s="4"/>
    </row>
    <row r="787" s="1" customFormat="1" spans="1:8">
      <c r="A787" s="4" t="s">
        <v>205</v>
      </c>
      <c r="B787" s="4" t="s">
        <v>57</v>
      </c>
      <c r="C787" s="4" t="s">
        <v>62</v>
      </c>
      <c r="D787" s="4" t="s">
        <v>1773</v>
      </c>
      <c r="E787" s="4">
        <v>2307205</v>
      </c>
      <c r="F787" s="4" t="s">
        <v>1774</v>
      </c>
      <c r="G787" s="4" t="s">
        <v>243</v>
      </c>
      <c r="H787" s="4"/>
    </row>
    <row r="788" s="1" customFormat="1" spans="1:8">
      <c r="A788" s="4" t="s">
        <v>205</v>
      </c>
      <c r="B788" s="4" t="s">
        <v>57</v>
      </c>
      <c r="C788" s="4" t="s">
        <v>62</v>
      </c>
      <c r="D788" s="4" t="s">
        <v>1775</v>
      </c>
      <c r="E788" s="4">
        <v>2307304</v>
      </c>
      <c r="F788" s="4" t="s">
        <v>1776</v>
      </c>
      <c r="G788" s="4" t="s">
        <v>243</v>
      </c>
      <c r="H788" s="4"/>
    </row>
    <row r="789" s="1" customFormat="1" spans="1:8">
      <c r="A789" s="4" t="s">
        <v>205</v>
      </c>
      <c r="B789" s="4" t="s">
        <v>57</v>
      </c>
      <c r="C789" s="4" t="s">
        <v>62</v>
      </c>
      <c r="D789" s="4" t="s">
        <v>1777</v>
      </c>
      <c r="E789" s="4">
        <v>2307403</v>
      </c>
      <c r="F789" s="4" t="s">
        <v>1778</v>
      </c>
      <c r="G789" s="4" t="s">
        <v>243</v>
      </c>
      <c r="H789" s="4"/>
    </row>
    <row r="790" s="1" customFormat="1" spans="1:8">
      <c r="A790" s="4" t="s">
        <v>205</v>
      </c>
      <c r="B790" s="4" t="s">
        <v>57</v>
      </c>
      <c r="C790" s="4" t="s">
        <v>62</v>
      </c>
      <c r="D790" s="4" t="s">
        <v>1779</v>
      </c>
      <c r="E790" s="4">
        <v>2307502</v>
      </c>
      <c r="F790" s="4" t="s">
        <v>1780</v>
      </c>
      <c r="G790" s="4" t="s">
        <v>243</v>
      </c>
      <c r="H790" s="4"/>
    </row>
    <row r="791" s="1" customFormat="1" spans="1:8">
      <c r="A791" s="4" t="s">
        <v>205</v>
      </c>
      <c r="B791" s="4" t="s">
        <v>57</v>
      </c>
      <c r="C791" s="4" t="s">
        <v>62</v>
      </c>
      <c r="D791" s="4" t="s">
        <v>1781</v>
      </c>
      <c r="E791" s="4">
        <v>2308104</v>
      </c>
      <c r="F791" s="4" t="s">
        <v>1782</v>
      </c>
      <c r="G791" s="4" t="s">
        <v>243</v>
      </c>
      <c r="H791" s="4"/>
    </row>
    <row r="792" s="1" customFormat="1" spans="1:8">
      <c r="A792" s="4" t="s">
        <v>205</v>
      </c>
      <c r="B792" s="4" t="s">
        <v>57</v>
      </c>
      <c r="C792" s="4" t="s">
        <v>62</v>
      </c>
      <c r="D792" s="4" t="s">
        <v>765</v>
      </c>
      <c r="E792" s="4">
        <v>2308302</v>
      </c>
      <c r="F792" s="4" t="s">
        <v>1783</v>
      </c>
      <c r="G792" s="4" t="s">
        <v>243</v>
      </c>
      <c r="H792" s="4"/>
    </row>
    <row r="793" s="1" customFormat="1" spans="1:8">
      <c r="A793" s="4" t="s">
        <v>205</v>
      </c>
      <c r="B793" s="4" t="s">
        <v>57</v>
      </c>
      <c r="C793" s="4" t="s">
        <v>62</v>
      </c>
      <c r="D793" s="4" t="s">
        <v>1784</v>
      </c>
      <c r="E793" s="4">
        <v>2308401</v>
      </c>
      <c r="F793" s="4" t="s">
        <v>1785</v>
      </c>
      <c r="G793" s="4" t="s">
        <v>243</v>
      </c>
      <c r="H793" s="4"/>
    </row>
    <row r="794" s="1" customFormat="1" spans="1:8">
      <c r="A794" s="4" t="s">
        <v>205</v>
      </c>
      <c r="B794" s="4" t="s">
        <v>57</v>
      </c>
      <c r="C794" s="4" t="s">
        <v>62</v>
      </c>
      <c r="D794" s="4" t="s">
        <v>1786</v>
      </c>
      <c r="E794" s="4">
        <v>2309201</v>
      </c>
      <c r="F794" s="4" t="s">
        <v>1787</v>
      </c>
      <c r="G794" s="4" t="s">
        <v>243</v>
      </c>
      <c r="H794" s="4"/>
    </row>
    <row r="795" s="1" customFormat="1" spans="1:8">
      <c r="A795" s="4" t="s">
        <v>205</v>
      </c>
      <c r="B795" s="4" t="s">
        <v>57</v>
      </c>
      <c r="C795" s="4" t="s">
        <v>62</v>
      </c>
      <c r="D795" s="4" t="s">
        <v>1788</v>
      </c>
      <c r="E795" s="4">
        <v>2309409</v>
      </c>
      <c r="F795" s="4" t="s">
        <v>1789</v>
      </c>
      <c r="G795" s="4" t="s">
        <v>243</v>
      </c>
      <c r="H795" s="4"/>
    </row>
    <row r="796" s="1" customFormat="1" spans="1:8">
      <c r="A796" s="4" t="s">
        <v>205</v>
      </c>
      <c r="B796" s="4" t="s">
        <v>57</v>
      </c>
      <c r="C796" s="4" t="s">
        <v>62</v>
      </c>
      <c r="D796" s="4" t="s">
        <v>1790</v>
      </c>
      <c r="E796" s="4">
        <v>2310308</v>
      </c>
      <c r="F796" s="4" t="s">
        <v>1791</v>
      </c>
      <c r="G796" s="4" t="s">
        <v>243</v>
      </c>
      <c r="H796" s="4"/>
    </row>
    <row r="797" s="1" customFormat="1" spans="1:8">
      <c r="A797" s="4" t="s">
        <v>205</v>
      </c>
      <c r="B797" s="4" t="s">
        <v>57</v>
      </c>
      <c r="C797" s="4" t="s">
        <v>62</v>
      </c>
      <c r="D797" s="4" t="s">
        <v>1792</v>
      </c>
      <c r="E797" s="4">
        <v>2310605</v>
      </c>
      <c r="F797" s="4" t="s">
        <v>1793</v>
      </c>
      <c r="G797" s="4" t="s">
        <v>243</v>
      </c>
      <c r="H797" s="4"/>
    </row>
    <row r="798" s="1" customFormat="1" spans="1:8">
      <c r="A798" s="4" t="s">
        <v>205</v>
      </c>
      <c r="B798" s="4" t="s">
        <v>57</v>
      </c>
      <c r="C798" s="4" t="s">
        <v>62</v>
      </c>
      <c r="D798" s="4" t="s">
        <v>1794</v>
      </c>
      <c r="E798" s="4">
        <v>2311108</v>
      </c>
      <c r="F798" s="4" t="s">
        <v>1795</v>
      </c>
      <c r="G798" s="4" t="s">
        <v>243</v>
      </c>
      <c r="H798" s="4"/>
    </row>
    <row r="799" s="1" customFormat="1" spans="1:8">
      <c r="A799" s="4" t="s">
        <v>205</v>
      </c>
      <c r="B799" s="4" t="s">
        <v>57</v>
      </c>
      <c r="C799" s="4" t="s">
        <v>62</v>
      </c>
      <c r="D799" s="4" t="s">
        <v>1796</v>
      </c>
      <c r="E799" s="4">
        <v>2311207</v>
      </c>
      <c r="F799" s="4" t="s">
        <v>1797</v>
      </c>
      <c r="G799" s="4" t="s">
        <v>243</v>
      </c>
      <c r="H799" s="4"/>
    </row>
    <row r="800" s="1" customFormat="1" spans="1:8">
      <c r="A800" s="4" t="s">
        <v>205</v>
      </c>
      <c r="B800" s="4" t="s">
        <v>57</v>
      </c>
      <c r="C800" s="4" t="s">
        <v>62</v>
      </c>
      <c r="D800" s="4" t="s">
        <v>1798</v>
      </c>
      <c r="E800" s="4">
        <v>2311264</v>
      </c>
      <c r="F800" s="4" t="s">
        <v>1799</v>
      </c>
      <c r="G800" s="4" t="s">
        <v>243</v>
      </c>
      <c r="H800" s="4"/>
    </row>
    <row r="801" s="1" customFormat="1" spans="1:8">
      <c r="A801" s="4" t="s">
        <v>205</v>
      </c>
      <c r="B801" s="4" t="s">
        <v>57</v>
      </c>
      <c r="C801" s="4" t="s">
        <v>62</v>
      </c>
      <c r="D801" s="4" t="s">
        <v>1800</v>
      </c>
      <c r="E801" s="4">
        <v>2311900</v>
      </c>
      <c r="F801" s="4" t="s">
        <v>1801</v>
      </c>
      <c r="G801" s="4" t="s">
        <v>243</v>
      </c>
      <c r="H801" s="4"/>
    </row>
    <row r="802" s="1" customFormat="1" spans="1:8">
      <c r="A802" s="4" t="s">
        <v>205</v>
      </c>
      <c r="B802" s="4" t="s">
        <v>57</v>
      </c>
      <c r="C802" s="4" t="s">
        <v>62</v>
      </c>
      <c r="D802" s="4" t="s">
        <v>1802</v>
      </c>
      <c r="E802" s="4">
        <v>2311959</v>
      </c>
      <c r="F802" s="4" t="s">
        <v>1803</v>
      </c>
      <c r="G802" s="4" t="s">
        <v>243</v>
      </c>
      <c r="H802" s="4"/>
    </row>
    <row r="803" s="1" customFormat="1" spans="1:8">
      <c r="A803" s="4" t="s">
        <v>205</v>
      </c>
      <c r="B803" s="4" t="s">
        <v>57</v>
      </c>
      <c r="C803" s="4" t="s">
        <v>62</v>
      </c>
      <c r="D803" s="4" t="s">
        <v>1804</v>
      </c>
      <c r="E803" s="4">
        <v>2312106</v>
      </c>
      <c r="F803" s="4" t="s">
        <v>1805</v>
      </c>
      <c r="G803" s="4" t="s">
        <v>243</v>
      </c>
      <c r="H803" s="4"/>
    </row>
    <row r="804" s="1" customFormat="1" spans="1:8">
      <c r="A804" s="4" t="s">
        <v>205</v>
      </c>
      <c r="B804" s="4" t="s">
        <v>57</v>
      </c>
      <c r="C804" s="4" t="s">
        <v>62</v>
      </c>
      <c r="D804" s="4" t="s">
        <v>1806</v>
      </c>
      <c r="E804" s="4">
        <v>2313252</v>
      </c>
      <c r="F804" s="4" t="s">
        <v>1807</v>
      </c>
      <c r="G804" s="4" t="s">
        <v>243</v>
      </c>
      <c r="H804" s="4"/>
    </row>
    <row r="805" s="1" customFormat="1" spans="1:8">
      <c r="A805" s="4" t="s">
        <v>205</v>
      </c>
      <c r="B805" s="4" t="s">
        <v>57</v>
      </c>
      <c r="C805" s="4" t="s">
        <v>62</v>
      </c>
      <c r="D805" s="4" t="s">
        <v>1808</v>
      </c>
      <c r="E805" s="4">
        <v>2313708</v>
      </c>
      <c r="F805" s="4" t="s">
        <v>1809</v>
      </c>
      <c r="G805" s="4" t="s">
        <v>243</v>
      </c>
      <c r="H805" s="4"/>
    </row>
    <row r="806" s="1" customFormat="1" spans="1:8">
      <c r="A806" s="4" t="s">
        <v>205</v>
      </c>
      <c r="B806" s="4" t="s">
        <v>93</v>
      </c>
      <c r="C806" s="4" t="s">
        <v>94</v>
      </c>
      <c r="D806" s="4" t="s">
        <v>95</v>
      </c>
      <c r="E806" s="4">
        <v>5300108</v>
      </c>
      <c r="F806" s="4" t="s">
        <v>1810</v>
      </c>
      <c r="G806" s="4" t="s">
        <v>207</v>
      </c>
      <c r="H806" s="13"/>
    </row>
    <row r="807" s="1" customFormat="1" spans="1:8">
      <c r="A807" s="4" t="s">
        <v>205</v>
      </c>
      <c r="B807" s="4" t="s">
        <v>93</v>
      </c>
      <c r="C807" s="4" t="s">
        <v>94</v>
      </c>
      <c r="D807" s="12" t="s">
        <v>1811</v>
      </c>
      <c r="E807" s="4">
        <v>5300108</v>
      </c>
      <c r="F807" s="4" t="s">
        <v>1812</v>
      </c>
      <c r="G807" s="4" t="s">
        <v>1813</v>
      </c>
      <c r="H807" s="13"/>
    </row>
    <row r="808" s="1" customFormat="1" spans="1:8">
      <c r="A808" s="4" t="s">
        <v>205</v>
      </c>
      <c r="B808" s="4" t="s">
        <v>93</v>
      </c>
      <c r="C808" s="4" t="s">
        <v>94</v>
      </c>
      <c r="D808" s="12" t="s">
        <v>1814</v>
      </c>
      <c r="E808" s="4">
        <v>5300108</v>
      </c>
      <c r="F808" s="4" t="s">
        <v>1815</v>
      </c>
      <c r="G808" s="4" t="s">
        <v>1813</v>
      </c>
      <c r="H808" s="13"/>
    </row>
    <row r="809" s="1" customFormat="1" spans="1:8">
      <c r="A809" s="4" t="s">
        <v>205</v>
      </c>
      <c r="B809" s="4" t="s">
        <v>93</v>
      </c>
      <c r="C809" s="4" t="s">
        <v>94</v>
      </c>
      <c r="D809" s="12" t="s">
        <v>1816</v>
      </c>
      <c r="E809" s="4">
        <v>5300108</v>
      </c>
      <c r="F809" s="4" t="s">
        <v>1817</v>
      </c>
      <c r="G809" s="4" t="s">
        <v>1813</v>
      </c>
      <c r="H809" s="13"/>
    </row>
    <row r="810" s="1" customFormat="1" spans="1:8">
      <c r="A810" s="4" t="s">
        <v>205</v>
      </c>
      <c r="B810" s="4" t="s">
        <v>93</v>
      </c>
      <c r="C810" s="4" t="s">
        <v>94</v>
      </c>
      <c r="D810" s="12" t="s">
        <v>1818</v>
      </c>
      <c r="E810" s="4">
        <v>5300108</v>
      </c>
      <c r="F810" s="4" t="s">
        <v>1819</v>
      </c>
      <c r="G810" s="4" t="s">
        <v>1813</v>
      </c>
      <c r="H810" s="13"/>
    </row>
    <row r="811" s="1" customFormat="1" spans="1:8">
      <c r="A811" s="4" t="s">
        <v>205</v>
      </c>
      <c r="B811" s="4" t="s">
        <v>93</v>
      </c>
      <c r="C811" s="4" t="s">
        <v>94</v>
      </c>
      <c r="D811" s="12" t="s">
        <v>1820</v>
      </c>
      <c r="E811" s="4">
        <v>5300108</v>
      </c>
      <c r="F811" s="4" t="s">
        <v>1821</v>
      </c>
      <c r="G811" s="4" t="s">
        <v>1813</v>
      </c>
      <c r="H811" s="13"/>
    </row>
    <row r="812" s="1" customFormat="1" spans="1:8">
      <c r="A812" s="4" t="s">
        <v>205</v>
      </c>
      <c r="B812" s="4" t="s">
        <v>93</v>
      </c>
      <c r="C812" s="4" t="s">
        <v>94</v>
      </c>
      <c r="D812" s="12" t="s">
        <v>1822</v>
      </c>
      <c r="E812" s="4">
        <v>5300108</v>
      </c>
      <c r="F812" s="4" t="s">
        <v>1823</v>
      </c>
      <c r="G812" s="4" t="s">
        <v>1813</v>
      </c>
      <c r="H812" s="13"/>
    </row>
    <row r="813" s="1" customFormat="1" spans="1:8">
      <c r="A813" s="4" t="s">
        <v>205</v>
      </c>
      <c r="B813" s="4" t="s">
        <v>93</v>
      </c>
      <c r="C813" s="4" t="s">
        <v>94</v>
      </c>
      <c r="D813" s="12" t="s">
        <v>1824</v>
      </c>
      <c r="E813" s="4">
        <v>5300108</v>
      </c>
      <c r="F813" s="4" t="s">
        <v>1825</v>
      </c>
      <c r="G813" s="4" t="s">
        <v>1813</v>
      </c>
      <c r="H813" s="13"/>
    </row>
    <row r="814" s="1" customFormat="1" spans="1:8">
      <c r="A814" s="4" t="s">
        <v>205</v>
      </c>
      <c r="B814" s="4" t="s">
        <v>93</v>
      </c>
      <c r="C814" s="4" t="s">
        <v>94</v>
      </c>
      <c r="D814" s="12" t="s">
        <v>1826</v>
      </c>
      <c r="E814" s="4">
        <v>5300108</v>
      </c>
      <c r="F814" s="4" t="s">
        <v>1827</v>
      </c>
      <c r="G814" s="4" t="s">
        <v>1813</v>
      </c>
      <c r="H814" s="13"/>
    </row>
    <row r="815" s="1" customFormat="1" spans="1:8">
      <c r="A815" s="4" t="s">
        <v>205</v>
      </c>
      <c r="B815" s="4" t="s">
        <v>93</v>
      </c>
      <c r="C815" s="4" t="s">
        <v>94</v>
      </c>
      <c r="D815" s="12" t="s">
        <v>1828</v>
      </c>
      <c r="E815" s="4">
        <v>5300108</v>
      </c>
      <c r="F815" s="4" t="s">
        <v>1829</v>
      </c>
      <c r="G815" s="4" t="s">
        <v>1813</v>
      </c>
      <c r="H815" s="13"/>
    </row>
    <row r="816" s="1" customFormat="1" spans="1:8">
      <c r="A816" s="4" t="s">
        <v>205</v>
      </c>
      <c r="B816" s="4" t="s">
        <v>93</v>
      </c>
      <c r="C816" s="4" t="s">
        <v>94</v>
      </c>
      <c r="D816" s="12" t="s">
        <v>1830</v>
      </c>
      <c r="E816" s="4">
        <v>5300108</v>
      </c>
      <c r="F816" s="4" t="s">
        <v>1831</v>
      </c>
      <c r="G816" s="4" t="s">
        <v>1813</v>
      </c>
      <c r="H816" s="13"/>
    </row>
    <row r="817" s="1" customFormat="1" spans="1:8">
      <c r="A817" s="4" t="s">
        <v>205</v>
      </c>
      <c r="B817" s="4" t="s">
        <v>93</v>
      </c>
      <c r="C817" s="4" t="s">
        <v>94</v>
      </c>
      <c r="D817" s="12" t="s">
        <v>1832</v>
      </c>
      <c r="E817" s="4">
        <v>5300108</v>
      </c>
      <c r="F817" s="4" t="s">
        <v>1833</v>
      </c>
      <c r="G817" s="4" t="s">
        <v>1813</v>
      </c>
      <c r="H817" s="13"/>
    </row>
    <row r="818" s="1" customFormat="1" spans="1:8">
      <c r="A818" s="4" t="s">
        <v>205</v>
      </c>
      <c r="B818" s="4" t="s">
        <v>93</v>
      </c>
      <c r="C818" s="4" t="s">
        <v>94</v>
      </c>
      <c r="D818" s="12" t="s">
        <v>1834</v>
      </c>
      <c r="E818" s="4">
        <v>5300108</v>
      </c>
      <c r="F818" s="4" t="s">
        <v>1835</v>
      </c>
      <c r="G818" s="4" t="s">
        <v>1813</v>
      </c>
      <c r="H818" s="13"/>
    </row>
    <row r="819" s="1" customFormat="1" spans="1:8">
      <c r="A819" s="4" t="s">
        <v>205</v>
      </c>
      <c r="B819" s="4" t="s">
        <v>93</v>
      </c>
      <c r="C819" s="4" t="s">
        <v>94</v>
      </c>
      <c r="D819" s="12" t="s">
        <v>1836</v>
      </c>
      <c r="E819" s="4">
        <v>5300108</v>
      </c>
      <c r="F819" s="4" t="s">
        <v>1837</v>
      </c>
      <c r="G819" s="4" t="s">
        <v>1813</v>
      </c>
      <c r="H819" s="13"/>
    </row>
    <row r="820" s="1" customFormat="1" spans="1:8">
      <c r="A820" s="4" t="s">
        <v>205</v>
      </c>
      <c r="B820" s="4" t="s">
        <v>93</v>
      </c>
      <c r="C820" s="4" t="s">
        <v>94</v>
      </c>
      <c r="D820" s="12" t="s">
        <v>1838</v>
      </c>
      <c r="E820" s="4">
        <v>5300108</v>
      </c>
      <c r="F820" s="4" t="s">
        <v>1839</v>
      </c>
      <c r="G820" s="4" t="s">
        <v>1813</v>
      </c>
      <c r="H820" s="13"/>
    </row>
    <row r="821" s="1" customFormat="1" spans="1:8">
      <c r="A821" s="4" t="s">
        <v>205</v>
      </c>
      <c r="B821" s="4" t="s">
        <v>93</v>
      </c>
      <c r="C821" s="4" t="s">
        <v>94</v>
      </c>
      <c r="D821" s="12" t="s">
        <v>1840</v>
      </c>
      <c r="E821" s="4">
        <v>5300108</v>
      </c>
      <c r="F821" s="4" t="s">
        <v>1841</v>
      </c>
      <c r="G821" s="4" t="s">
        <v>1813</v>
      </c>
      <c r="H821" s="13"/>
    </row>
    <row r="822" s="1" customFormat="1" spans="1:8">
      <c r="A822" s="4" t="s">
        <v>205</v>
      </c>
      <c r="B822" s="4" t="s">
        <v>93</v>
      </c>
      <c r="C822" s="4" t="s">
        <v>94</v>
      </c>
      <c r="D822" s="12" t="s">
        <v>1241</v>
      </c>
      <c r="E822" s="4">
        <v>5300108</v>
      </c>
      <c r="F822" s="4" t="s">
        <v>1842</v>
      </c>
      <c r="G822" s="4" t="s">
        <v>1813</v>
      </c>
      <c r="H822" s="13"/>
    </row>
    <row r="823" s="1" customFormat="1" spans="1:8">
      <c r="A823" s="4" t="s">
        <v>205</v>
      </c>
      <c r="B823" s="4" t="s">
        <v>93</v>
      </c>
      <c r="C823" s="4" t="s">
        <v>94</v>
      </c>
      <c r="D823" s="12" t="s">
        <v>407</v>
      </c>
      <c r="E823" s="4">
        <v>5300108</v>
      </c>
      <c r="F823" s="4" t="s">
        <v>1843</v>
      </c>
      <c r="G823" s="4" t="s">
        <v>1813</v>
      </c>
      <c r="H823" s="13"/>
    </row>
    <row r="824" s="1" customFormat="1" spans="1:8">
      <c r="A824" s="4" t="s">
        <v>205</v>
      </c>
      <c r="B824" s="4" t="s">
        <v>93</v>
      </c>
      <c r="C824" s="4" t="s">
        <v>94</v>
      </c>
      <c r="D824" s="12" t="s">
        <v>1844</v>
      </c>
      <c r="E824" s="4">
        <v>5300108</v>
      </c>
      <c r="F824" s="4" t="s">
        <v>1845</v>
      </c>
      <c r="G824" s="4" t="s">
        <v>1813</v>
      </c>
      <c r="H824" s="13"/>
    </row>
    <row r="825" s="1" customFormat="1" spans="1:8">
      <c r="A825" s="4" t="s">
        <v>205</v>
      </c>
      <c r="B825" s="4" t="s">
        <v>79</v>
      </c>
      <c r="C825" s="4" t="s">
        <v>80</v>
      </c>
      <c r="D825" s="4" t="s">
        <v>1846</v>
      </c>
      <c r="E825" s="4">
        <v>3205309</v>
      </c>
      <c r="F825" s="4" t="s">
        <v>1847</v>
      </c>
      <c r="G825" s="4" t="s">
        <v>207</v>
      </c>
      <c r="H825" s="13"/>
    </row>
    <row r="826" s="1" customFormat="1" spans="1:8">
      <c r="A826" s="4" t="s">
        <v>205</v>
      </c>
      <c r="B826" s="4" t="s">
        <v>79</v>
      </c>
      <c r="C826" s="4" t="s">
        <v>80</v>
      </c>
      <c r="D826" s="4" t="s">
        <v>1848</v>
      </c>
      <c r="E826" s="4">
        <v>3201308</v>
      </c>
      <c r="F826" s="4" t="s">
        <v>1849</v>
      </c>
      <c r="G826" s="4" t="s">
        <v>210</v>
      </c>
      <c r="H826" s="13"/>
    </row>
    <row r="827" s="1" customFormat="1" spans="1:8">
      <c r="A827" s="4" t="s">
        <v>205</v>
      </c>
      <c r="B827" s="4" t="s">
        <v>79</v>
      </c>
      <c r="C827" s="4" t="s">
        <v>80</v>
      </c>
      <c r="D827" s="4" t="s">
        <v>1850</v>
      </c>
      <c r="E827" s="4">
        <v>3205002</v>
      </c>
      <c r="F827" s="4" t="s">
        <v>1851</v>
      </c>
      <c r="G827" s="4" t="s">
        <v>210</v>
      </c>
      <c r="H827" s="13"/>
    </row>
    <row r="828" s="1" customFormat="1" spans="1:8">
      <c r="A828" s="4" t="s">
        <v>205</v>
      </c>
      <c r="B828" s="4" t="s">
        <v>79</v>
      </c>
      <c r="C828" s="4" t="s">
        <v>80</v>
      </c>
      <c r="D828" s="4" t="s">
        <v>1852</v>
      </c>
      <c r="E828" s="4">
        <v>3205101</v>
      </c>
      <c r="F828" s="4" t="s">
        <v>1853</v>
      </c>
      <c r="G828" s="4" t="s">
        <v>210</v>
      </c>
      <c r="H828" s="13"/>
    </row>
    <row r="829" s="1" customFormat="1" spans="1:8">
      <c r="A829" s="4" t="s">
        <v>205</v>
      </c>
      <c r="B829" s="4" t="s">
        <v>79</v>
      </c>
      <c r="C829" s="4" t="s">
        <v>80</v>
      </c>
      <c r="D829" s="4" t="s">
        <v>1854</v>
      </c>
      <c r="E829" s="4">
        <v>3205200</v>
      </c>
      <c r="F829" s="4" t="s">
        <v>1855</v>
      </c>
      <c r="G829" s="4" t="s">
        <v>210</v>
      </c>
      <c r="H829" s="13"/>
    </row>
    <row r="830" s="1" customFormat="1" spans="1:8">
      <c r="A830" s="4" t="s">
        <v>205</v>
      </c>
      <c r="B830" s="4" t="s">
        <v>79</v>
      </c>
      <c r="C830" s="4" t="s">
        <v>80</v>
      </c>
      <c r="D830" s="4" t="s">
        <v>1856</v>
      </c>
      <c r="E830" s="4">
        <v>3200300</v>
      </c>
      <c r="F830" s="4" t="s">
        <v>1857</v>
      </c>
      <c r="G830" s="4" t="s">
        <v>215</v>
      </c>
      <c r="H830" s="13"/>
    </row>
    <row r="831" s="1" customFormat="1" spans="1:8">
      <c r="A831" s="4" t="s">
        <v>205</v>
      </c>
      <c r="B831" s="4" t="s">
        <v>79</v>
      </c>
      <c r="C831" s="4" t="s">
        <v>80</v>
      </c>
      <c r="D831" s="4" t="s">
        <v>1858</v>
      </c>
      <c r="E831" s="4">
        <v>3200409</v>
      </c>
      <c r="F831" s="4" t="s">
        <v>1859</v>
      </c>
      <c r="G831" s="4" t="s">
        <v>215</v>
      </c>
      <c r="H831" s="13"/>
    </row>
    <row r="832" s="1" customFormat="1" spans="1:8">
      <c r="A832" s="4" t="s">
        <v>205</v>
      </c>
      <c r="B832" s="4" t="s">
        <v>79</v>
      </c>
      <c r="C832" s="4" t="s">
        <v>80</v>
      </c>
      <c r="D832" s="4" t="s">
        <v>1860</v>
      </c>
      <c r="E832" s="4">
        <v>3200607</v>
      </c>
      <c r="F832" s="4" t="s">
        <v>1861</v>
      </c>
      <c r="G832" s="4" t="s">
        <v>215</v>
      </c>
      <c r="H832" s="13"/>
    </row>
    <row r="833" s="1" customFormat="1" spans="1:8">
      <c r="A833" s="4" t="s">
        <v>205</v>
      </c>
      <c r="B833" s="4" t="s">
        <v>79</v>
      </c>
      <c r="C833" s="4" t="s">
        <v>80</v>
      </c>
      <c r="D833" s="4" t="s">
        <v>1862</v>
      </c>
      <c r="E833" s="4">
        <v>3201902</v>
      </c>
      <c r="F833" s="4" t="s">
        <v>1863</v>
      </c>
      <c r="G833" s="4" t="s">
        <v>215</v>
      </c>
      <c r="H833" s="13"/>
    </row>
    <row r="834" s="1" customFormat="1" spans="1:8">
      <c r="A834" s="4" t="s">
        <v>205</v>
      </c>
      <c r="B834" s="4" t="s">
        <v>79</v>
      </c>
      <c r="C834" s="4" t="s">
        <v>80</v>
      </c>
      <c r="D834" s="4" t="s">
        <v>1864</v>
      </c>
      <c r="E834" s="4">
        <v>3202207</v>
      </c>
      <c r="F834" s="4" t="s">
        <v>1865</v>
      </c>
      <c r="G834" s="4" t="s">
        <v>215</v>
      </c>
      <c r="H834" s="13"/>
    </row>
    <row r="835" s="1" customFormat="1" spans="1:8">
      <c r="A835" s="4" t="s">
        <v>205</v>
      </c>
      <c r="B835" s="4" t="s">
        <v>79</v>
      </c>
      <c r="C835" s="4" t="s">
        <v>80</v>
      </c>
      <c r="D835" s="4" t="s">
        <v>1866</v>
      </c>
      <c r="E835" s="4">
        <v>3202405</v>
      </c>
      <c r="F835" s="4" t="s">
        <v>1867</v>
      </c>
      <c r="G835" s="4" t="s">
        <v>215</v>
      </c>
      <c r="H835" s="13"/>
    </row>
    <row r="836" s="1" customFormat="1" spans="1:8">
      <c r="A836" s="4" t="s">
        <v>205</v>
      </c>
      <c r="B836" s="4" t="s">
        <v>79</v>
      </c>
      <c r="C836" s="4" t="s">
        <v>80</v>
      </c>
      <c r="D836" s="4" t="s">
        <v>1868</v>
      </c>
      <c r="E836" s="4">
        <v>3202504</v>
      </c>
      <c r="F836" s="4" t="s">
        <v>1869</v>
      </c>
      <c r="G836" s="4" t="s">
        <v>215</v>
      </c>
      <c r="H836" s="13"/>
    </row>
    <row r="837" s="1" customFormat="1" spans="1:8">
      <c r="A837" s="4" t="s">
        <v>205</v>
      </c>
      <c r="B837" s="4" t="s">
        <v>79</v>
      </c>
      <c r="C837" s="4" t="s">
        <v>80</v>
      </c>
      <c r="D837" s="4" t="s">
        <v>1870</v>
      </c>
      <c r="E837" s="4">
        <v>3202603</v>
      </c>
      <c r="F837" s="4" t="s">
        <v>1871</v>
      </c>
      <c r="G837" s="4" t="s">
        <v>215</v>
      </c>
      <c r="H837" s="13"/>
    </row>
    <row r="838" s="1" customFormat="1" spans="1:8">
      <c r="A838" s="4" t="s">
        <v>205</v>
      </c>
      <c r="B838" s="4" t="s">
        <v>79</v>
      </c>
      <c r="C838" s="4" t="s">
        <v>80</v>
      </c>
      <c r="D838" s="4" t="s">
        <v>1872</v>
      </c>
      <c r="E838" s="4">
        <v>3202900</v>
      </c>
      <c r="F838" s="4" t="s">
        <v>1873</v>
      </c>
      <c r="G838" s="4" t="s">
        <v>215</v>
      </c>
      <c r="H838" s="13"/>
    </row>
    <row r="839" s="1" customFormat="1" spans="1:8">
      <c r="A839" s="4" t="s">
        <v>205</v>
      </c>
      <c r="B839" s="4" t="s">
        <v>79</v>
      </c>
      <c r="C839" s="4" t="s">
        <v>80</v>
      </c>
      <c r="D839" s="4" t="s">
        <v>1874</v>
      </c>
      <c r="E839" s="4">
        <v>3203130</v>
      </c>
      <c r="F839" s="4" t="s">
        <v>1875</v>
      </c>
      <c r="G839" s="4" t="s">
        <v>215</v>
      </c>
      <c r="H839" s="13"/>
    </row>
    <row r="840" s="1" customFormat="1" spans="1:8">
      <c r="A840" s="4" t="s">
        <v>205</v>
      </c>
      <c r="B840" s="4" t="s">
        <v>79</v>
      </c>
      <c r="C840" s="4" t="s">
        <v>80</v>
      </c>
      <c r="D840" s="4" t="s">
        <v>1876</v>
      </c>
      <c r="E840" s="4">
        <v>3203346</v>
      </c>
      <c r="F840" s="4" t="s">
        <v>1877</v>
      </c>
      <c r="G840" s="4" t="s">
        <v>215</v>
      </c>
      <c r="H840" s="13"/>
    </row>
    <row r="841" s="1" customFormat="1" spans="1:8">
      <c r="A841" s="4" t="s">
        <v>205</v>
      </c>
      <c r="B841" s="4" t="s">
        <v>79</v>
      </c>
      <c r="C841" s="4" t="s">
        <v>80</v>
      </c>
      <c r="D841" s="4" t="s">
        <v>1878</v>
      </c>
      <c r="E841" s="4">
        <v>3204203</v>
      </c>
      <c r="F841" s="4" t="s">
        <v>1879</v>
      </c>
      <c r="G841" s="4" t="s">
        <v>215</v>
      </c>
      <c r="H841" s="13"/>
    </row>
    <row r="842" s="1" customFormat="1" spans="1:8">
      <c r="A842" s="4" t="s">
        <v>205</v>
      </c>
      <c r="B842" s="4" t="s">
        <v>79</v>
      </c>
      <c r="C842" s="4" t="s">
        <v>80</v>
      </c>
      <c r="D842" s="7" t="s">
        <v>1880</v>
      </c>
      <c r="E842" s="7" t="s">
        <v>1881</v>
      </c>
      <c r="F842" s="4" t="s">
        <v>1882</v>
      </c>
      <c r="G842" s="4" t="s">
        <v>215</v>
      </c>
      <c r="H842" s="13"/>
    </row>
    <row r="843" s="1" customFormat="1" spans="1:8">
      <c r="A843" s="4" t="s">
        <v>205</v>
      </c>
      <c r="B843" s="4" t="s">
        <v>79</v>
      </c>
      <c r="C843" s="4" t="s">
        <v>80</v>
      </c>
      <c r="D843" s="4" t="s">
        <v>1883</v>
      </c>
      <c r="E843" s="4">
        <v>3204401</v>
      </c>
      <c r="F843" s="4" t="s">
        <v>1884</v>
      </c>
      <c r="G843" s="4" t="s">
        <v>215</v>
      </c>
      <c r="H843" s="13"/>
    </row>
    <row r="844" s="1" customFormat="1" spans="1:8">
      <c r="A844" s="4" t="s">
        <v>205</v>
      </c>
      <c r="B844" s="4" t="s">
        <v>79</v>
      </c>
      <c r="C844" s="4" t="s">
        <v>80</v>
      </c>
      <c r="D844" s="4" t="s">
        <v>1885</v>
      </c>
      <c r="E844" s="4">
        <v>3204500</v>
      </c>
      <c r="F844" s="4" t="s">
        <v>1886</v>
      </c>
      <c r="G844" s="4" t="s">
        <v>215</v>
      </c>
      <c r="H844" s="13"/>
    </row>
    <row r="845" s="1" customFormat="1" spans="1:8">
      <c r="A845" s="4" t="s">
        <v>205</v>
      </c>
      <c r="B845" s="4" t="s">
        <v>79</v>
      </c>
      <c r="C845" s="4" t="s">
        <v>80</v>
      </c>
      <c r="D845" s="4" t="s">
        <v>1887</v>
      </c>
      <c r="E845" s="4">
        <v>3204559</v>
      </c>
      <c r="F845" s="4" t="s">
        <v>1888</v>
      </c>
      <c r="G845" s="4" t="s">
        <v>215</v>
      </c>
      <c r="H845" s="13"/>
    </row>
    <row r="846" s="1" customFormat="1" spans="1:8">
      <c r="A846" s="4" t="s">
        <v>205</v>
      </c>
      <c r="B846" s="4" t="s">
        <v>79</v>
      </c>
      <c r="C846" s="4" t="s">
        <v>80</v>
      </c>
      <c r="D846" s="4" t="s">
        <v>1889</v>
      </c>
      <c r="E846" s="4">
        <v>3204609</v>
      </c>
      <c r="F846" s="4" t="s">
        <v>1890</v>
      </c>
      <c r="G846" s="4" t="s">
        <v>215</v>
      </c>
      <c r="H846" s="13"/>
    </row>
    <row r="847" s="1" customFormat="1" spans="1:8">
      <c r="A847" s="4" t="s">
        <v>205</v>
      </c>
      <c r="B847" s="4" t="s">
        <v>79</v>
      </c>
      <c r="C847" s="4" t="s">
        <v>80</v>
      </c>
      <c r="D847" s="4" t="s">
        <v>1891</v>
      </c>
      <c r="E847" s="4">
        <v>3204955</v>
      </c>
      <c r="F847" s="4" t="s">
        <v>1892</v>
      </c>
      <c r="G847" s="4" t="s">
        <v>215</v>
      </c>
      <c r="H847" s="13"/>
    </row>
    <row r="848" s="1" customFormat="1" spans="1:8">
      <c r="A848" s="4" t="s">
        <v>205</v>
      </c>
      <c r="B848" s="4" t="s">
        <v>79</v>
      </c>
      <c r="C848" s="4" t="s">
        <v>80</v>
      </c>
      <c r="D848" s="4" t="s">
        <v>1893</v>
      </c>
      <c r="E848" s="4">
        <v>3205069</v>
      </c>
      <c r="F848" s="4" t="s">
        <v>1894</v>
      </c>
      <c r="G848" s="4" t="s">
        <v>215</v>
      </c>
      <c r="H848" s="13"/>
    </row>
    <row r="849" s="1" customFormat="1" spans="1:8">
      <c r="A849" s="4" t="s">
        <v>205</v>
      </c>
      <c r="B849" s="4" t="s">
        <v>79</v>
      </c>
      <c r="C849" s="4" t="s">
        <v>80</v>
      </c>
      <c r="D849" s="4" t="s">
        <v>1895</v>
      </c>
      <c r="E849" s="4">
        <v>3200102</v>
      </c>
      <c r="F849" s="4" t="s">
        <v>1896</v>
      </c>
      <c r="G849" s="4" t="s">
        <v>232</v>
      </c>
      <c r="H849" s="13"/>
    </row>
    <row r="850" s="1" customFormat="1" spans="1:8">
      <c r="A850" s="4" t="s">
        <v>205</v>
      </c>
      <c r="B850" s="4" t="s">
        <v>79</v>
      </c>
      <c r="C850" s="4" t="s">
        <v>80</v>
      </c>
      <c r="D850" s="4" t="s">
        <v>1897</v>
      </c>
      <c r="E850" s="4">
        <v>3200201</v>
      </c>
      <c r="F850" s="4" t="s">
        <v>1898</v>
      </c>
      <c r="G850" s="4" t="s">
        <v>232</v>
      </c>
      <c r="H850" s="13"/>
    </row>
    <row r="851" s="1" customFormat="1" spans="1:8">
      <c r="A851" s="4" t="s">
        <v>205</v>
      </c>
      <c r="B851" s="4" t="s">
        <v>79</v>
      </c>
      <c r="C851" s="4" t="s">
        <v>80</v>
      </c>
      <c r="D851" s="4" t="s">
        <v>1899</v>
      </c>
      <c r="E851" s="4">
        <v>3200359</v>
      </c>
      <c r="F851" s="4" t="s">
        <v>1900</v>
      </c>
      <c r="G851" s="4" t="s">
        <v>232</v>
      </c>
      <c r="H851" s="13"/>
    </row>
    <row r="852" s="1" customFormat="1" spans="1:8">
      <c r="A852" s="4" t="s">
        <v>205</v>
      </c>
      <c r="B852" s="4" t="s">
        <v>79</v>
      </c>
      <c r="C852" s="4" t="s">
        <v>80</v>
      </c>
      <c r="D852" s="4" t="s">
        <v>1901</v>
      </c>
      <c r="E852" s="4">
        <v>3200508</v>
      </c>
      <c r="F852" s="4" t="s">
        <v>1902</v>
      </c>
      <c r="G852" s="4" t="s">
        <v>232</v>
      </c>
      <c r="H852" s="13"/>
    </row>
    <row r="853" s="1" customFormat="1" spans="1:8">
      <c r="A853" s="4" t="s">
        <v>205</v>
      </c>
      <c r="B853" s="4" t="s">
        <v>79</v>
      </c>
      <c r="C853" s="4" t="s">
        <v>80</v>
      </c>
      <c r="D853" s="4" t="s">
        <v>1903</v>
      </c>
      <c r="E853" s="4">
        <v>3200706</v>
      </c>
      <c r="F853" s="4" t="s">
        <v>1904</v>
      </c>
      <c r="G853" s="4" t="s">
        <v>232</v>
      </c>
      <c r="H853" s="13"/>
    </row>
    <row r="854" s="1" customFormat="1" spans="1:8">
      <c r="A854" s="4" t="s">
        <v>205</v>
      </c>
      <c r="B854" s="4" t="s">
        <v>79</v>
      </c>
      <c r="C854" s="4" t="s">
        <v>80</v>
      </c>
      <c r="D854" s="4" t="s">
        <v>1905</v>
      </c>
      <c r="E854" s="4">
        <v>3200805</v>
      </c>
      <c r="F854" s="4" t="s">
        <v>1906</v>
      </c>
      <c r="G854" s="4" t="s">
        <v>232</v>
      </c>
      <c r="H854" s="13"/>
    </row>
    <row r="855" s="1" customFormat="1" spans="1:8">
      <c r="A855" s="4" t="s">
        <v>205</v>
      </c>
      <c r="B855" s="4" t="s">
        <v>79</v>
      </c>
      <c r="C855" s="4" t="s">
        <v>80</v>
      </c>
      <c r="D855" s="4" t="s">
        <v>1907</v>
      </c>
      <c r="E855" s="4">
        <v>3201100</v>
      </c>
      <c r="F855" s="4" t="s">
        <v>1908</v>
      </c>
      <c r="G855" s="4" t="s">
        <v>232</v>
      </c>
      <c r="H855" s="13"/>
    </row>
    <row r="856" s="1" customFormat="1" spans="1:8">
      <c r="A856" s="4" t="s">
        <v>205</v>
      </c>
      <c r="B856" s="4" t="s">
        <v>79</v>
      </c>
      <c r="C856" s="4" t="s">
        <v>80</v>
      </c>
      <c r="D856" s="4" t="s">
        <v>1909</v>
      </c>
      <c r="E856" s="4">
        <v>3201159</v>
      </c>
      <c r="F856" s="4" t="s">
        <v>1910</v>
      </c>
      <c r="G856" s="4" t="s">
        <v>232</v>
      </c>
      <c r="H856" s="13"/>
    </row>
    <row r="857" s="1" customFormat="1" spans="1:8">
      <c r="A857" s="4" t="s">
        <v>205</v>
      </c>
      <c r="B857" s="4" t="s">
        <v>79</v>
      </c>
      <c r="C857" s="4" t="s">
        <v>80</v>
      </c>
      <c r="D857" s="4" t="s">
        <v>1911</v>
      </c>
      <c r="E857" s="4">
        <v>3201209</v>
      </c>
      <c r="F857" s="4" t="s">
        <v>1912</v>
      </c>
      <c r="G857" s="4" t="s">
        <v>232</v>
      </c>
      <c r="H857" s="13"/>
    </row>
    <row r="858" s="1" customFormat="1" spans="1:8">
      <c r="A858" s="4" t="s">
        <v>205</v>
      </c>
      <c r="B858" s="4" t="s">
        <v>79</v>
      </c>
      <c r="C858" s="4" t="s">
        <v>80</v>
      </c>
      <c r="D858" s="4" t="s">
        <v>1913</v>
      </c>
      <c r="E858" s="4">
        <v>3201407</v>
      </c>
      <c r="F858" s="4" t="s">
        <v>1914</v>
      </c>
      <c r="G858" s="4" t="s">
        <v>232</v>
      </c>
      <c r="H858" s="13"/>
    </row>
    <row r="859" s="1" customFormat="1" spans="1:8">
      <c r="A859" s="4" t="s">
        <v>205</v>
      </c>
      <c r="B859" s="4" t="s">
        <v>79</v>
      </c>
      <c r="C859" s="4" t="s">
        <v>80</v>
      </c>
      <c r="D859" s="4" t="s">
        <v>1915</v>
      </c>
      <c r="E859" s="4">
        <v>3201506</v>
      </c>
      <c r="F859" s="4" t="s">
        <v>1916</v>
      </c>
      <c r="G859" s="4" t="s">
        <v>232</v>
      </c>
      <c r="H859" s="13"/>
    </row>
    <row r="860" s="1" customFormat="1" spans="1:8">
      <c r="A860" s="4" t="s">
        <v>205</v>
      </c>
      <c r="B860" s="4" t="s">
        <v>79</v>
      </c>
      <c r="C860" s="4" t="s">
        <v>80</v>
      </c>
      <c r="D860" s="4" t="s">
        <v>1917</v>
      </c>
      <c r="E860" s="4">
        <v>3201704</v>
      </c>
      <c r="F860" s="4" t="s">
        <v>1918</v>
      </c>
      <c r="G860" s="4" t="s">
        <v>232</v>
      </c>
      <c r="H860" s="13"/>
    </row>
    <row r="861" s="1" customFormat="1" spans="1:8">
      <c r="A861" s="4" t="s">
        <v>205</v>
      </c>
      <c r="B861" s="4" t="s">
        <v>79</v>
      </c>
      <c r="C861" s="4" t="s">
        <v>80</v>
      </c>
      <c r="D861" s="4" t="s">
        <v>1919</v>
      </c>
      <c r="E861" s="4">
        <v>3202256</v>
      </c>
      <c r="F861" s="4" t="s">
        <v>1920</v>
      </c>
      <c r="G861" s="4" t="s">
        <v>232</v>
      </c>
      <c r="H861" s="13"/>
    </row>
    <row r="862" s="1" customFormat="1" spans="1:8">
      <c r="A862" s="4" t="s">
        <v>205</v>
      </c>
      <c r="B862" s="4" t="s">
        <v>79</v>
      </c>
      <c r="C862" s="4" t="s">
        <v>80</v>
      </c>
      <c r="D862" s="4" t="s">
        <v>1921</v>
      </c>
      <c r="E862" s="4">
        <v>3202306</v>
      </c>
      <c r="F862" s="4" t="s">
        <v>1922</v>
      </c>
      <c r="G862" s="4" t="s">
        <v>232</v>
      </c>
      <c r="H862" s="13"/>
    </row>
    <row r="863" s="1" customFormat="1" spans="1:8">
      <c r="A863" s="4" t="s">
        <v>205</v>
      </c>
      <c r="B863" s="4" t="s">
        <v>79</v>
      </c>
      <c r="C863" s="4" t="s">
        <v>80</v>
      </c>
      <c r="D863" s="4" t="s">
        <v>1923</v>
      </c>
      <c r="E863" s="4">
        <v>3202454</v>
      </c>
      <c r="F863" s="4" t="s">
        <v>1924</v>
      </c>
      <c r="G863" s="4" t="s">
        <v>232</v>
      </c>
      <c r="H863" s="13"/>
    </row>
    <row r="864" s="1" customFormat="1" spans="1:8">
      <c r="A864" s="4" t="s">
        <v>205</v>
      </c>
      <c r="B864" s="4" t="s">
        <v>79</v>
      </c>
      <c r="C864" s="4" t="s">
        <v>80</v>
      </c>
      <c r="D864" s="4" t="s">
        <v>1925</v>
      </c>
      <c r="E864" s="4">
        <v>3202652</v>
      </c>
      <c r="F864" s="4" t="s">
        <v>1926</v>
      </c>
      <c r="G864" s="4" t="s">
        <v>232</v>
      </c>
      <c r="H864" s="13"/>
    </row>
    <row r="865" s="1" customFormat="1" spans="1:8">
      <c r="A865" s="4" t="s">
        <v>205</v>
      </c>
      <c r="B865" s="4" t="s">
        <v>79</v>
      </c>
      <c r="C865" s="4" t="s">
        <v>80</v>
      </c>
      <c r="D865" s="4" t="s">
        <v>1927</v>
      </c>
      <c r="E865" s="4">
        <v>3202702</v>
      </c>
      <c r="F865" s="4" t="s">
        <v>1928</v>
      </c>
      <c r="G865" s="4" t="s">
        <v>232</v>
      </c>
      <c r="H865" s="13"/>
    </row>
    <row r="866" s="1" customFormat="1" spans="1:8">
      <c r="A866" s="4" t="s">
        <v>205</v>
      </c>
      <c r="B866" s="4" t="s">
        <v>79</v>
      </c>
      <c r="C866" s="4" t="s">
        <v>80</v>
      </c>
      <c r="D866" s="4" t="s">
        <v>1929</v>
      </c>
      <c r="E866" s="4">
        <v>3202801</v>
      </c>
      <c r="F866" s="4" t="s">
        <v>1930</v>
      </c>
      <c r="G866" s="4" t="s">
        <v>232</v>
      </c>
      <c r="H866" s="13"/>
    </row>
    <row r="867" s="1" customFormat="1" spans="1:8">
      <c r="A867" s="4" t="s">
        <v>205</v>
      </c>
      <c r="B867" s="4" t="s">
        <v>79</v>
      </c>
      <c r="C867" s="4" t="s">
        <v>80</v>
      </c>
      <c r="D867" s="4" t="s">
        <v>1931</v>
      </c>
      <c r="E867" s="4">
        <v>3203007</v>
      </c>
      <c r="F867" s="4" t="s">
        <v>1932</v>
      </c>
      <c r="G867" s="4" t="s">
        <v>232</v>
      </c>
      <c r="H867" s="13"/>
    </row>
    <row r="868" s="1" customFormat="1" spans="1:8">
      <c r="A868" s="4" t="s">
        <v>205</v>
      </c>
      <c r="B868" s="4" t="s">
        <v>79</v>
      </c>
      <c r="C868" s="4" t="s">
        <v>80</v>
      </c>
      <c r="D868" s="4" t="s">
        <v>1933</v>
      </c>
      <c r="E868" s="4">
        <v>3203056</v>
      </c>
      <c r="F868" s="4" t="s">
        <v>1934</v>
      </c>
      <c r="G868" s="4" t="s">
        <v>232</v>
      </c>
      <c r="H868" s="13"/>
    </row>
    <row r="869" s="1" customFormat="1" spans="1:8">
      <c r="A869" s="4" t="s">
        <v>205</v>
      </c>
      <c r="B869" s="4" t="s">
        <v>79</v>
      </c>
      <c r="C869" s="4" t="s">
        <v>80</v>
      </c>
      <c r="D869" s="4" t="s">
        <v>1935</v>
      </c>
      <c r="E869" s="4">
        <v>3203106</v>
      </c>
      <c r="F869" s="4" t="s">
        <v>1936</v>
      </c>
      <c r="G869" s="4" t="s">
        <v>232</v>
      </c>
      <c r="H869" s="13"/>
    </row>
    <row r="870" s="1" customFormat="1" spans="1:8">
      <c r="A870" s="4" t="s">
        <v>205</v>
      </c>
      <c r="B870" s="4" t="s">
        <v>79</v>
      </c>
      <c r="C870" s="4" t="s">
        <v>80</v>
      </c>
      <c r="D870" s="4" t="s">
        <v>1937</v>
      </c>
      <c r="E870" s="4">
        <v>3203163</v>
      </c>
      <c r="F870" s="4" t="s">
        <v>1938</v>
      </c>
      <c r="G870" s="4" t="s">
        <v>232</v>
      </c>
      <c r="H870" s="13"/>
    </row>
    <row r="871" s="1" customFormat="1" spans="1:8">
      <c r="A871" s="4" t="s">
        <v>205</v>
      </c>
      <c r="B871" s="4" t="s">
        <v>79</v>
      </c>
      <c r="C871" s="4" t="s">
        <v>80</v>
      </c>
      <c r="D871" s="4" t="s">
        <v>1939</v>
      </c>
      <c r="E871" s="4">
        <v>3203205</v>
      </c>
      <c r="F871" s="4" t="s">
        <v>1940</v>
      </c>
      <c r="G871" s="4" t="s">
        <v>232</v>
      </c>
      <c r="H871" s="13"/>
    </row>
    <row r="872" s="1" customFormat="1" spans="1:8">
      <c r="A872" s="4" t="s">
        <v>205</v>
      </c>
      <c r="B872" s="4" t="s">
        <v>79</v>
      </c>
      <c r="C872" s="4" t="s">
        <v>80</v>
      </c>
      <c r="D872" s="4" t="s">
        <v>1941</v>
      </c>
      <c r="E872" s="4">
        <v>3203320</v>
      </c>
      <c r="F872" s="4" t="s">
        <v>1942</v>
      </c>
      <c r="G872" s="4" t="s">
        <v>232</v>
      </c>
      <c r="H872" s="13"/>
    </row>
    <row r="873" s="1" customFormat="1" spans="1:8">
      <c r="A873" s="4" t="s">
        <v>205</v>
      </c>
      <c r="B873" s="4" t="s">
        <v>79</v>
      </c>
      <c r="C873" s="4" t="s">
        <v>80</v>
      </c>
      <c r="D873" s="4" t="s">
        <v>1943</v>
      </c>
      <c r="E873" s="4">
        <v>3203353</v>
      </c>
      <c r="F873" s="4" t="s">
        <v>1944</v>
      </c>
      <c r="G873" s="4" t="s">
        <v>232</v>
      </c>
      <c r="H873" s="13"/>
    </row>
    <row r="874" s="1" customFormat="1" spans="1:8">
      <c r="A874" s="4" t="s">
        <v>205</v>
      </c>
      <c r="B874" s="4" t="s">
        <v>79</v>
      </c>
      <c r="C874" s="4" t="s">
        <v>80</v>
      </c>
      <c r="D874" s="4" t="s">
        <v>1945</v>
      </c>
      <c r="E874" s="4">
        <v>3203403</v>
      </c>
      <c r="F874" s="4" t="s">
        <v>1946</v>
      </c>
      <c r="G874" s="4" t="s">
        <v>232</v>
      </c>
      <c r="H874" s="13"/>
    </row>
    <row r="875" s="1" customFormat="1" spans="1:8">
      <c r="A875" s="4" t="s">
        <v>205</v>
      </c>
      <c r="B875" s="4" t="s">
        <v>79</v>
      </c>
      <c r="C875" s="4" t="s">
        <v>80</v>
      </c>
      <c r="D875" s="4" t="s">
        <v>1947</v>
      </c>
      <c r="E875" s="4">
        <v>3203700</v>
      </c>
      <c r="F875" s="4" t="s">
        <v>1948</v>
      </c>
      <c r="G875" s="4" t="s">
        <v>232</v>
      </c>
      <c r="H875" s="13"/>
    </row>
    <row r="876" s="1" customFormat="1" spans="1:8">
      <c r="A876" s="4" t="s">
        <v>205</v>
      </c>
      <c r="B876" s="4" t="s">
        <v>79</v>
      </c>
      <c r="C876" s="4" t="s">
        <v>80</v>
      </c>
      <c r="D876" s="4" t="s">
        <v>1949</v>
      </c>
      <c r="E876" s="4">
        <v>3203809</v>
      </c>
      <c r="F876" s="4" t="s">
        <v>1950</v>
      </c>
      <c r="G876" s="4" t="s">
        <v>232</v>
      </c>
      <c r="H876" s="13"/>
    </row>
    <row r="877" s="1" customFormat="1" spans="1:8">
      <c r="A877" s="4" t="s">
        <v>205</v>
      </c>
      <c r="B877" s="4" t="s">
        <v>79</v>
      </c>
      <c r="C877" s="4" t="s">
        <v>80</v>
      </c>
      <c r="D877" s="4" t="s">
        <v>1951</v>
      </c>
      <c r="E877" s="4">
        <v>3204005</v>
      </c>
      <c r="F877" s="4" t="s">
        <v>1952</v>
      </c>
      <c r="G877" s="4" t="s">
        <v>232</v>
      </c>
      <c r="H877" s="13"/>
    </row>
    <row r="878" s="1" customFormat="1" spans="1:8">
      <c r="A878" s="4" t="s">
        <v>205</v>
      </c>
      <c r="B878" s="4" t="s">
        <v>79</v>
      </c>
      <c r="C878" s="4" t="s">
        <v>80</v>
      </c>
      <c r="D878" s="4" t="s">
        <v>1953</v>
      </c>
      <c r="E878" s="4">
        <v>3204351</v>
      </c>
      <c r="F878" s="4" t="s">
        <v>1954</v>
      </c>
      <c r="G878" s="4" t="s">
        <v>232</v>
      </c>
      <c r="H878" s="13"/>
    </row>
    <row r="879" s="1" customFormat="1" spans="1:8">
      <c r="A879" s="4" t="s">
        <v>205</v>
      </c>
      <c r="B879" s="4" t="s">
        <v>79</v>
      </c>
      <c r="C879" s="4" t="s">
        <v>80</v>
      </c>
      <c r="D879" s="4" t="s">
        <v>1955</v>
      </c>
      <c r="E879" s="4">
        <v>3205010</v>
      </c>
      <c r="F879" s="4" t="s">
        <v>1956</v>
      </c>
      <c r="G879" s="4" t="s">
        <v>232</v>
      </c>
      <c r="H879" s="13"/>
    </row>
    <row r="880" s="1" customFormat="1" spans="1:8">
      <c r="A880" s="4" t="s">
        <v>205</v>
      </c>
      <c r="B880" s="4" t="s">
        <v>79</v>
      </c>
      <c r="C880" s="4" t="s">
        <v>80</v>
      </c>
      <c r="D880" s="4" t="s">
        <v>1957</v>
      </c>
      <c r="E880" s="4">
        <v>3204658</v>
      </c>
      <c r="F880" s="4" t="s">
        <v>1958</v>
      </c>
      <c r="G880" s="4" t="s">
        <v>232</v>
      </c>
      <c r="H880" s="13"/>
    </row>
    <row r="881" s="1" customFormat="1" spans="1:8">
      <c r="A881" s="4" t="s">
        <v>205</v>
      </c>
      <c r="B881" s="4" t="s">
        <v>79</v>
      </c>
      <c r="C881" s="4" t="s">
        <v>80</v>
      </c>
      <c r="D881" s="4" t="s">
        <v>1959</v>
      </c>
      <c r="E881" s="4">
        <v>3204708</v>
      </c>
      <c r="F881" s="4" t="s">
        <v>1960</v>
      </c>
      <c r="G881" s="4" t="s">
        <v>232</v>
      </c>
      <c r="H881" s="13"/>
    </row>
    <row r="882" s="1" customFormat="1" spans="1:8">
      <c r="A882" s="4" t="s">
        <v>205</v>
      </c>
      <c r="B882" s="4" t="s">
        <v>79</v>
      </c>
      <c r="C882" s="4" t="s">
        <v>80</v>
      </c>
      <c r="D882" s="4" t="s">
        <v>1961</v>
      </c>
      <c r="E882" s="4">
        <v>3204807</v>
      </c>
      <c r="F882" s="4" t="s">
        <v>1962</v>
      </c>
      <c r="G882" s="4" t="s">
        <v>232</v>
      </c>
      <c r="H882" s="13"/>
    </row>
    <row r="883" s="1" customFormat="1" spans="1:8">
      <c r="A883" s="4" t="s">
        <v>205</v>
      </c>
      <c r="B883" s="4" t="s">
        <v>79</v>
      </c>
      <c r="C883" s="4" t="s">
        <v>80</v>
      </c>
      <c r="D883" s="4" t="s">
        <v>1963</v>
      </c>
      <c r="E883" s="4">
        <v>3204906</v>
      </c>
      <c r="F883" s="4" t="s">
        <v>1964</v>
      </c>
      <c r="G883" s="4" t="s">
        <v>232</v>
      </c>
      <c r="H883" s="13"/>
    </row>
    <row r="884" s="1" customFormat="1" spans="1:8">
      <c r="A884" s="4" t="s">
        <v>205</v>
      </c>
      <c r="B884" s="4" t="s">
        <v>79</v>
      </c>
      <c r="C884" s="4" t="s">
        <v>80</v>
      </c>
      <c r="D884" s="4" t="s">
        <v>1965</v>
      </c>
      <c r="E884" s="4">
        <v>3205036</v>
      </c>
      <c r="F884" s="4" t="s">
        <v>1966</v>
      </c>
      <c r="G884" s="4" t="s">
        <v>232</v>
      </c>
      <c r="H884" s="13"/>
    </row>
    <row r="885" s="1" customFormat="1" spans="1:8">
      <c r="A885" s="4" t="s">
        <v>205</v>
      </c>
      <c r="B885" s="4" t="s">
        <v>79</v>
      </c>
      <c r="C885" s="4" t="s">
        <v>80</v>
      </c>
      <c r="D885" s="4" t="s">
        <v>1967</v>
      </c>
      <c r="E885" s="4">
        <v>3205176</v>
      </c>
      <c r="F885" s="4" t="s">
        <v>1968</v>
      </c>
      <c r="G885" s="4" t="s">
        <v>232</v>
      </c>
      <c r="H885" s="13"/>
    </row>
    <row r="886" s="1" customFormat="1" spans="1:8">
      <c r="A886" s="4" t="s">
        <v>205</v>
      </c>
      <c r="B886" s="4" t="s">
        <v>79</v>
      </c>
      <c r="C886" s="4" t="s">
        <v>80</v>
      </c>
      <c r="D886" s="4" t="s">
        <v>1969</v>
      </c>
      <c r="E886" s="4">
        <v>3200136</v>
      </c>
      <c r="F886" s="4" t="s">
        <v>1970</v>
      </c>
      <c r="G886" s="4" t="s">
        <v>232</v>
      </c>
      <c r="H886" s="13"/>
    </row>
    <row r="887" s="1" customFormat="1" spans="1:8">
      <c r="A887" s="4" t="s">
        <v>205</v>
      </c>
      <c r="B887" s="4" t="s">
        <v>79</v>
      </c>
      <c r="C887" s="4" t="s">
        <v>80</v>
      </c>
      <c r="D887" s="4" t="s">
        <v>1971</v>
      </c>
      <c r="E887" s="4">
        <v>3200904</v>
      </c>
      <c r="F887" s="4" t="s">
        <v>1972</v>
      </c>
      <c r="G887" s="4" t="s">
        <v>243</v>
      </c>
      <c r="H887" s="13"/>
    </row>
    <row r="888" s="1" customFormat="1" spans="1:8">
      <c r="A888" s="4" t="s">
        <v>205</v>
      </c>
      <c r="B888" s="4" t="s">
        <v>79</v>
      </c>
      <c r="C888" s="4" t="s">
        <v>80</v>
      </c>
      <c r="D888" s="4" t="s">
        <v>1973</v>
      </c>
      <c r="E888" s="4">
        <v>3201001</v>
      </c>
      <c r="F888" s="4" t="s">
        <v>1974</v>
      </c>
      <c r="G888" s="4" t="s">
        <v>243</v>
      </c>
      <c r="H888" s="13"/>
    </row>
    <row r="889" s="1" customFormat="1" spans="1:8">
      <c r="A889" s="4" t="s">
        <v>205</v>
      </c>
      <c r="B889" s="4" t="s">
        <v>79</v>
      </c>
      <c r="C889" s="4" t="s">
        <v>80</v>
      </c>
      <c r="D889" s="4" t="s">
        <v>1975</v>
      </c>
      <c r="E889" s="4">
        <v>3201605</v>
      </c>
      <c r="F889" s="4" t="s">
        <v>1976</v>
      </c>
      <c r="G889" s="4" t="s">
        <v>243</v>
      </c>
      <c r="H889" s="13"/>
    </row>
    <row r="890" s="1" customFormat="1" spans="1:8">
      <c r="A890" s="4" t="s">
        <v>205</v>
      </c>
      <c r="B890" s="4" t="s">
        <v>79</v>
      </c>
      <c r="C890" s="4" t="s">
        <v>80</v>
      </c>
      <c r="D890" s="4" t="s">
        <v>1977</v>
      </c>
      <c r="E890" s="4">
        <v>3201803</v>
      </c>
      <c r="F890" s="4" t="s">
        <v>1978</v>
      </c>
      <c r="G890" s="4" t="s">
        <v>243</v>
      </c>
      <c r="H890" s="13"/>
    </row>
    <row r="891" s="1" customFormat="1" spans="1:8">
      <c r="A891" s="4" t="s">
        <v>205</v>
      </c>
      <c r="B891" s="4" t="s">
        <v>79</v>
      </c>
      <c r="C891" s="4" t="s">
        <v>80</v>
      </c>
      <c r="D891" s="4" t="s">
        <v>1979</v>
      </c>
      <c r="E891" s="4">
        <v>3202009</v>
      </c>
      <c r="F891" s="4" t="s">
        <v>1980</v>
      </c>
      <c r="G891" s="4" t="s">
        <v>243</v>
      </c>
      <c r="H891" s="13"/>
    </row>
    <row r="892" s="1" customFormat="1" spans="1:8">
      <c r="A892" s="4" t="s">
        <v>205</v>
      </c>
      <c r="B892" s="4" t="s">
        <v>79</v>
      </c>
      <c r="C892" s="4" t="s">
        <v>80</v>
      </c>
      <c r="D892" s="4" t="s">
        <v>1981</v>
      </c>
      <c r="E892" s="4">
        <v>3202108</v>
      </c>
      <c r="F892" s="4" t="s">
        <v>1982</v>
      </c>
      <c r="G892" s="4" t="s">
        <v>243</v>
      </c>
      <c r="H892" s="13"/>
    </row>
    <row r="893" s="1" customFormat="1" spans="1:8">
      <c r="A893" s="4" t="s">
        <v>205</v>
      </c>
      <c r="B893" s="4" t="s">
        <v>79</v>
      </c>
      <c r="C893" s="4" t="s">
        <v>80</v>
      </c>
      <c r="D893" s="4" t="s">
        <v>1983</v>
      </c>
      <c r="E893" s="4">
        <v>3202553</v>
      </c>
      <c r="F893" s="4" t="s">
        <v>1984</v>
      </c>
      <c r="G893" s="4" t="s">
        <v>243</v>
      </c>
      <c r="H893" s="13"/>
    </row>
    <row r="894" s="1" customFormat="1" spans="1:8">
      <c r="A894" s="4" t="s">
        <v>205</v>
      </c>
      <c r="B894" s="4" t="s">
        <v>79</v>
      </c>
      <c r="C894" s="4" t="s">
        <v>80</v>
      </c>
      <c r="D894" s="4" t="s">
        <v>1985</v>
      </c>
      <c r="E894" s="4">
        <v>3203304</v>
      </c>
      <c r="F894" s="4" t="s">
        <v>1986</v>
      </c>
      <c r="G894" s="4" t="s">
        <v>243</v>
      </c>
      <c r="H894" s="13"/>
    </row>
    <row r="895" s="1" customFormat="1" spans="1:8">
      <c r="A895" s="4" t="s">
        <v>205</v>
      </c>
      <c r="B895" s="4" t="s">
        <v>79</v>
      </c>
      <c r="C895" s="4" t="s">
        <v>80</v>
      </c>
      <c r="D895" s="4" t="s">
        <v>1987</v>
      </c>
      <c r="E895" s="4">
        <v>3203502</v>
      </c>
      <c r="F895" s="4" t="s">
        <v>1988</v>
      </c>
      <c r="G895" s="4" t="s">
        <v>243</v>
      </c>
      <c r="H895" s="13"/>
    </row>
    <row r="896" s="1" customFormat="1" spans="1:8">
      <c r="A896" s="4" t="s">
        <v>205</v>
      </c>
      <c r="B896" s="4" t="s">
        <v>79</v>
      </c>
      <c r="C896" s="4" t="s">
        <v>80</v>
      </c>
      <c r="D896" s="4" t="s">
        <v>1989</v>
      </c>
      <c r="E896" s="4">
        <v>3203601</v>
      </c>
      <c r="F896" s="4" t="s">
        <v>1990</v>
      </c>
      <c r="G896" s="4" t="s">
        <v>243</v>
      </c>
      <c r="H896" s="13"/>
    </row>
    <row r="897" s="1" customFormat="1" spans="1:8">
      <c r="A897" s="4" t="s">
        <v>205</v>
      </c>
      <c r="B897" s="4" t="s">
        <v>79</v>
      </c>
      <c r="C897" s="4" t="s">
        <v>80</v>
      </c>
      <c r="D897" s="4" t="s">
        <v>1991</v>
      </c>
      <c r="E897" s="4">
        <v>3203908</v>
      </c>
      <c r="F897" s="4" t="s">
        <v>1992</v>
      </c>
      <c r="G897" s="4" t="s">
        <v>243</v>
      </c>
      <c r="H897" s="13"/>
    </row>
    <row r="898" s="1" customFormat="1" spans="1:8">
      <c r="A898" s="4" t="s">
        <v>205</v>
      </c>
      <c r="B898" s="4" t="s">
        <v>79</v>
      </c>
      <c r="C898" s="4" t="s">
        <v>80</v>
      </c>
      <c r="D898" s="4" t="s">
        <v>1993</v>
      </c>
      <c r="E898" s="4">
        <v>3204054</v>
      </c>
      <c r="F898" s="4" t="s">
        <v>1994</v>
      </c>
      <c r="G898" s="4" t="s">
        <v>243</v>
      </c>
      <c r="H898" s="13"/>
    </row>
    <row r="899" s="1" customFormat="1" spans="1:8">
      <c r="A899" s="4" t="s">
        <v>205</v>
      </c>
      <c r="B899" s="4" t="s">
        <v>79</v>
      </c>
      <c r="C899" s="4" t="s">
        <v>80</v>
      </c>
      <c r="D899" s="4" t="s">
        <v>1995</v>
      </c>
      <c r="E899" s="4">
        <v>3204104</v>
      </c>
      <c r="F899" s="4" t="s">
        <v>1996</v>
      </c>
      <c r="G899" s="4" t="s">
        <v>243</v>
      </c>
      <c r="H899" s="13"/>
    </row>
    <row r="900" s="1" customFormat="1" spans="1:8">
      <c r="A900" s="4" t="s">
        <v>205</v>
      </c>
      <c r="B900" s="4" t="s">
        <v>79</v>
      </c>
      <c r="C900" s="4" t="s">
        <v>80</v>
      </c>
      <c r="D900" s="4" t="s">
        <v>1997</v>
      </c>
      <c r="E900" s="4">
        <v>3204252</v>
      </c>
      <c r="F900" s="4" t="s">
        <v>1998</v>
      </c>
      <c r="G900" s="4" t="s">
        <v>243</v>
      </c>
      <c r="H900" s="13"/>
    </row>
    <row r="901" s="1" customFormat="1" spans="1:8">
      <c r="A901" s="4" t="s">
        <v>205</v>
      </c>
      <c r="B901" s="4" t="s">
        <v>79</v>
      </c>
      <c r="C901" s="4" t="s">
        <v>80</v>
      </c>
      <c r="D901" s="4" t="s">
        <v>1999</v>
      </c>
      <c r="E901" s="4">
        <v>3205150</v>
      </c>
      <c r="F901" s="4" t="s">
        <v>2000</v>
      </c>
      <c r="G901" s="4" t="s">
        <v>243</v>
      </c>
      <c r="H901" s="13"/>
    </row>
    <row r="902" s="1" customFormat="1" spans="1:8">
      <c r="A902" s="4" t="s">
        <v>205</v>
      </c>
      <c r="B902" s="4" t="s">
        <v>79</v>
      </c>
      <c r="C902" s="4" t="s">
        <v>80</v>
      </c>
      <c r="D902" s="4" t="s">
        <v>2001</v>
      </c>
      <c r="E902" s="4">
        <v>3200169</v>
      </c>
      <c r="F902" s="4" t="s">
        <v>2002</v>
      </c>
      <c r="G902" s="4" t="s">
        <v>243</v>
      </c>
      <c r="H902" s="13"/>
    </row>
    <row r="903" s="1" customFormat="1" spans="1:8">
      <c r="A903" s="4" t="s">
        <v>205</v>
      </c>
      <c r="B903" s="4" t="s">
        <v>93</v>
      </c>
      <c r="C903" s="4" t="s">
        <v>97</v>
      </c>
      <c r="D903" s="4" t="s">
        <v>98</v>
      </c>
      <c r="E903" s="4">
        <v>5208707</v>
      </c>
      <c r="F903" s="4" t="s">
        <v>2003</v>
      </c>
      <c r="G903" s="4" t="s">
        <v>207</v>
      </c>
      <c r="H903" s="13"/>
    </row>
    <row r="904" s="1" customFormat="1" spans="1:8">
      <c r="A904" s="4" t="s">
        <v>205</v>
      </c>
      <c r="B904" s="4" t="s">
        <v>93</v>
      </c>
      <c r="C904" s="4" t="s">
        <v>97</v>
      </c>
      <c r="D904" s="4" t="s">
        <v>2004</v>
      </c>
      <c r="E904" s="4">
        <v>5200050</v>
      </c>
      <c r="F904" s="4" t="s">
        <v>2005</v>
      </c>
      <c r="G904" s="4" t="s">
        <v>210</v>
      </c>
      <c r="H904" s="13"/>
    </row>
    <row r="905" s="1" customFormat="1" spans="1:8">
      <c r="A905" s="4" t="s">
        <v>205</v>
      </c>
      <c r="B905" s="4" t="s">
        <v>93</v>
      </c>
      <c r="C905" s="4" t="s">
        <v>97</v>
      </c>
      <c r="D905" s="4" t="s">
        <v>2006</v>
      </c>
      <c r="E905" s="4">
        <v>5201207</v>
      </c>
      <c r="F905" s="4" t="s">
        <v>2007</v>
      </c>
      <c r="G905" s="4" t="s">
        <v>210</v>
      </c>
      <c r="H905" s="13"/>
    </row>
    <row r="906" s="1" customFormat="1" spans="1:8">
      <c r="A906" s="4" t="s">
        <v>205</v>
      </c>
      <c r="B906" s="4" t="s">
        <v>93</v>
      </c>
      <c r="C906" s="4" t="s">
        <v>97</v>
      </c>
      <c r="D906" s="4" t="s">
        <v>2008</v>
      </c>
      <c r="E906" s="4">
        <v>5201405</v>
      </c>
      <c r="F906" s="4" t="s">
        <v>2009</v>
      </c>
      <c r="G906" s="4" t="s">
        <v>210</v>
      </c>
      <c r="H906" s="13"/>
    </row>
    <row r="907" s="1" customFormat="1" spans="1:8">
      <c r="A907" s="4" t="s">
        <v>205</v>
      </c>
      <c r="B907" s="4" t="s">
        <v>93</v>
      </c>
      <c r="C907" s="4" t="s">
        <v>97</v>
      </c>
      <c r="D907" s="4" t="s">
        <v>2010</v>
      </c>
      <c r="E907" s="4">
        <v>5201801</v>
      </c>
      <c r="F907" s="4" t="s">
        <v>2011</v>
      </c>
      <c r="G907" s="4" t="s">
        <v>210</v>
      </c>
      <c r="H907" s="13"/>
    </row>
    <row r="908" s="1" customFormat="1" spans="1:8">
      <c r="A908" s="4" t="s">
        <v>205</v>
      </c>
      <c r="B908" s="4" t="s">
        <v>93</v>
      </c>
      <c r="C908" s="4" t="s">
        <v>97</v>
      </c>
      <c r="D908" s="4" t="s">
        <v>2012</v>
      </c>
      <c r="E908" s="4">
        <v>5203559</v>
      </c>
      <c r="F908" s="4" t="s">
        <v>2013</v>
      </c>
      <c r="G908" s="4" t="s">
        <v>210</v>
      </c>
      <c r="H908" s="13"/>
    </row>
    <row r="909" s="1" customFormat="1" spans="1:8">
      <c r="A909" s="4" t="s">
        <v>205</v>
      </c>
      <c r="B909" s="4" t="s">
        <v>93</v>
      </c>
      <c r="C909" s="4" t="s">
        <v>97</v>
      </c>
      <c r="D909" s="4" t="s">
        <v>2014</v>
      </c>
      <c r="E909" s="4">
        <v>5208806</v>
      </c>
      <c r="F909" s="4" t="s">
        <v>2015</v>
      </c>
      <c r="G909" s="4" t="s">
        <v>210</v>
      </c>
      <c r="H909" s="13"/>
    </row>
    <row r="910" s="1" customFormat="1" spans="1:8">
      <c r="A910" s="4" t="s">
        <v>205</v>
      </c>
      <c r="B910" s="4" t="s">
        <v>93</v>
      </c>
      <c r="C910" s="4" t="s">
        <v>97</v>
      </c>
      <c r="D910" s="4" t="s">
        <v>2016</v>
      </c>
      <c r="E910" s="4">
        <v>5208400</v>
      </c>
      <c r="F910" s="4" t="s">
        <v>2017</v>
      </c>
      <c r="G910" s="4" t="s">
        <v>210</v>
      </c>
      <c r="H910" s="13"/>
    </row>
    <row r="911" s="1" customFormat="1" spans="1:8">
      <c r="A911" s="4" t="s">
        <v>205</v>
      </c>
      <c r="B911" s="4" t="s">
        <v>93</v>
      </c>
      <c r="C911" s="4" t="s">
        <v>97</v>
      </c>
      <c r="D911" s="4" t="s">
        <v>2018</v>
      </c>
      <c r="E911" s="4">
        <v>5209200</v>
      </c>
      <c r="F911" s="4" t="s">
        <v>2019</v>
      </c>
      <c r="G911" s="4" t="s">
        <v>210</v>
      </c>
      <c r="H911" s="13"/>
    </row>
    <row r="912" s="1" customFormat="1" spans="1:8">
      <c r="A912" s="4" t="s">
        <v>205</v>
      </c>
      <c r="B912" s="4" t="s">
        <v>93</v>
      </c>
      <c r="C912" s="4" t="s">
        <v>97</v>
      </c>
      <c r="D912" s="4" t="s">
        <v>1615</v>
      </c>
      <c r="E912" s="4">
        <v>5209705</v>
      </c>
      <c r="F912" s="4" t="s">
        <v>2020</v>
      </c>
      <c r="G912" s="4" t="s">
        <v>210</v>
      </c>
      <c r="H912" s="13"/>
    </row>
    <row r="913" s="1" customFormat="1" spans="1:8">
      <c r="A913" s="4" t="s">
        <v>205</v>
      </c>
      <c r="B913" s="4" t="s">
        <v>93</v>
      </c>
      <c r="C913" s="4" t="s">
        <v>97</v>
      </c>
      <c r="D913" s="4" t="s">
        <v>2021</v>
      </c>
      <c r="E913" s="4">
        <v>5214507</v>
      </c>
      <c r="F913" s="4" t="s">
        <v>2022</v>
      </c>
      <c r="G913" s="4" t="s">
        <v>210</v>
      </c>
      <c r="H913" s="13"/>
    </row>
    <row r="914" s="1" customFormat="1" spans="1:8">
      <c r="A914" s="4" t="s">
        <v>205</v>
      </c>
      <c r="B914" s="4" t="s">
        <v>93</v>
      </c>
      <c r="C914" s="4" t="s">
        <v>97</v>
      </c>
      <c r="D914" s="4" t="s">
        <v>2023</v>
      </c>
      <c r="E914" s="4">
        <v>5219738</v>
      </c>
      <c r="F914" s="4" t="s">
        <v>2024</v>
      </c>
      <c r="G914" s="4" t="s">
        <v>210</v>
      </c>
      <c r="H914" s="13"/>
    </row>
    <row r="915" s="1" customFormat="1" spans="1:8">
      <c r="A915" s="4" t="s">
        <v>205</v>
      </c>
      <c r="B915" s="4" t="s">
        <v>93</v>
      </c>
      <c r="C915" s="4" t="s">
        <v>97</v>
      </c>
      <c r="D915" s="4" t="s">
        <v>2025</v>
      </c>
      <c r="E915" s="4">
        <v>5220454</v>
      </c>
      <c r="F915" s="4" t="s">
        <v>2026</v>
      </c>
      <c r="G915" s="4" t="s">
        <v>210</v>
      </c>
      <c r="H915" s="13"/>
    </row>
    <row r="916" s="1" customFormat="1" spans="1:8">
      <c r="A916" s="4" t="s">
        <v>205</v>
      </c>
      <c r="B916" s="4" t="s">
        <v>93</v>
      </c>
      <c r="C916" s="4" t="s">
        <v>97</v>
      </c>
      <c r="D916" s="4" t="s">
        <v>2027</v>
      </c>
      <c r="E916" s="4">
        <v>5221197</v>
      </c>
      <c r="F916" s="4" t="s">
        <v>2028</v>
      </c>
      <c r="G916" s="4" t="s">
        <v>210</v>
      </c>
      <c r="H916" s="13"/>
    </row>
    <row r="917" s="1" customFormat="1" spans="1:8">
      <c r="A917" s="4" t="s">
        <v>205</v>
      </c>
      <c r="B917" s="4" t="s">
        <v>93</v>
      </c>
      <c r="C917" s="4" t="s">
        <v>97</v>
      </c>
      <c r="D917" s="4" t="s">
        <v>2029</v>
      </c>
      <c r="E917" s="4">
        <v>5221403</v>
      </c>
      <c r="F917" s="4" t="s">
        <v>2030</v>
      </c>
      <c r="G917" s="4" t="s">
        <v>210</v>
      </c>
      <c r="H917" s="13"/>
    </row>
    <row r="918" s="1" customFormat="1" spans="1:8">
      <c r="A918" s="4" t="s">
        <v>205</v>
      </c>
      <c r="B918" s="4" t="s">
        <v>93</v>
      </c>
      <c r="C918" s="4" t="s">
        <v>97</v>
      </c>
      <c r="D918" s="4" t="s">
        <v>2031</v>
      </c>
      <c r="E918" s="4">
        <v>5200100</v>
      </c>
      <c r="F918" s="4" t="s">
        <v>2032</v>
      </c>
      <c r="G918" s="4" t="s">
        <v>215</v>
      </c>
      <c r="H918" s="13"/>
    </row>
    <row r="919" s="1" customFormat="1" spans="1:8">
      <c r="A919" s="4" t="s">
        <v>205</v>
      </c>
      <c r="B919" s="4" t="s">
        <v>93</v>
      </c>
      <c r="C919" s="4" t="s">
        <v>97</v>
      </c>
      <c r="D919" s="4" t="s">
        <v>2033</v>
      </c>
      <c r="E919" s="4">
        <v>5200134</v>
      </c>
      <c r="F919" s="4" t="s">
        <v>2034</v>
      </c>
      <c r="G919" s="4" t="s">
        <v>215</v>
      </c>
      <c r="H919" s="13"/>
    </row>
    <row r="920" s="1" customFormat="1" spans="1:8">
      <c r="A920" s="4" t="s">
        <v>205</v>
      </c>
      <c r="B920" s="4" t="s">
        <v>93</v>
      </c>
      <c r="C920" s="4" t="s">
        <v>97</v>
      </c>
      <c r="D920" s="4" t="s">
        <v>2035</v>
      </c>
      <c r="E920" s="4">
        <v>5200159</v>
      </c>
      <c r="F920" s="4" t="s">
        <v>2036</v>
      </c>
      <c r="G920" s="4" t="s">
        <v>215</v>
      </c>
      <c r="H920" s="13"/>
    </row>
    <row r="921" s="1" customFormat="1" spans="1:8">
      <c r="A921" s="4" t="s">
        <v>205</v>
      </c>
      <c r="B921" s="4" t="s">
        <v>93</v>
      </c>
      <c r="C921" s="4" t="s">
        <v>97</v>
      </c>
      <c r="D921" s="4" t="s">
        <v>2037</v>
      </c>
      <c r="E921" s="4">
        <v>5200308</v>
      </c>
      <c r="F921" s="4" t="s">
        <v>2038</v>
      </c>
      <c r="G921" s="4" t="s">
        <v>215</v>
      </c>
      <c r="H921" s="13"/>
    </row>
    <row r="922" s="1" customFormat="1" spans="1:8">
      <c r="A922" s="4" t="s">
        <v>205</v>
      </c>
      <c r="B922" s="4" t="s">
        <v>93</v>
      </c>
      <c r="C922" s="4" t="s">
        <v>97</v>
      </c>
      <c r="D922" s="4" t="s">
        <v>2039</v>
      </c>
      <c r="E922" s="4">
        <v>5200506</v>
      </c>
      <c r="F922" s="4" t="s">
        <v>2040</v>
      </c>
      <c r="G922" s="4" t="s">
        <v>215</v>
      </c>
      <c r="H922" s="13"/>
    </row>
    <row r="923" s="1" customFormat="1" spans="1:8">
      <c r="A923" s="4" t="s">
        <v>205</v>
      </c>
      <c r="B923" s="4" t="s">
        <v>93</v>
      </c>
      <c r="C923" s="4" t="s">
        <v>97</v>
      </c>
      <c r="D923" s="4" t="s">
        <v>2041</v>
      </c>
      <c r="E923" s="4">
        <v>5200852</v>
      </c>
      <c r="F923" s="4" t="s">
        <v>2042</v>
      </c>
      <c r="G923" s="4" t="s">
        <v>215</v>
      </c>
      <c r="H923" s="13"/>
    </row>
    <row r="924" s="1" customFormat="1" spans="1:8">
      <c r="A924" s="4" t="s">
        <v>205</v>
      </c>
      <c r="B924" s="4" t="s">
        <v>93</v>
      </c>
      <c r="C924" s="4" t="s">
        <v>97</v>
      </c>
      <c r="D924" s="4" t="s">
        <v>2043</v>
      </c>
      <c r="E924" s="4">
        <v>5200902</v>
      </c>
      <c r="F924" s="4" t="s">
        <v>2044</v>
      </c>
      <c r="G924" s="4" t="s">
        <v>215</v>
      </c>
      <c r="H924" s="13"/>
    </row>
    <row r="925" s="1" customFormat="1" spans="1:8">
      <c r="A925" s="4" t="s">
        <v>205</v>
      </c>
      <c r="B925" s="4" t="s">
        <v>93</v>
      </c>
      <c r="C925" s="4" t="s">
        <v>97</v>
      </c>
      <c r="D925" s="4" t="s">
        <v>2045</v>
      </c>
      <c r="E925" s="4">
        <v>5201306</v>
      </c>
      <c r="F925" s="4" t="s">
        <v>2046</v>
      </c>
      <c r="G925" s="4" t="s">
        <v>215</v>
      </c>
      <c r="H925" s="13"/>
    </row>
    <row r="926" s="1" customFormat="1" spans="1:8">
      <c r="A926" s="4" t="s">
        <v>205</v>
      </c>
      <c r="B926" s="4" t="s">
        <v>93</v>
      </c>
      <c r="C926" s="4" t="s">
        <v>97</v>
      </c>
      <c r="D926" s="4" t="s">
        <v>2047</v>
      </c>
      <c r="E926" s="4">
        <v>5201108</v>
      </c>
      <c r="F926" s="4" t="s">
        <v>2048</v>
      </c>
      <c r="G926" s="4" t="s">
        <v>215</v>
      </c>
      <c r="H926" s="13"/>
    </row>
    <row r="927" s="1" customFormat="1" spans="1:8">
      <c r="A927" s="4" t="s">
        <v>205</v>
      </c>
      <c r="B927" s="4" t="s">
        <v>93</v>
      </c>
      <c r="C927" s="4" t="s">
        <v>97</v>
      </c>
      <c r="D927" s="4" t="s">
        <v>2049</v>
      </c>
      <c r="E927" s="4">
        <v>5202155</v>
      </c>
      <c r="F927" s="4" t="s">
        <v>2050</v>
      </c>
      <c r="G927" s="4" t="s">
        <v>215</v>
      </c>
      <c r="H927" s="13"/>
    </row>
    <row r="928" s="1" customFormat="1" spans="1:8">
      <c r="A928" s="4" t="s">
        <v>205</v>
      </c>
      <c r="B928" s="4" t="s">
        <v>93</v>
      </c>
      <c r="C928" s="4" t="s">
        <v>97</v>
      </c>
      <c r="D928" s="4" t="s">
        <v>2051</v>
      </c>
      <c r="E928" s="4">
        <v>5201603</v>
      </c>
      <c r="F928" s="4" t="s">
        <v>2052</v>
      </c>
      <c r="G928" s="4" t="s">
        <v>215</v>
      </c>
      <c r="H928" s="13"/>
    </row>
    <row r="929" s="1" customFormat="1" spans="1:8">
      <c r="A929" s="4" t="s">
        <v>205</v>
      </c>
      <c r="B929" s="4" t="s">
        <v>93</v>
      </c>
      <c r="C929" s="4" t="s">
        <v>97</v>
      </c>
      <c r="D929" s="4" t="s">
        <v>2053</v>
      </c>
      <c r="E929" s="4">
        <v>5202353</v>
      </c>
      <c r="F929" s="4" t="s">
        <v>2054</v>
      </c>
      <c r="G929" s="4" t="s">
        <v>215</v>
      </c>
      <c r="H929" s="13"/>
    </row>
    <row r="930" s="1" customFormat="1" spans="1:8">
      <c r="A930" s="4" t="s">
        <v>205</v>
      </c>
      <c r="B930" s="4" t="s">
        <v>93</v>
      </c>
      <c r="C930" s="4" t="s">
        <v>97</v>
      </c>
      <c r="D930" s="4" t="s">
        <v>2055</v>
      </c>
      <c r="E930" s="4">
        <v>5202601</v>
      </c>
      <c r="F930" s="4" t="s">
        <v>2056</v>
      </c>
      <c r="G930" s="4" t="s">
        <v>215</v>
      </c>
      <c r="H930" s="13"/>
    </row>
    <row r="931" s="1" customFormat="1" spans="1:8">
      <c r="A931" s="4" t="s">
        <v>205</v>
      </c>
      <c r="B931" s="4" t="s">
        <v>93</v>
      </c>
      <c r="C931" s="4" t="s">
        <v>97</v>
      </c>
      <c r="D931" s="4" t="s">
        <v>2057</v>
      </c>
      <c r="E931" s="4">
        <v>5202809</v>
      </c>
      <c r="F931" s="4" t="s">
        <v>2058</v>
      </c>
      <c r="G931" s="4" t="s">
        <v>215</v>
      </c>
      <c r="H931" s="13"/>
    </row>
    <row r="932" s="1" customFormat="1" spans="1:8">
      <c r="A932" s="4" t="s">
        <v>205</v>
      </c>
      <c r="B932" s="4" t="s">
        <v>93</v>
      </c>
      <c r="C932" s="4" t="s">
        <v>97</v>
      </c>
      <c r="D932" s="4" t="s">
        <v>935</v>
      </c>
      <c r="E932" s="4">
        <v>5203203</v>
      </c>
      <c r="F932" s="4" t="s">
        <v>2059</v>
      </c>
      <c r="G932" s="4" t="s">
        <v>215</v>
      </c>
      <c r="H932" s="13"/>
    </row>
    <row r="933" s="1" customFormat="1" spans="1:8">
      <c r="A933" s="4" t="s">
        <v>205</v>
      </c>
      <c r="B933" s="4" t="s">
        <v>93</v>
      </c>
      <c r="C933" s="4" t="s">
        <v>97</v>
      </c>
      <c r="D933" s="4" t="s">
        <v>2060</v>
      </c>
      <c r="E933" s="4">
        <v>5203302</v>
      </c>
      <c r="F933" s="4" t="s">
        <v>2061</v>
      </c>
      <c r="G933" s="4" t="s">
        <v>215</v>
      </c>
      <c r="H933" s="13"/>
    </row>
    <row r="934" s="1" customFormat="1" spans="1:8">
      <c r="A934" s="4" t="s">
        <v>205</v>
      </c>
      <c r="B934" s="4" t="s">
        <v>93</v>
      </c>
      <c r="C934" s="4" t="s">
        <v>97</v>
      </c>
      <c r="D934" s="4" t="s">
        <v>2062</v>
      </c>
      <c r="E934" s="4">
        <v>5203500</v>
      </c>
      <c r="F934" s="4" t="s">
        <v>2063</v>
      </c>
      <c r="G934" s="4" t="s">
        <v>215</v>
      </c>
      <c r="H934" s="13"/>
    </row>
    <row r="935" s="1" customFormat="1" spans="1:8">
      <c r="A935" s="4" t="s">
        <v>205</v>
      </c>
      <c r="B935" s="4" t="s">
        <v>93</v>
      </c>
      <c r="C935" s="4" t="s">
        <v>97</v>
      </c>
      <c r="D935" s="4" t="s">
        <v>2064</v>
      </c>
      <c r="E935" s="4">
        <v>5203609</v>
      </c>
      <c r="F935" s="4" t="s">
        <v>2065</v>
      </c>
      <c r="G935" s="4" t="s">
        <v>215</v>
      </c>
      <c r="H935" s="13"/>
    </row>
    <row r="936" s="1" customFormat="1" spans="1:8">
      <c r="A936" s="4" t="s">
        <v>205</v>
      </c>
      <c r="B936" s="4" t="s">
        <v>93</v>
      </c>
      <c r="C936" s="4" t="s">
        <v>97</v>
      </c>
      <c r="D936" s="4" t="s">
        <v>2066</v>
      </c>
      <c r="E936" s="4">
        <v>5203906</v>
      </c>
      <c r="F936" s="4" t="s">
        <v>2067</v>
      </c>
      <c r="G936" s="4" t="s">
        <v>215</v>
      </c>
      <c r="H936" s="13"/>
    </row>
    <row r="937" s="1" customFormat="1" spans="1:8">
      <c r="A937" s="4" t="s">
        <v>205</v>
      </c>
      <c r="B937" s="4" t="s">
        <v>93</v>
      </c>
      <c r="C937" s="4" t="s">
        <v>97</v>
      </c>
      <c r="D937" s="4" t="s">
        <v>2068</v>
      </c>
      <c r="E937" s="4">
        <v>5203939</v>
      </c>
      <c r="F937" s="4" t="s">
        <v>2069</v>
      </c>
      <c r="G937" s="4" t="s">
        <v>215</v>
      </c>
      <c r="H937" s="13"/>
    </row>
    <row r="938" s="1" customFormat="1" spans="1:8">
      <c r="A938" s="4" t="s">
        <v>205</v>
      </c>
      <c r="B938" s="4" t="s">
        <v>93</v>
      </c>
      <c r="C938" s="4" t="s">
        <v>97</v>
      </c>
      <c r="D938" s="4" t="s">
        <v>2070</v>
      </c>
      <c r="E938" s="4">
        <v>5204201</v>
      </c>
      <c r="F938" s="4" t="s">
        <v>2071</v>
      </c>
      <c r="G938" s="4" t="s">
        <v>215</v>
      </c>
      <c r="H938" s="13"/>
    </row>
    <row r="939" s="1" customFormat="1" spans="1:8">
      <c r="A939" s="4" t="s">
        <v>205</v>
      </c>
      <c r="B939" s="4" t="s">
        <v>93</v>
      </c>
      <c r="C939" s="4" t="s">
        <v>97</v>
      </c>
      <c r="D939" s="4" t="s">
        <v>2072</v>
      </c>
      <c r="E939" s="4">
        <v>5204250</v>
      </c>
      <c r="F939" s="4" t="s">
        <v>2073</v>
      </c>
      <c r="G939" s="4" t="s">
        <v>215</v>
      </c>
      <c r="H939" s="13"/>
    </row>
    <row r="940" s="1" customFormat="1" spans="1:8">
      <c r="A940" s="4" t="s">
        <v>205</v>
      </c>
      <c r="B940" s="4" t="s">
        <v>93</v>
      </c>
      <c r="C940" s="4" t="s">
        <v>97</v>
      </c>
      <c r="D940" s="4" t="s">
        <v>2074</v>
      </c>
      <c r="E940" s="4">
        <v>5204508</v>
      </c>
      <c r="F940" s="4" t="s">
        <v>2075</v>
      </c>
      <c r="G940" s="4" t="s">
        <v>215</v>
      </c>
      <c r="H940" s="13"/>
    </row>
    <row r="941" s="1" customFormat="1" spans="1:8">
      <c r="A941" s="4" t="s">
        <v>205</v>
      </c>
      <c r="B941" s="4" t="s">
        <v>93</v>
      </c>
      <c r="C941" s="4" t="s">
        <v>97</v>
      </c>
      <c r="D941" s="4" t="s">
        <v>2076</v>
      </c>
      <c r="E941" s="4">
        <v>5204557</v>
      </c>
      <c r="F941" s="4" t="s">
        <v>2077</v>
      </c>
      <c r="G941" s="4" t="s">
        <v>215</v>
      </c>
      <c r="H941" s="13"/>
    </row>
    <row r="942" s="1" customFormat="1" spans="1:8">
      <c r="A942" s="4" t="s">
        <v>205</v>
      </c>
      <c r="B942" s="4" t="s">
        <v>93</v>
      </c>
      <c r="C942" s="4" t="s">
        <v>97</v>
      </c>
      <c r="D942" s="4" t="s">
        <v>2078</v>
      </c>
      <c r="E942" s="4">
        <v>5204607</v>
      </c>
      <c r="F942" s="4" t="s">
        <v>2079</v>
      </c>
      <c r="G942" s="4" t="s">
        <v>215</v>
      </c>
      <c r="H942" s="13"/>
    </row>
    <row r="943" s="1" customFormat="1" spans="1:8">
      <c r="A943" s="4" t="s">
        <v>205</v>
      </c>
      <c r="B943" s="4" t="s">
        <v>93</v>
      </c>
      <c r="C943" s="4" t="s">
        <v>97</v>
      </c>
      <c r="D943" s="4" t="s">
        <v>2080</v>
      </c>
      <c r="E943" s="4">
        <v>5204805</v>
      </c>
      <c r="F943" s="4" t="s">
        <v>2081</v>
      </c>
      <c r="G943" s="4" t="s">
        <v>215</v>
      </c>
      <c r="H943" s="13"/>
    </row>
    <row r="944" s="1" customFormat="1" spans="1:8">
      <c r="A944" s="4" t="s">
        <v>205</v>
      </c>
      <c r="B944" s="4" t="s">
        <v>93</v>
      </c>
      <c r="C944" s="4" t="s">
        <v>97</v>
      </c>
      <c r="D944" s="4" t="s">
        <v>2082</v>
      </c>
      <c r="E944" s="4">
        <v>5204854</v>
      </c>
      <c r="F944" s="4" t="s">
        <v>2083</v>
      </c>
      <c r="G944" s="4" t="s">
        <v>215</v>
      </c>
      <c r="H944" s="13"/>
    </row>
    <row r="945" s="1" customFormat="1" spans="1:8">
      <c r="A945" s="4" t="s">
        <v>205</v>
      </c>
      <c r="B945" s="4" t="s">
        <v>93</v>
      </c>
      <c r="C945" s="4" t="s">
        <v>97</v>
      </c>
      <c r="D945" s="4" t="s">
        <v>2084</v>
      </c>
      <c r="E945" s="4">
        <v>5205000</v>
      </c>
      <c r="F945" s="4" t="s">
        <v>2085</v>
      </c>
      <c r="G945" s="4" t="s">
        <v>215</v>
      </c>
      <c r="H945" s="13"/>
    </row>
    <row r="946" s="1" customFormat="1" spans="1:8">
      <c r="A946" s="4" t="s">
        <v>205</v>
      </c>
      <c r="B946" s="4" t="s">
        <v>93</v>
      </c>
      <c r="C946" s="4" t="s">
        <v>97</v>
      </c>
      <c r="D946" s="4" t="s">
        <v>2086</v>
      </c>
      <c r="E946" s="4">
        <v>5205059</v>
      </c>
      <c r="F946" s="4" t="s">
        <v>2087</v>
      </c>
      <c r="G946" s="4" t="s">
        <v>215</v>
      </c>
      <c r="H946" s="13"/>
    </row>
    <row r="947" s="1" customFormat="1" spans="1:8">
      <c r="A947" s="4" t="s">
        <v>205</v>
      </c>
      <c r="B947" s="4" t="s">
        <v>93</v>
      </c>
      <c r="C947" s="4" t="s">
        <v>97</v>
      </c>
      <c r="D947" s="4" t="s">
        <v>2088</v>
      </c>
      <c r="E947" s="4">
        <v>5205109</v>
      </c>
      <c r="F947" s="4" t="s">
        <v>2089</v>
      </c>
      <c r="G947" s="4" t="s">
        <v>215</v>
      </c>
      <c r="H947" s="13"/>
    </row>
    <row r="948" s="1" customFormat="1" spans="1:8">
      <c r="A948" s="4" t="s">
        <v>205</v>
      </c>
      <c r="B948" s="4" t="s">
        <v>93</v>
      </c>
      <c r="C948" s="4" t="s">
        <v>97</v>
      </c>
      <c r="D948" s="4" t="s">
        <v>2090</v>
      </c>
      <c r="E948" s="4">
        <v>5205208</v>
      </c>
      <c r="F948" s="4" t="s">
        <v>2091</v>
      </c>
      <c r="G948" s="4" t="s">
        <v>215</v>
      </c>
      <c r="H948" s="13"/>
    </row>
    <row r="949" s="1" customFormat="1" spans="1:8">
      <c r="A949" s="4" t="s">
        <v>205</v>
      </c>
      <c r="B949" s="4" t="s">
        <v>93</v>
      </c>
      <c r="C949" s="4" t="s">
        <v>97</v>
      </c>
      <c r="D949" s="4" t="s">
        <v>2092</v>
      </c>
      <c r="E949" s="4">
        <v>5205406</v>
      </c>
      <c r="F949" s="4" t="s">
        <v>2093</v>
      </c>
      <c r="G949" s="4" t="s">
        <v>215</v>
      </c>
      <c r="H949" s="13"/>
    </row>
    <row r="950" s="1" customFormat="1" spans="1:8">
      <c r="A950" s="4" t="s">
        <v>205</v>
      </c>
      <c r="B950" s="4" t="s">
        <v>93</v>
      </c>
      <c r="C950" s="4" t="s">
        <v>97</v>
      </c>
      <c r="D950" s="4" t="s">
        <v>2094</v>
      </c>
      <c r="E950" s="4">
        <v>5205455</v>
      </c>
      <c r="F950" s="4" t="s">
        <v>2095</v>
      </c>
      <c r="G950" s="4" t="s">
        <v>215</v>
      </c>
      <c r="H950" s="13"/>
    </row>
    <row r="951" s="1" customFormat="1" spans="1:8">
      <c r="A951" s="4" t="s">
        <v>205</v>
      </c>
      <c r="B951" s="4" t="s">
        <v>93</v>
      </c>
      <c r="C951" s="4" t="s">
        <v>97</v>
      </c>
      <c r="D951" s="4" t="s">
        <v>2096</v>
      </c>
      <c r="E951" s="4">
        <v>5205497</v>
      </c>
      <c r="F951" s="4" t="s">
        <v>2097</v>
      </c>
      <c r="G951" s="4" t="s">
        <v>215</v>
      </c>
      <c r="H951" s="13"/>
    </row>
    <row r="952" s="1" customFormat="1" spans="1:8">
      <c r="A952" s="4" t="s">
        <v>205</v>
      </c>
      <c r="B952" s="4" t="s">
        <v>93</v>
      </c>
      <c r="C952" s="4" t="s">
        <v>97</v>
      </c>
      <c r="D952" s="4" t="s">
        <v>2098</v>
      </c>
      <c r="E952" s="4">
        <v>5205513</v>
      </c>
      <c r="F952" s="4" t="s">
        <v>2099</v>
      </c>
      <c r="G952" s="4" t="s">
        <v>215</v>
      </c>
      <c r="H952" s="13"/>
    </row>
    <row r="953" s="1" customFormat="1" spans="1:8">
      <c r="A953" s="4" t="s">
        <v>205</v>
      </c>
      <c r="B953" s="4" t="s">
        <v>93</v>
      </c>
      <c r="C953" s="4" t="s">
        <v>97</v>
      </c>
      <c r="D953" s="4" t="s">
        <v>2100</v>
      </c>
      <c r="E953" s="4">
        <v>5205901</v>
      </c>
      <c r="F953" s="4" t="s">
        <v>2101</v>
      </c>
      <c r="G953" s="4" t="s">
        <v>215</v>
      </c>
      <c r="H953" s="13"/>
    </row>
    <row r="954" s="1" customFormat="1" spans="1:8">
      <c r="A954" s="4" t="s">
        <v>205</v>
      </c>
      <c r="B954" s="4" t="s">
        <v>93</v>
      </c>
      <c r="C954" s="4" t="s">
        <v>97</v>
      </c>
      <c r="D954" s="4" t="s">
        <v>2102</v>
      </c>
      <c r="E954" s="4">
        <v>5205802</v>
      </c>
      <c r="F954" s="4" t="s">
        <v>2103</v>
      </c>
      <c r="G954" s="4" t="s">
        <v>215</v>
      </c>
      <c r="H954" s="13"/>
    </row>
    <row r="955" s="1" customFormat="1" spans="1:8">
      <c r="A955" s="4" t="s">
        <v>205</v>
      </c>
      <c r="B955" s="4" t="s">
        <v>93</v>
      </c>
      <c r="C955" s="4" t="s">
        <v>97</v>
      </c>
      <c r="D955" s="4" t="s">
        <v>2104</v>
      </c>
      <c r="E955" s="4">
        <v>5206206</v>
      </c>
      <c r="F955" s="4" t="s">
        <v>2105</v>
      </c>
      <c r="G955" s="4" t="s">
        <v>215</v>
      </c>
      <c r="H955" s="13"/>
    </row>
    <row r="956" s="1" customFormat="1" spans="1:8">
      <c r="A956" s="4" t="s">
        <v>205</v>
      </c>
      <c r="B956" s="4" t="s">
        <v>93</v>
      </c>
      <c r="C956" s="4" t="s">
        <v>97</v>
      </c>
      <c r="D956" s="4" t="s">
        <v>2106</v>
      </c>
      <c r="E956" s="4">
        <v>5206305</v>
      </c>
      <c r="F956" s="4" t="s">
        <v>2107</v>
      </c>
      <c r="G956" s="4" t="s">
        <v>215</v>
      </c>
      <c r="H956" s="13"/>
    </row>
    <row r="957" s="1" customFormat="1" spans="1:8">
      <c r="A957" s="4" t="s">
        <v>205</v>
      </c>
      <c r="B957" s="4" t="s">
        <v>93</v>
      </c>
      <c r="C957" s="4" t="s">
        <v>97</v>
      </c>
      <c r="D957" s="4" t="s">
        <v>2108</v>
      </c>
      <c r="E957" s="4">
        <v>5206503</v>
      </c>
      <c r="F957" s="4" t="s">
        <v>2109</v>
      </c>
      <c r="G957" s="4" t="s">
        <v>215</v>
      </c>
      <c r="H957" s="13"/>
    </row>
    <row r="958" s="1" customFormat="1" spans="1:8">
      <c r="A958" s="4" t="s">
        <v>205</v>
      </c>
      <c r="B958" s="4" t="s">
        <v>93</v>
      </c>
      <c r="C958" s="4" t="s">
        <v>97</v>
      </c>
      <c r="D958" s="4" t="s">
        <v>2110</v>
      </c>
      <c r="E958" s="4">
        <v>5206602</v>
      </c>
      <c r="F958" s="4" t="s">
        <v>2111</v>
      </c>
      <c r="G958" s="4" t="s">
        <v>215</v>
      </c>
      <c r="H958" s="13"/>
    </row>
    <row r="959" s="1" customFormat="1" spans="1:8">
      <c r="A959" s="4" t="s">
        <v>205</v>
      </c>
      <c r="B959" s="4" t="s">
        <v>93</v>
      </c>
      <c r="C959" s="4" t="s">
        <v>97</v>
      </c>
      <c r="D959" s="4" t="s">
        <v>2112</v>
      </c>
      <c r="E959" s="4">
        <v>5205703</v>
      </c>
      <c r="F959" s="4" t="s">
        <v>2113</v>
      </c>
      <c r="G959" s="4" t="s">
        <v>215</v>
      </c>
      <c r="H959" s="13"/>
    </row>
    <row r="960" s="1" customFormat="1" spans="1:8">
      <c r="A960" s="4" t="s">
        <v>205</v>
      </c>
      <c r="B960" s="4" t="s">
        <v>93</v>
      </c>
      <c r="C960" s="4" t="s">
        <v>97</v>
      </c>
      <c r="D960" s="4" t="s">
        <v>2114</v>
      </c>
      <c r="E960" s="4">
        <v>5206800</v>
      </c>
      <c r="F960" s="4" t="s">
        <v>2115</v>
      </c>
      <c r="G960" s="4" t="s">
        <v>215</v>
      </c>
      <c r="H960" s="13"/>
    </row>
    <row r="961" s="1" customFormat="1" spans="1:8">
      <c r="A961" s="4" t="s">
        <v>205</v>
      </c>
      <c r="B961" s="4" t="s">
        <v>93</v>
      </c>
      <c r="C961" s="4" t="s">
        <v>97</v>
      </c>
      <c r="D961" s="4" t="s">
        <v>2116</v>
      </c>
      <c r="E961" s="4">
        <v>5207105</v>
      </c>
      <c r="F961" s="4" t="s">
        <v>2117</v>
      </c>
      <c r="G961" s="4" t="s">
        <v>215</v>
      </c>
      <c r="H961" s="13"/>
    </row>
    <row r="962" s="1" customFormat="1" spans="1:8">
      <c r="A962" s="4" t="s">
        <v>205</v>
      </c>
      <c r="B962" s="4" t="s">
        <v>93</v>
      </c>
      <c r="C962" s="4" t="s">
        <v>97</v>
      </c>
      <c r="D962" s="4" t="s">
        <v>2118</v>
      </c>
      <c r="E962" s="4">
        <v>5207352</v>
      </c>
      <c r="F962" s="4" t="s">
        <v>2119</v>
      </c>
      <c r="G962" s="4" t="s">
        <v>215</v>
      </c>
      <c r="H962" s="13"/>
    </row>
    <row r="963" s="1" customFormat="1" spans="1:8">
      <c r="A963" s="4" t="s">
        <v>205</v>
      </c>
      <c r="B963" s="4" t="s">
        <v>93</v>
      </c>
      <c r="C963" s="4" t="s">
        <v>97</v>
      </c>
      <c r="D963" s="4" t="s">
        <v>2120</v>
      </c>
      <c r="E963" s="4">
        <v>5207402</v>
      </c>
      <c r="F963" s="4" t="s">
        <v>2121</v>
      </c>
      <c r="G963" s="4" t="s">
        <v>215</v>
      </c>
      <c r="H963" s="13"/>
    </row>
    <row r="964" s="1" customFormat="1" spans="1:8">
      <c r="A964" s="4" t="s">
        <v>205</v>
      </c>
      <c r="B964" s="4" t="s">
        <v>93</v>
      </c>
      <c r="C964" s="4" t="s">
        <v>97</v>
      </c>
      <c r="D964" s="4" t="s">
        <v>2122</v>
      </c>
      <c r="E964" s="4">
        <v>5207535</v>
      </c>
      <c r="F964" s="4" t="s">
        <v>2123</v>
      </c>
      <c r="G964" s="4" t="s">
        <v>215</v>
      </c>
      <c r="H964" s="13"/>
    </row>
    <row r="965" s="1" customFormat="1" spans="1:8">
      <c r="A965" s="4" t="s">
        <v>205</v>
      </c>
      <c r="B965" s="4" t="s">
        <v>93</v>
      </c>
      <c r="C965" s="4" t="s">
        <v>97</v>
      </c>
      <c r="D965" s="4" t="s">
        <v>2124</v>
      </c>
      <c r="E965" s="4">
        <v>5207600</v>
      </c>
      <c r="F965" s="4" t="s">
        <v>2125</v>
      </c>
      <c r="G965" s="4" t="s">
        <v>215</v>
      </c>
      <c r="H965" s="13"/>
    </row>
    <row r="966" s="1" customFormat="1" spans="1:8">
      <c r="A966" s="4" t="s">
        <v>205</v>
      </c>
      <c r="B966" s="4" t="s">
        <v>93</v>
      </c>
      <c r="C966" s="4" t="s">
        <v>97</v>
      </c>
      <c r="D966" s="4" t="s">
        <v>2126</v>
      </c>
      <c r="E966" s="4">
        <v>5207808</v>
      </c>
      <c r="F966" s="4" t="s">
        <v>2127</v>
      </c>
      <c r="G966" s="4" t="s">
        <v>215</v>
      </c>
      <c r="H966" s="13"/>
    </row>
    <row r="967" s="1" customFormat="1" spans="1:8">
      <c r="A967" s="4" t="s">
        <v>205</v>
      </c>
      <c r="B967" s="4" t="s">
        <v>93</v>
      </c>
      <c r="C967" s="4" t="s">
        <v>97</v>
      </c>
      <c r="D967" s="4" t="s">
        <v>2128</v>
      </c>
      <c r="E967" s="4">
        <v>5208004</v>
      </c>
      <c r="F967" s="4" t="s">
        <v>2129</v>
      </c>
      <c r="G967" s="4" t="s">
        <v>215</v>
      </c>
      <c r="H967" s="13"/>
    </row>
    <row r="968" s="1" customFormat="1" spans="1:8">
      <c r="A968" s="4" t="s">
        <v>205</v>
      </c>
      <c r="B968" s="4" t="s">
        <v>93</v>
      </c>
      <c r="C968" s="4" t="s">
        <v>97</v>
      </c>
      <c r="D968" s="4" t="s">
        <v>2130</v>
      </c>
      <c r="E968" s="4">
        <v>5208152</v>
      </c>
      <c r="F968" s="4" t="s">
        <v>2131</v>
      </c>
      <c r="G968" s="4" t="s">
        <v>215</v>
      </c>
      <c r="H968" s="13"/>
    </row>
    <row r="969" s="1" customFormat="1" spans="1:8">
      <c r="A969" s="4" t="s">
        <v>205</v>
      </c>
      <c r="B969" s="4" t="s">
        <v>93</v>
      </c>
      <c r="C969" s="4" t="s">
        <v>97</v>
      </c>
      <c r="D969" s="4" t="s">
        <v>2132</v>
      </c>
      <c r="E969" s="4">
        <v>5208509</v>
      </c>
      <c r="F969" s="4" t="s">
        <v>2133</v>
      </c>
      <c r="G969" s="4" t="s">
        <v>215</v>
      </c>
      <c r="H969" s="13"/>
    </row>
    <row r="970" s="1" customFormat="1" spans="1:8">
      <c r="A970" s="4" t="s">
        <v>205</v>
      </c>
      <c r="B970" s="4" t="s">
        <v>93</v>
      </c>
      <c r="C970" s="4" t="s">
        <v>97</v>
      </c>
      <c r="D970" s="4" t="s">
        <v>2134</v>
      </c>
      <c r="E970" s="4">
        <v>5208608</v>
      </c>
      <c r="F970" s="4" t="s">
        <v>2135</v>
      </c>
      <c r="G970" s="4" t="s">
        <v>215</v>
      </c>
      <c r="H970" s="13"/>
    </row>
    <row r="971" s="1" customFormat="1" spans="1:8">
      <c r="A971" s="4" t="s">
        <v>205</v>
      </c>
      <c r="B971" s="4" t="s">
        <v>93</v>
      </c>
      <c r="C971" s="4" t="s">
        <v>97</v>
      </c>
      <c r="D971" s="4" t="s">
        <v>2136</v>
      </c>
      <c r="E971" s="4">
        <v>5209101</v>
      </c>
      <c r="F971" s="4" t="s">
        <v>2137</v>
      </c>
      <c r="G971" s="4" t="s">
        <v>215</v>
      </c>
      <c r="H971" s="13"/>
    </row>
    <row r="972" s="1" customFormat="1" spans="1:8">
      <c r="A972" s="4" t="s">
        <v>205</v>
      </c>
      <c r="B972" s="4" t="s">
        <v>93</v>
      </c>
      <c r="C972" s="4" t="s">
        <v>97</v>
      </c>
      <c r="D972" s="4" t="s">
        <v>2138</v>
      </c>
      <c r="E972" s="4">
        <v>5208905</v>
      </c>
      <c r="F972" s="4" t="s">
        <v>2139</v>
      </c>
      <c r="G972" s="4" t="s">
        <v>215</v>
      </c>
      <c r="H972" s="13"/>
    </row>
    <row r="973" s="1" customFormat="1" spans="1:8">
      <c r="A973" s="4" t="s">
        <v>205</v>
      </c>
      <c r="B973" s="4" t="s">
        <v>93</v>
      </c>
      <c r="C973" s="4" t="s">
        <v>97</v>
      </c>
      <c r="D973" s="4" t="s">
        <v>2140</v>
      </c>
      <c r="E973" s="4">
        <v>5209291</v>
      </c>
      <c r="F973" s="4" t="s">
        <v>2141</v>
      </c>
      <c r="G973" s="4" t="s">
        <v>215</v>
      </c>
      <c r="H973" s="13"/>
    </row>
    <row r="974" s="1" customFormat="1" spans="1:8">
      <c r="A974" s="4" t="s">
        <v>205</v>
      </c>
      <c r="B974" s="4" t="s">
        <v>93</v>
      </c>
      <c r="C974" s="4" t="s">
        <v>97</v>
      </c>
      <c r="D974" s="4" t="s">
        <v>2142</v>
      </c>
      <c r="E974" s="4">
        <v>5209457</v>
      </c>
      <c r="F974" s="4" t="s">
        <v>2143</v>
      </c>
      <c r="G974" s="4" t="s">
        <v>215</v>
      </c>
      <c r="H974" s="13"/>
    </row>
    <row r="975" s="1" customFormat="1" spans="1:8">
      <c r="A975" s="4" t="s">
        <v>205</v>
      </c>
      <c r="B975" s="4" t="s">
        <v>93</v>
      </c>
      <c r="C975" s="4" t="s">
        <v>97</v>
      </c>
      <c r="D975" s="4" t="s">
        <v>2144</v>
      </c>
      <c r="E975" s="4">
        <v>5209606</v>
      </c>
      <c r="F975" s="4" t="s">
        <v>2145</v>
      </c>
      <c r="G975" s="4" t="s">
        <v>215</v>
      </c>
      <c r="H975" s="13"/>
    </row>
    <row r="976" s="1" customFormat="1" spans="1:8">
      <c r="A976" s="4" t="s">
        <v>205</v>
      </c>
      <c r="B976" s="4" t="s">
        <v>93</v>
      </c>
      <c r="C976" s="4" t="s">
        <v>97</v>
      </c>
      <c r="D976" s="4" t="s">
        <v>2146</v>
      </c>
      <c r="E976" s="4">
        <v>5209804</v>
      </c>
      <c r="F976" s="4" t="s">
        <v>2147</v>
      </c>
      <c r="G976" s="4" t="s">
        <v>215</v>
      </c>
      <c r="H976" s="13"/>
    </row>
    <row r="977" s="1" customFormat="1" spans="1:8">
      <c r="A977" s="4" t="s">
        <v>205</v>
      </c>
      <c r="B977" s="4" t="s">
        <v>93</v>
      </c>
      <c r="C977" s="4" t="s">
        <v>97</v>
      </c>
      <c r="D977" s="4" t="s">
        <v>2148</v>
      </c>
      <c r="E977" s="4">
        <v>5209937</v>
      </c>
      <c r="F977" s="4" t="s">
        <v>2149</v>
      </c>
      <c r="G977" s="4" t="s">
        <v>215</v>
      </c>
      <c r="H977" s="13"/>
    </row>
    <row r="978" s="1" customFormat="1" spans="1:8">
      <c r="A978" s="4" t="s">
        <v>205</v>
      </c>
      <c r="B978" s="4" t="s">
        <v>93</v>
      </c>
      <c r="C978" s="4" t="s">
        <v>97</v>
      </c>
      <c r="D978" s="4" t="s">
        <v>2150</v>
      </c>
      <c r="E978" s="4">
        <v>5209952</v>
      </c>
      <c r="F978" s="4" t="s">
        <v>2151</v>
      </c>
      <c r="G978" s="4" t="s">
        <v>215</v>
      </c>
      <c r="H978" s="13"/>
    </row>
    <row r="979" s="1" customFormat="1" spans="1:8">
      <c r="A979" s="4" t="s">
        <v>205</v>
      </c>
      <c r="B979" s="4" t="s">
        <v>93</v>
      </c>
      <c r="C979" s="4" t="s">
        <v>97</v>
      </c>
      <c r="D979" s="4" t="s">
        <v>2152</v>
      </c>
      <c r="E979" s="4">
        <v>5210000</v>
      </c>
      <c r="F979" s="4" t="s">
        <v>2153</v>
      </c>
      <c r="G979" s="4" t="s">
        <v>215</v>
      </c>
      <c r="H979" s="13"/>
    </row>
    <row r="980" s="1" customFormat="1" spans="1:8">
      <c r="A980" s="4" t="s">
        <v>205</v>
      </c>
      <c r="B980" s="4" t="s">
        <v>93</v>
      </c>
      <c r="C980" s="4" t="s">
        <v>97</v>
      </c>
      <c r="D980" s="4" t="s">
        <v>2154</v>
      </c>
      <c r="E980" s="4">
        <v>5210109</v>
      </c>
      <c r="F980" s="4" t="s">
        <v>2155</v>
      </c>
      <c r="G980" s="4" t="s">
        <v>215</v>
      </c>
      <c r="H980" s="13"/>
    </row>
    <row r="981" s="1" customFormat="1" spans="1:8">
      <c r="A981" s="4" t="s">
        <v>205</v>
      </c>
      <c r="B981" s="4" t="s">
        <v>93</v>
      </c>
      <c r="C981" s="4" t="s">
        <v>97</v>
      </c>
      <c r="D981" s="4" t="s">
        <v>2156</v>
      </c>
      <c r="E981" s="4">
        <v>5210158</v>
      </c>
      <c r="F981" s="4" t="s">
        <v>2157</v>
      </c>
      <c r="G981" s="4" t="s">
        <v>215</v>
      </c>
      <c r="H981" s="13"/>
    </row>
    <row r="982" s="1" customFormat="1" spans="1:8">
      <c r="A982" s="4" t="s">
        <v>205</v>
      </c>
      <c r="B982" s="4" t="s">
        <v>93</v>
      </c>
      <c r="C982" s="4" t="s">
        <v>97</v>
      </c>
      <c r="D982" s="4" t="s">
        <v>2158</v>
      </c>
      <c r="E982" s="4">
        <v>5210208</v>
      </c>
      <c r="F982" s="4" t="s">
        <v>2159</v>
      </c>
      <c r="G982" s="4" t="s">
        <v>215</v>
      </c>
      <c r="H982" s="13"/>
    </row>
    <row r="983" s="1" customFormat="1" spans="1:8">
      <c r="A983" s="4" t="s">
        <v>205</v>
      </c>
      <c r="B983" s="4" t="s">
        <v>93</v>
      </c>
      <c r="C983" s="4" t="s">
        <v>97</v>
      </c>
      <c r="D983" s="4" t="s">
        <v>2160</v>
      </c>
      <c r="E983" s="4">
        <v>5210307</v>
      </c>
      <c r="F983" s="4" t="s">
        <v>2161</v>
      </c>
      <c r="G983" s="4" t="s">
        <v>215</v>
      </c>
      <c r="H983" s="13"/>
    </row>
    <row r="984" s="1" customFormat="1" spans="1:8">
      <c r="A984" s="4" t="s">
        <v>205</v>
      </c>
      <c r="B984" s="4" t="s">
        <v>93</v>
      </c>
      <c r="C984" s="4" t="s">
        <v>97</v>
      </c>
      <c r="D984" s="4" t="s">
        <v>2162</v>
      </c>
      <c r="E984" s="4">
        <v>5210406</v>
      </c>
      <c r="F984" s="4" t="s">
        <v>2163</v>
      </c>
      <c r="G984" s="4" t="s">
        <v>215</v>
      </c>
      <c r="H984" s="13"/>
    </row>
    <row r="985" s="1" customFormat="1" spans="1:8">
      <c r="A985" s="4" t="s">
        <v>205</v>
      </c>
      <c r="B985" s="4" t="s">
        <v>93</v>
      </c>
      <c r="C985" s="4" t="s">
        <v>97</v>
      </c>
      <c r="D985" s="4" t="s">
        <v>2164</v>
      </c>
      <c r="E985" s="4">
        <v>5210562</v>
      </c>
      <c r="F985" s="4" t="s">
        <v>2165</v>
      </c>
      <c r="G985" s="4" t="s">
        <v>215</v>
      </c>
      <c r="H985" s="13"/>
    </row>
    <row r="986" s="1" customFormat="1" spans="1:8">
      <c r="A986" s="4" t="s">
        <v>205</v>
      </c>
      <c r="B986" s="4" t="s">
        <v>93</v>
      </c>
      <c r="C986" s="4" t="s">
        <v>97</v>
      </c>
      <c r="D986" s="4" t="s">
        <v>2166</v>
      </c>
      <c r="E986" s="4">
        <v>5210604</v>
      </c>
      <c r="F986" s="4" t="s">
        <v>2167</v>
      </c>
      <c r="G986" s="4" t="s">
        <v>215</v>
      </c>
      <c r="H986" s="13"/>
    </row>
    <row r="987" s="1" customFormat="1" spans="1:8">
      <c r="A987" s="4" t="s">
        <v>205</v>
      </c>
      <c r="B987" s="4" t="s">
        <v>93</v>
      </c>
      <c r="C987" s="4" t="s">
        <v>97</v>
      </c>
      <c r="D987" s="4" t="s">
        <v>2168</v>
      </c>
      <c r="E987" s="4">
        <v>5210901</v>
      </c>
      <c r="F987" s="4" t="s">
        <v>2169</v>
      </c>
      <c r="G987" s="4" t="s">
        <v>215</v>
      </c>
      <c r="H987" s="13"/>
    </row>
    <row r="988" s="1" customFormat="1" spans="1:8">
      <c r="A988" s="4" t="s">
        <v>205</v>
      </c>
      <c r="B988" s="4" t="s">
        <v>93</v>
      </c>
      <c r="C988" s="4" t="s">
        <v>97</v>
      </c>
      <c r="D988" s="4" t="s">
        <v>2170</v>
      </c>
      <c r="E988" s="4">
        <v>5211008</v>
      </c>
      <c r="F988" s="4" t="s">
        <v>2171</v>
      </c>
      <c r="G988" s="4" t="s">
        <v>215</v>
      </c>
      <c r="H988" s="13"/>
    </row>
    <row r="989" s="1" customFormat="1" spans="1:8">
      <c r="A989" s="4" t="s">
        <v>205</v>
      </c>
      <c r="B989" s="4" t="s">
        <v>93</v>
      </c>
      <c r="C989" s="4" t="s">
        <v>97</v>
      </c>
      <c r="D989" s="4" t="s">
        <v>2172</v>
      </c>
      <c r="E989" s="4">
        <v>5211206</v>
      </c>
      <c r="F989" s="4" t="s">
        <v>2173</v>
      </c>
      <c r="G989" s="4" t="s">
        <v>215</v>
      </c>
      <c r="H989" s="13"/>
    </row>
    <row r="990" s="1" customFormat="1" spans="1:8">
      <c r="A990" s="4" t="s">
        <v>205</v>
      </c>
      <c r="B990" s="4" t="s">
        <v>93</v>
      </c>
      <c r="C990" s="4" t="s">
        <v>97</v>
      </c>
      <c r="D990" s="4" t="s">
        <v>2174</v>
      </c>
      <c r="E990" s="4">
        <v>5211404</v>
      </c>
      <c r="F990" s="4" t="s">
        <v>2175</v>
      </c>
      <c r="G990" s="4" t="s">
        <v>215</v>
      </c>
      <c r="H990" s="13"/>
    </row>
    <row r="991" s="1" customFormat="1" spans="1:8">
      <c r="A991" s="4" t="s">
        <v>205</v>
      </c>
      <c r="B991" s="4" t="s">
        <v>93</v>
      </c>
      <c r="C991" s="4" t="s">
        <v>97</v>
      </c>
      <c r="D991" s="4" t="s">
        <v>2176</v>
      </c>
      <c r="E991" s="4">
        <v>5211503</v>
      </c>
      <c r="F991" s="4" t="s">
        <v>2177</v>
      </c>
      <c r="G991" s="4" t="s">
        <v>215</v>
      </c>
      <c r="H991" s="13"/>
    </row>
    <row r="992" s="1" customFormat="1" spans="1:8">
      <c r="A992" s="4" t="s">
        <v>205</v>
      </c>
      <c r="B992" s="4" t="s">
        <v>93</v>
      </c>
      <c r="C992" s="4" t="s">
        <v>97</v>
      </c>
      <c r="D992" s="4" t="s">
        <v>2178</v>
      </c>
      <c r="E992" s="4">
        <v>5211602</v>
      </c>
      <c r="F992" s="4" t="s">
        <v>2179</v>
      </c>
      <c r="G992" s="4" t="s">
        <v>215</v>
      </c>
      <c r="H992" s="13"/>
    </row>
    <row r="993" s="1" customFormat="1" spans="1:8">
      <c r="A993" s="4" t="s">
        <v>205</v>
      </c>
      <c r="B993" s="4" t="s">
        <v>93</v>
      </c>
      <c r="C993" s="4" t="s">
        <v>97</v>
      </c>
      <c r="D993" s="4" t="s">
        <v>2180</v>
      </c>
      <c r="E993" s="4">
        <v>5211701</v>
      </c>
      <c r="F993" s="4" t="s">
        <v>2181</v>
      </c>
      <c r="G993" s="4" t="s">
        <v>215</v>
      </c>
      <c r="H993" s="13"/>
    </row>
    <row r="994" s="1" customFormat="1" spans="1:8">
      <c r="A994" s="4" t="s">
        <v>205</v>
      </c>
      <c r="B994" s="4" t="s">
        <v>93</v>
      </c>
      <c r="C994" s="4" t="s">
        <v>97</v>
      </c>
      <c r="D994" s="4" t="s">
        <v>2182</v>
      </c>
      <c r="E994" s="4">
        <v>5211800</v>
      </c>
      <c r="F994" s="4" t="s">
        <v>2183</v>
      </c>
      <c r="G994" s="4" t="s">
        <v>215</v>
      </c>
      <c r="H994" s="13"/>
    </row>
    <row r="995" s="1" customFormat="1" spans="1:8">
      <c r="A995" s="4" t="s">
        <v>205</v>
      </c>
      <c r="B995" s="4" t="s">
        <v>93</v>
      </c>
      <c r="C995" s="4" t="s">
        <v>97</v>
      </c>
      <c r="D995" s="4" t="s">
        <v>2184</v>
      </c>
      <c r="E995" s="4">
        <v>5212006</v>
      </c>
      <c r="F995" s="4" t="s">
        <v>2185</v>
      </c>
      <c r="G995" s="4" t="s">
        <v>215</v>
      </c>
      <c r="H995" s="13"/>
    </row>
    <row r="996" s="1" customFormat="1" spans="1:8">
      <c r="A996" s="4" t="s">
        <v>205</v>
      </c>
      <c r="B996" s="4" t="s">
        <v>93</v>
      </c>
      <c r="C996" s="4" t="s">
        <v>97</v>
      </c>
      <c r="D996" s="4" t="s">
        <v>2186</v>
      </c>
      <c r="E996" s="4">
        <v>5212055</v>
      </c>
      <c r="F996" s="4" t="s">
        <v>2187</v>
      </c>
      <c r="G996" s="4" t="s">
        <v>215</v>
      </c>
      <c r="H996" s="13"/>
    </row>
    <row r="997" s="1" customFormat="1" spans="1:8">
      <c r="A997" s="4" t="s">
        <v>205</v>
      </c>
      <c r="B997" s="4" t="s">
        <v>93</v>
      </c>
      <c r="C997" s="4" t="s">
        <v>97</v>
      </c>
      <c r="D997" s="4" t="s">
        <v>2188</v>
      </c>
      <c r="E997" s="4">
        <v>5212105</v>
      </c>
      <c r="F997" s="4" t="s">
        <v>2189</v>
      </c>
      <c r="G997" s="4" t="s">
        <v>215</v>
      </c>
      <c r="H997" s="13"/>
    </row>
    <row r="998" s="1" customFormat="1" spans="1:8">
      <c r="A998" s="4" t="s">
        <v>205</v>
      </c>
      <c r="B998" s="4" t="s">
        <v>93</v>
      </c>
      <c r="C998" s="4" t="s">
        <v>97</v>
      </c>
      <c r="D998" s="4" t="s">
        <v>1115</v>
      </c>
      <c r="E998" s="4">
        <v>5212204</v>
      </c>
      <c r="F998" s="4" t="s">
        <v>2190</v>
      </c>
      <c r="G998" s="4" t="s">
        <v>215</v>
      </c>
      <c r="H998" s="13"/>
    </row>
    <row r="999" s="1" customFormat="1" spans="1:8">
      <c r="A999" s="4" t="s">
        <v>205</v>
      </c>
      <c r="B999" s="4" t="s">
        <v>93</v>
      </c>
      <c r="C999" s="4" t="s">
        <v>97</v>
      </c>
      <c r="D999" s="4" t="s">
        <v>2191</v>
      </c>
      <c r="E999" s="4">
        <v>5212303</v>
      </c>
      <c r="F999" s="4" t="s">
        <v>2192</v>
      </c>
      <c r="G999" s="4" t="s">
        <v>215</v>
      </c>
      <c r="H999" s="13"/>
    </row>
    <row r="1000" s="1" customFormat="1" spans="1:8">
      <c r="A1000" s="4" t="s">
        <v>205</v>
      </c>
      <c r="B1000" s="4" t="s">
        <v>93</v>
      </c>
      <c r="C1000" s="4" t="s">
        <v>97</v>
      </c>
      <c r="D1000" s="4" t="s">
        <v>2193</v>
      </c>
      <c r="E1000" s="4">
        <v>5212501</v>
      </c>
      <c r="F1000" s="4" t="s">
        <v>2194</v>
      </c>
      <c r="G1000" s="4" t="s">
        <v>215</v>
      </c>
      <c r="H1000" s="13"/>
    </row>
    <row r="1001" s="1" customFormat="1" spans="1:8">
      <c r="A1001" s="4" t="s">
        <v>205</v>
      </c>
      <c r="B1001" s="4" t="s">
        <v>93</v>
      </c>
      <c r="C1001" s="4" t="s">
        <v>97</v>
      </c>
      <c r="D1001" s="4" t="s">
        <v>2195</v>
      </c>
      <c r="E1001" s="4">
        <v>5212600</v>
      </c>
      <c r="F1001" s="4" t="s">
        <v>2196</v>
      </c>
      <c r="G1001" s="4" t="s">
        <v>215</v>
      </c>
      <c r="H1001" s="13"/>
    </row>
    <row r="1002" s="1" customFormat="1" spans="1:8">
      <c r="A1002" s="4" t="s">
        <v>205</v>
      </c>
      <c r="B1002" s="4" t="s">
        <v>93</v>
      </c>
      <c r="C1002" s="4" t="s">
        <v>97</v>
      </c>
      <c r="D1002" s="4" t="s">
        <v>2197</v>
      </c>
      <c r="E1002" s="4">
        <v>5212907</v>
      </c>
      <c r="F1002" s="4" t="s">
        <v>2198</v>
      </c>
      <c r="G1002" s="4" t="s">
        <v>215</v>
      </c>
      <c r="H1002" s="13"/>
    </row>
    <row r="1003" s="1" customFormat="1" spans="1:8">
      <c r="A1003" s="4" t="s">
        <v>205</v>
      </c>
      <c r="B1003" s="4" t="s">
        <v>93</v>
      </c>
      <c r="C1003" s="4" t="s">
        <v>97</v>
      </c>
      <c r="D1003" s="4" t="s">
        <v>2199</v>
      </c>
      <c r="E1003" s="4">
        <v>5212956</v>
      </c>
      <c r="F1003" s="4" t="s">
        <v>2200</v>
      </c>
      <c r="G1003" s="4" t="s">
        <v>215</v>
      </c>
      <c r="H1003" s="13"/>
    </row>
    <row r="1004" s="1" customFormat="1" spans="1:8">
      <c r="A1004" s="4" t="s">
        <v>205</v>
      </c>
      <c r="B1004" s="4" t="s">
        <v>93</v>
      </c>
      <c r="C1004" s="4" t="s">
        <v>97</v>
      </c>
      <c r="D1004" s="4" t="s">
        <v>2201</v>
      </c>
      <c r="E1004" s="4">
        <v>5213004</v>
      </c>
      <c r="F1004" s="4" t="s">
        <v>2202</v>
      </c>
      <c r="G1004" s="4" t="s">
        <v>215</v>
      </c>
      <c r="H1004" s="13"/>
    </row>
    <row r="1005" s="1" customFormat="1" spans="1:8">
      <c r="A1005" s="4" t="s">
        <v>205</v>
      </c>
      <c r="B1005" s="4" t="s">
        <v>93</v>
      </c>
      <c r="C1005" s="4" t="s">
        <v>97</v>
      </c>
      <c r="D1005" s="4" t="s">
        <v>2203</v>
      </c>
      <c r="E1005" s="4">
        <v>5213053</v>
      </c>
      <c r="F1005" s="4" t="s">
        <v>2204</v>
      </c>
      <c r="G1005" s="4" t="s">
        <v>215</v>
      </c>
      <c r="H1005" s="13"/>
    </row>
    <row r="1006" s="1" customFormat="1" spans="1:8">
      <c r="A1006" s="4" t="s">
        <v>205</v>
      </c>
      <c r="B1006" s="4" t="s">
        <v>93</v>
      </c>
      <c r="C1006" s="4" t="s">
        <v>97</v>
      </c>
      <c r="D1006" s="4" t="s">
        <v>2205</v>
      </c>
      <c r="E1006" s="4">
        <v>5213400</v>
      </c>
      <c r="F1006" s="4" t="s">
        <v>2206</v>
      </c>
      <c r="G1006" s="4" t="s">
        <v>215</v>
      </c>
      <c r="H1006" s="13"/>
    </row>
    <row r="1007" s="1" customFormat="1" spans="1:8">
      <c r="A1007" s="4" t="s">
        <v>205</v>
      </c>
      <c r="B1007" s="4" t="s">
        <v>93</v>
      </c>
      <c r="C1007" s="4" t="s">
        <v>97</v>
      </c>
      <c r="D1007" s="4" t="s">
        <v>2207</v>
      </c>
      <c r="E1007" s="4">
        <v>5213707</v>
      </c>
      <c r="F1007" s="4" t="s">
        <v>2208</v>
      </c>
      <c r="G1007" s="4" t="s">
        <v>215</v>
      </c>
      <c r="H1007" s="13"/>
    </row>
    <row r="1008" s="1" customFormat="1" spans="1:8">
      <c r="A1008" s="4" t="s">
        <v>205</v>
      </c>
      <c r="B1008" s="4" t="s">
        <v>93</v>
      </c>
      <c r="C1008" s="4" t="s">
        <v>97</v>
      </c>
      <c r="D1008" s="4" t="s">
        <v>2209</v>
      </c>
      <c r="E1008" s="4">
        <v>5213756</v>
      </c>
      <c r="F1008" s="4" t="s">
        <v>2210</v>
      </c>
      <c r="G1008" s="4" t="s">
        <v>215</v>
      </c>
      <c r="H1008" s="13"/>
    </row>
    <row r="1009" s="1" customFormat="1" spans="1:8">
      <c r="A1009" s="4" t="s">
        <v>205</v>
      </c>
      <c r="B1009" s="4" t="s">
        <v>93</v>
      </c>
      <c r="C1009" s="4" t="s">
        <v>97</v>
      </c>
      <c r="D1009" s="4" t="s">
        <v>1663</v>
      </c>
      <c r="E1009" s="4">
        <v>5213806</v>
      </c>
      <c r="F1009" s="4" t="s">
        <v>2211</v>
      </c>
      <c r="G1009" s="4" t="s">
        <v>215</v>
      </c>
      <c r="H1009" s="13"/>
    </row>
    <row r="1010" s="1" customFormat="1" spans="1:8">
      <c r="A1010" s="4" t="s">
        <v>205</v>
      </c>
      <c r="B1010" s="4" t="s">
        <v>93</v>
      </c>
      <c r="C1010" s="4" t="s">
        <v>97</v>
      </c>
      <c r="D1010" s="4" t="s">
        <v>2212</v>
      </c>
      <c r="E1010" s="4">
        <v>5213855</v>
      </c>
      <c r="F1010" s="4" t="s">
        <v>2213</v>
      </c>
      <c r="G1010" s="4" t="s">
        <v>215</v>
      </c>
      <c r="H1010" s="13"/>
    </row>
    <row r="1011" s="1" customFormat="1" spans="1:8">
      <c r="A1011" s="4" t="s">
        <v>205</v>
      </c>
      <c r="B1011" s="4" t="s">
        <v>93</v>
      </c>
      <c r="C1011" s="4" t="s">
        <v>97</v>
      </c>
      <c r="D1011" s="4" t="s">
        <v>2214</v>
      </c>
      <c r="E1011" s="4">
        <v>5213905</v>
      </c>
      <c r="F1011" s="4" t="s">
        <v>2215</v>
      </c>
      <c r="G1011" s="4" t="s">
        <v>215</v>
      </c>
      <c r="H1011" s="13"/>
    </row>
    <row r="1012" s="1" customFormat="1" spans="1:8">
      <c r="A1012" s="4" t="s">
        <v>205</v>
      </c>
      <c r="B1012" s="4" t="s">
        <v>93</v>
      </c>
      <c r="C1012" s="4" t="s">
        <v>97</v>
      </c>
      <c r="D1012" s="4" t="s">
        <v>2216</v>
      </c>
      <c r="E1012" s="4">
        <v>5214408</v>
      </c>
      <c r="F1012" s="4" t="s">
        <v>2217</v>
      </c>
      <c r="G1012" s="4" t="s">
        <v>215</v>
      </c>
      <c r="H1012" s="13"/>
    </row>
    <row r="1013" s="1" customFormat="1" spans="1:8">
      <c r="A1013" s="4" t="s">
        <v>205</v>
      </c>
      <c r="B1013" s="4" t="s">
        <v>93</v>
      </c>
      <c r="C1013" s="4" t="s">
        <v>97</v>
      </c>
      <c r="D1013" s="4" t="s">
        <v>2218</v>
      </c>
      <c r="E1013" s="4">
        <v>5214705</v>
      </c>
      <c r="F1013" s="4" t="s">
        <v>2219</v>
      </c>
      <c r="G1013" s="4" t="s">
        <v>215</v>
      </c>
      <c r="H1013" s="13"/>
    </row>
    <row r="1014" s="1" customFormat="1" spans="1:8">
      <c r="A1014" s="4" t="s">
        <v>205</v>
      </c>
      <c r="B1014" s="4" t="s">
        <v>93</v>
      </c>
      <c r="C1014" s="4" t="s">
        <v>97</v>
      </c>
      <c r="D1014" s="4" t="s">
        <v>2220</v>
      </c>
      <c r="E1014" s="4">
        <v>5214804</v>
      </c>
      <c r="F1014" s="4" t="s">
        <v>2221</v>
      </c>
      <c r="G1014" s="4" t="s">
        <v>215</v>
      </c>
      <c r="H1014" s="13"/>
    </row>
    <row r="1015" s="1" customFormat="1" spans="1:8">
      <c r="A1015" s="4" t="s">
        <v>205</v>
      </c>
      <c r="B1015" s="4" t="s">
        <v>93</v>
      </c>
      <c r="C1015" s="4" t="s">
        <v>97</v>
      </c>
      <c r="D1015" s="4" t="s">
        <v>2222</v>
      </c>
      <c r="E1015" s="4">
        <v>5214861</v>
      </c>
      <c r="F1015" s="4" t="s">
        <v>2223</v>
      </c>
      <c r="G1015" s="4" t="s">
        <v>215</v>
      </c>
      <c r="H1015" s="13"/>
    </row>
    <row r="1016" s="1" customFormat="1" spans="1:8">
      <c r="A1016" s="4" t="s">
        <v>205</v>
      </c>
      <c r="B1016" s="4" t="s">
        <v>93</v>
      </c>
      <c r="C1016" s="4" t="s">
        <v>97</v>
      </c>
      <c r="D1016" s="4" t="s">
        <v>2224</v>
      </c>
      <c r="E1016" s="4">
        <v>5215009</v>
      </c>
      <c r="F1016" s="4" t="s">
        <v>2225</v>
      </c>
      <c r="G1016" s="4" t="s">
        <v>215</v>
      </c>
      <c r="H1016" s="13"/>
    </row>
    <row r="1017" s="1" customFormat="1" spans="1:8">
      <c r="A1017" s="4" t="s">
        <v>205</v>
      </c>
      <c r="B1017" s="4" t="s">
        <v>93</v>
      </c>
      <c r="C1017" s="4" t="s">
        <v>97</v>
      </c>
      <c r="D1017" s="4" t="s">
        <v>2226</v>
      </c>
      <c r="E1017" s="4">
        <v>5215207</v>
      </c>
      <c r="F1017" s="4" t="s">
        <v>2227</v>
      </c>
      <c r="G1017" s="4" t="s">
        <v>215</v>
      </c>
      <c r="H1017" s="13"/>
    </row>
    <row r="1018" s="1" customFormat="1" spans="1:8">
      <c r="A1018" s="4" t="s">
        <v>205</v>
      </c>
      <c r="B1018" s="4" t="s">
        <v>93</v>
      </c>
      <c r="C1018" s="4" t="s">
        <v>97</v>
      </c>
      <c r="D1018" s="4" t="s">
        <v>2228</v>
      </c>
      <c r="E1018" s="4">
        <v>5215231</v>
      </c>
      <c r="F1018" s="4" t="s">
        <v>2229</v>
      </c>
      <c r="G1018" s="4" t="s">
        <v>215</v>
      </c>
      <c r="H1018" s="13"/>
    </row>
    <row r="1019" s="1" customFormat="1" spans="1:8">
      <c r="A1019" s="4" t="s">
        <v>205</v>
      </c>
      <c r="B1019" s="4" t="s">
        <v>93</v>
      </c>
      <c r="C1019" s="4" t="s">
        <v>97</v>
      </c>
      <c r="D1019" s="4" t="s">
        <v>2230</v>
      </c>
      <c r="E1019" s="4">
        <v>5215306</v>
      </c>
      <c r="F1019" s="4" t="s">
        <v>2231</v>
      </c>
      <c r="G1019" s="4" t="s">
        <v>215</v>
      </c>
      <c r="H1019" s="13"/>
    </row>
    <row r="1020" s="1" customFormat="1" spans="1:8">
      <c r="A1020" s="4" t="s">
        <v>205</v>
      </c>
      <c r="B1020" s="4" t="s">
        <v>93</v>
      </c>
      <c r="C1020" s="4" t="s">
        <v>97</v>
      </c>
      <c r="D1020" s="4" t="s">
        <v>2232</v>
      </c>
      <c r="E1020" s="4">
        <v>5215405</v>
      </c>
      <c r="F1020" s="4" t="s">
        <v>2233</v>
      </c>
      <c r="G1020" s="4" t="s">
        <v>215</v>
      </c>
      <c r="H1020" s="13"/>
    </row>
    <row r="1021" s="1" customFormat="1" spans="1:8">
      <c r="A1021" s="4" t="s">
        <v>205</v>
      </c>
      <c r="B1021" s="4" t="s">
        <v>93</v>
      </c>
      <c r="C1021" s="4" t="s">
        <v>97</v>
      </c>
      <c r="D1021" s="4" t="s">
        <v>2234</v>
      </c>
      <c r="E1021" s="4">
        <v>5215504</v>
      </c>
      <c r="F1021" s="4" t="s">
        <v>2235</v>
      </c>
      <c r="G1021" s="4" t="s">
        <v>215</v>
      </c>
      <c r="H1021" s="13"/>
    </row>
    <row r="1022" s="1" customFormat="1" spans="1:8">
      <c r="A1022" s="4" t="s">
        <v>205</v>
      </c>
      <c r="B1022" s="4" t="s">
        <v>93</v>
      </c>
      <c r="C1022" s="4" t="s">
        <v>97</v>
      </c>
      <c r="D1022" s="4" t="s">
        <v>2236</v>
      </c>
      <c r="E1022" s="4">
        <v>5215603</v>
      </c>
      <c r="F1022" s="4" t="s">
        <v>2237</v>
      </c>
      <c r="G1022" s="4" t="s">
        <v>215</v>
      </c>
      <c r="H1022" s="13"/>
    </row>
    <row r="1023" s="1" customFormat="1" spans="1:8">
      <c r="A1023" s="4" t="s">
        <v>205</v>
      </c>
      <c r="B1023" s="4" t="s">
        <v>93</v>
      </c>
      <c r="C1023" s="4" t="s">
        <v>97</v>
      </c>
      <c r="D1023" s="4" t="s">
        <v>2238</v>
      </c>
      <c r="E1023" s="4">
        <v>5215652</v>
      </c>
      <c r="F1023" s="4" t="s">
        <v>2239</v>
      </c>
      <c r="G1023" s="4" t="s">
        <v>215</v>
      </c>
      <c r="H1023" s="13"/>
    </row>
    <row r="1024" s="1" customFormat="1" spans="1:8">
      <c r="A1024" s="4" t="s">
        <v>205</v>
      </c>
      <c r="B1024" s="4" t="s">
        <v>93</v>
      </c>
      <c r="C1024" s="4" t="s">
        <v>97</v>
      </c>
      <c r="D1024" s="4" t="s">
        <v>2240</v>
      </c>
      <c r="E1024" s="4">
        <v>5215702</v>
      </c>
      <c r="F1024" s="4" t="s">
        <v>2241</v>
      </c>
      <c r="G1024" s="4" t="s">
        <v>215</v>
      </c>
      <c r="H1024" s="13"/>
    </row>
    <row r="1025" s="1" customFormat="1" spans="1:8">
      <c r="A1025" s="4" t="s">
        <v>205</v>
      </c>
      <c r="B1025" s="4" t="s">
        <v>93</v>
      </c>
      <c r="C1025" s="4" t="s">
        <v>97</v>
      </c>
      <c r="D1025" s="4" t="s">
        <v>2242</v>
      </c>
      <c r="E1025" s="4">
        <v>5215801</v>
      </c>
      <c r="F1025" s="4" t="s">
        <v>2243</v>
      </c>
      <c r="G1025" s="4" t="s">
        <v>215</v>
      </c>
      <c r="H1025" s="13"/>
    </row>
    <row r="1026" s="1" customFormat="1" spans="1:8">
      <c r="A1026" s="4" t="s">
        <v>205</v>
      </c>
      <c r="B1026" s="4" t="s">
        <v>93</v>
      </c>
      <c r="C1026" s="4" t="s">
        <v>97</v>
      </c>
      <c r="D1026" s="4" t="s">
        <v>2244</v>
      </c>
      <c r="E1026" s="4">
        <v>5215900</v>
      </c>
      <c r="F1026" s="4" t="s">
        <v>2245</v>
      </c>
      <c r="G1026" s="4" t="s">
        <v>215</v>
      </c>
      <c r="H1026" s="13"/>
    </row>
    <row r="1027" s="1" customFormat="1" spans="1:8">
      <c r="A1027" s="4" t="s">
        <v>205</v>
      </c>
      <c r="B1027" s="4" t="s">
        <v>93</v>
      </c>
      <c r="C1027" s="4" t="s">
        <v>97</v>
      </c>
      <c r="D1027" s="4" t="s">
        <v>2246</v>
      </c>
      <c r="E1027" s="4">
        <v>5216007</v>
      </c>
      <c r="F1027" s="4" t="s">
        <v>2247</v>
      </c>
      <c r="G1027" s="4" t="s">
        <v>215</v>
      </c>
      <c r="H1027" s="13"/>
    </row>
    <row r="1028" s="1" customFormat="1" spans="1:8">
      <c r="A1028" s="4" t="s">
        <v>205</v>
      </c>
      <c r="B1028" s="4" t="s">
        <v>93</v>
      </c>
      <c r="C1028" s="4" t="s">
        <v>97</v>
      </c>
      <c r="D1028" s="4" t="s">
        <v>2248</v>
      </c>
      <c r="E1028" s="4">
        <v>5216403</v>
      </c>
      <c r="F1028" s="4" t="s">
        <v>2249</v>
      </c>
      <c r="G1028" s="4" t="s">
        <v>215</v>
      </c>
      <c r="H1028" s="13"/>
    </row>
    <row r="1029" s="1" customFormat="1" spans="1:8">
      <c r="A1029" s="4" t="s">
        <v>205</v>
      </c>
      <c r="B1029" s="4" t="s">
        <v>93</v>
      </c>
      <c r="C1029" s="4" t="s">
        <v>97</v>
      </c>
      <c r="D1029" s="4" t="s">
        <v>2250</v>
      </c>
      <c r="E1029" s="4">
        <v>5216809</v>
      </c>
      <c r="F1029" s="4" t="s">
        <v>2251</v>
      </c>
      <c r="G1029" s="4" t="s">
        <v>215</v>
      </c>
      <c r="H1029" s="13"/>
    </row>
    <row r="1030" s="1" customFormat="1" spans="1:8">
      <c r="A1030" s="4" t="s">
        <v>205</v>
      </c>
      <c r="B1030" s="4" t="s">
        <v>93</v>
      </c>
      <c r="C1030" s="4" t="s">
        <v>97</v>
      </c>
      <c r="D1030" s="4" t="s">
        <v>2252</v>
      </c>
      <c r="E1030" s="4">
        <v>5216908</v>
      </c>
      <c r="F1030" s="4" t="s">
        <v>2253</v>
      </c>
      <c r="G1030" s="4" t="s">
        <v>215</v>
      </c>
      <c r="H1030" s="13"/>
    </row>
    <row r="1031" s="1" customFormat="1" spans="1:8">
      <c r="A1031" s="4" t="s">
        <v>205</v>
      </c>
      <c r="B1031" s="4" t="s">
        <v>93</v>
      </c>
      <c r="C1031" s="4" t="s">
        <v>97</v>
      </c>
      <c r="D1031" s="4" t="s">
        <v>2254</v>
      </c>
      <c r="E1031" s="4">
        <v>5217104</v>
      </c>
      <c r="F1031" s="4" t="s">
        <v>2255</v>
      </c>
      <c r="G1031" s="4" t="s">
        <v>215</v>
      </c>
      <c r="H1031" s="13"/>
    </row>
    <row r="1032" s="1" customFormat="1" spans="1:8">
      <c r="A1032" s="4" t="s">
        <v>205</v>
      </c>
      <c r="B1032" s="4" t="s">
        <v>93</v>
      </c>
      <c r="C1032" s="4" t="s">
        <v>97</v>
      </c>
      <c r="D1032" s="4" t="s">
        <v>2256</v>
      </c>
      <c r="E1032" s="4">
        <v>5217302</v>
      </c>
      <c r="F1032" s="4" t="s">
        <v>2257</v>
      </c>
      <c r="G1032" s="4" t="s">
        <v>215</v>
      </c>
      <c r="H1032" s="13"/>
    </row>
    <row r="1033" s="1" customFormat="1" spans="1:8">
      <c r="A1033" s="4" t="s">
        <v>205</v>
      </c>
      <c r="B1033" s="4" t="s">
        <v>93</v>
      </c>
      <c r="C1033" s="4" t="s">
        <v>97</v>
      </c>
      <c r="D1033" s="4" t="s">
        <v>2258</v>
      </c>
      <c r="E1033" s="4">
        <v>5217401</v>
      </c>
      <c r="F1033" s="4" t="s">
        <v>2259</v>
      </c>
      <c r="G1033" s="4" t="s">
        <v>215</v>
      </c>
      <c r="H1033" s="13"/>
    </row>
    <row r="1034" s="1" customFormat="1" spans="1:8">
      <c r="A1034" s="4" t="s">
        <v>205</v>
      </c>
      <c r="B1034" s="4" t="s">
        <v>93</v>
      </c>
      <c r="C1034" s="4" t="s">
        <v>97</v>
      </c>
      <c r="D1034" s="4" t="s">
        <v>1832</v>
      </c>
      <c r="E1034" s="4">
        <v>5217609</v>
      </c>
      <c r="F1034" s="4" t="s">
        <v>2260</v>
      </c>
      <c r="G1034" s="4" t="s">
        <v>215</v>
      </c>
      <c r="H1034" s="13"/>
    </row>
    <row r="1035" s="1" customFormat="1" spans="1:8">
      <c r="A1035" s="4" t="s">
        <v>205</v>
      </c>
      <c r="B1035" s="4" t="s">
        <v>93</v>
      </c>
      <c r="C1035" s="4" t="s">
        <v>97</v>
      </c>
      <c r="D1035" s="4" t="s">
        <v>2261</v>
      </c>
      <c r="E1035" s="4">
        <v>5217708</v>
      </c>
      <c r="F1035" s="4" t="s">
        <v>2262</v>
      </c>
      <c r="G1035" s="4" t="s">
        <v>215</v>
      </c>
      <c r="H1035" s="13"/>
    </row>
    <row r="1036" s="1" customFormat="1" spans="1:8">
      <c r="A1036" s="4" t="s">
        <v>205</v>
      </c>
      <c r="B1036" s="4" t="s">
        <v>93</v>
      </c>
      <c r="C1036" s="4" t="s">
        <v>97</v>
      </c>
      <c r="D1036" s="4" t="s">
        <v>2263</v>
      </c>
      <c r="E1036" s="4">
        <v>5218052</v>
      </c>
      <c r="F1036" s="4" t="s">
        <v>2264</v>
      </c>
      <c r="G1036" s="4" t="s">
        <v>215</v>
      </c>
      <c r="H1036" s="13"/>
    </row>
    <row r="1037" s="1" customFormat="1" spans="1:8">
      <c r="A1037" s="4" t="s">
        <v>205</v>
      </c>
      <c r="B1037" s="4" t="s">
        <v>93</v>
      </c>
      <c r="C1037" s="4" t="s">
        <v>97</v>
      </c>
      <c r="D1037" s="4" t="s">
        <v>2265</v>
      </c>
      <c r="E1037" s="4">
        <v>5218391</v>
      </c>
      <c r="F1037" s="4" t="s">
        <v>2266</v>
      </c>
      <c r="G1037" s="4" t="s">
        <v>215</v>
      </c>
      <c r="H1037" s="13"/>
    </row>
    <row r="1038" s="1" customFormat="1" spans="1:8">
      <c r="A1038" s="4" t="s">
        <v>205</v>
      </c>
      <c r="B1038" s="4" t="s">
        <v>93</v>
      </c>
      <c r="C1038" s="4" t="s">
        <v>97</v>
      </c>
      <c r="D1038" s="4" t="s">
        <v>2267</v>
      </c>
      <c r="E1038" s="4">
        <v>5218508</v>
      </c>
      <c r="F1038" s="4" t="s">
        <v>2268</v>
      </c>
      <c r="G1038" s="4" t="s">
        <v>215</v>
      </c>
      <c r="H1038" s="13"/>
    </row>
    <row r="1039" s="1" customFormat="1" spans="1:8">
      <c r="A1039" s="4" t="s">
        <v>205</v>
      </c>
      <c r="B1039" s="4" t="s">
        <v>93</v>
      </c>
      <c r="C1039" s="4" t="s">
        <v>97</v>
      </c>
      <c r="D1039" s="4" t="s">
        <v>2269</v>
      </c>
      <c r="E1039" s="4">
        <v>5218607</v>
      </c>
      <c r="F1039" s="4" t="s">
        <v>2270</v>
      </c>
      <c r="G1039" s="4" t="s">
        <v>215</v>
      </c>
      <c r="H1039" s="13"/>
    </row>
    <row r="1040" s="1" customFormat="1" spans="1:8">
      <c r="A1040" s="4" t="s">
        <v>205</v>
      </c>
      <c r="B1040" s="4" t="s">
        <v>93</v>
      </c>
      <c r="C1040" s="4" t="s">
        <v>97</v>
      </c>
      <c r="D1040" s="4" t="s">
        <v>2271</v>
      </c>
      <c r="E1040" s="4">
        <v>5218706</v>
      </c>
      <c r="F1040" s="4" t="s">
        <v>2272</v>
      </c>
      <c r="G1040" s="4" t="s">
        <v>215</v>
      </c>
      <c r="H1040" s="13"/>
    </row>
    <row r="1041" s="1" customFormat="1" spans="1:8">
      <c r="A1041" s="4" t="s">
        <v>205</v>
      </c>
      <c r="B1041" s="4" t="s">
        <v>93</v>
      </c>
      <c r="C1041" s="4" t="s">
        <v>97</v>
      </c>
      <c r="D1041" s="4" t="s">
        <v>2273</v>
      </c>
      <c r="E1041" s="4">
        <v>5218789</v>
      </c>
      <c r="F1041" s="4" t="s">
        <v>2274</v>
      </c>
      <c r="G1041" s="4" t="s">
        <v>215</v>
      </c>
      <c r="H1041" s="13"/>
    </row>
    <row r="1042" s="1" customFormat="1" spans="1:8">
      <c r="A1042" s="4" t="s">
        <v>205</v>
      </c>
      <c r="B1042" s="4" t="s">
        <v>93</v>
      </c>
      <c r="C1042" s="4" t="s">
        <v>97</v>
      </c>
      <c r="D1042" s="4" t="s">
        <v>2275</v>
      </c>
      <c r="E1042" s="4">
        <v>5218805</v>
      </c>
      <c r="F1042" s="4" t="s">
        <v>2276</v>
      </c>
      <c r="G1042" s="4" t="s">
        <v>215</v>
      </c>
      <c r="H1042" s="13"/>
    </row>
    <row r="1043" s="1" customFormat="1" spans="1:8">
      <c r="A1043" s="4" t="s">
        <v>205</v>
      </c>
      <c r="B1043" s="4" t="s">
        <v>93</v>
      </c>
      <c r="C1043" s="4" t="s">
        <v>97</v>
      </c>
      <c r="D1043" s="4" t="s">
        <v>2277</v>
      </c>
      <c r="E1043" s="4">
        <v>5218904</v>
      </c>
      <c r="F1043" s="4" t="s">
        <v>2278</v>
      </c>
      <c r="G1043" s="4" t="s">
        <v>215</v>
      </c>
      <c r="H1043" s="13"/>
    </row>
    <row r="1044" s="1" customFormat="1" spans="1:8">
      <c r="A1044" s="4" t="s">
        <v>205</v>
      </c>
      <c r="B1044" s="4" t="s">
        <v>93</v>
      </c>
      <c r="C1044" s="4" t="s">
        <v>97</v>
      </c>
      <c r="D1044" s="4" t="s">
        <v>2279</v>
      </c>
      <c r="E1044" s="4">
        <v>5219001</v>
      </c>
      <c r="F1044" s="4" t="s">
        <v>2280</v>
      </c>
      <c r="G1044" s="4" t="s">
        <v>215</v>
      </c>
      <c r="H1044" s="13"/>
    </row>
    <row r="1045" s="1" customFormat="1" spans="1:8">
      <c r="A1045" s="4" t="s">
        <v>205</v>
      </c>
      <c r="B1045" s="4" t="s">
        <v>93</v>
      </c>
      <c r="C1045" s="4" t="s">
        <v>97</v>
      </c>
      <c r="D1045" s="4" t="s">
        <v>2281</v>
      </c>
      <c r="E1045" s="4">
        <v>5219100</v>
      </c>
      <c r="F1045" s="4" t="s">
        <v>2282</v>
      </c>
      <c r="G1045" s="4" t="s">
        <v>215</v>
      </c>
      <c r="H1045" s="13"/>
    </row>
    <row r="1046" s="1" customFormat="1" spans="1:8">
      <c r="A1046" s="4" t="s">
        <v>205</v>
      </c>
      <c r="B1046" s="4" t="s">
        <v>93</v>
      </c>
      <c r="C1046" s="4" t="s">
        <v>97</v>
      </c>
      <c r="D1046" s="4" t="s">
        <v>2283</v>
      </c>
      <c r="E1046" s="4">
        <v>5219209</v>
      </c>
      <c r="F1046" s="4" t="s">
        <v>2284</v>
      </c>
      <c r="G1046" s="4" t="s">
        <v>215</v>
      </c>
      <c r="H1046" s="13"/>
    </row>
    <row r="1047" s="1" customFormat="1" spans="1:8">
      <c r="A1047" s="4" t="s">
        <v>205</v>
      </c>
      <c r="B1047" s="4" t="s">
        <v>93</v>
      </c>
      <c r="C1047" s="4" t="s">
        <v>97</v>
      </c>
      <c r="D1047" s="4" t="s">
        <v>2285</v>
      </c>
      <c r="E1047" s="4">
        <v>5219258</v>
      </c>
      <c r="F1047" s="4" t="s">
        <v>2286</v>
      </c>
      <c r="G1047" s="4" t="s">
        <v>215</v>
      </c>
      <c r="H1047" s="13"/>
    </row>
    <row r="1048" s="1" customFormat="1" spans="1:8">
      <c r="A1048" s="4" t="s">
        <v>205</v>
      </c>
      <c r="B1048" s="4" t="s">
        <v>93</v>
      </c>
      <c r="C1048" s="4" t="s">
        <v>97</v>
      </c>
      <c r="D1048" s="4" t="s">
        <v>2287</v>
      </c>
      <c r="E1048" s="4">
        <v>5219308</v>
      </c>
      <c r="F1048" s="4" t="s">
        <v>2288</v>
      </c>
      <c r="G1048" s="4" t="s">
        <v>215</v>
      </c>
      <c r="H1048" s="13"/>
    </row>
    <row r="1049" s="1" customFormat="1" spans="1:8">
      <c r="A1049" s="4" t="s">
        <v>205</v>
      </c>
      <c r="B1049" s="4" t="s">
        <v>93</v>
      </c>
      <c r="C1049" s="4" t="s">
        <v>97</v>
      </c>
      <c r="D1049" s="4" t="s">
        <v>2289</v>
      </c>
      <c r="E1049" s="4">
        <v>5219357</v>
      </c>
      <c r="F1049" s="4" t="s">
        <v>2290</v>
      </c>
      <c r="G1049" s="4" t="s">
        <v>215</v>
      </c>
      <c r="H1049" s="13"/>
    </row>
    <row r="1050" s="1" customFormat="1" spans="1:8">
      <c r="A1050" s="4" t="s">
        <v>205</v>
      </c>
      <c r="B1050" s="4" t="s">
        <v>93</v>
      </c>
      <c r="C1050" s="4" t="s">
        <v>97</v>
      </c>
      <c r="D1050" s="4" t="s">
        <v>2291</v>
      </c>
      <c r="E1050" s="4">
        <v>5219456</v>
      </c>
      <c r="F1050" s="4" t="s">
        <v>2292</v>
      </c>
      <c r="G1050" s="4" t="s">
        <v>215</v>
      </c>
      <c r="H1050" s="13"/>
    </row>
    <row r="1051" s="1" customFormat="1" spans="1:8">
      <c r="A1051" s="4" t="s">
        <v>205</v>
      </c>
      <c r="B1051" s="4" t="s">
        <v>93</v>
      </c>
      <c r="C1051" s="4" t="s">
        <v>97</v>
      </c>
      <c r="D1051" s="4" t="s">
        <v>2293</v>
      </c>
      <c r="E1051" s="4">
        <v>5219506</v>
      </c>
      <c r="F1051" s="4" t="s">
        <v>2294</v>
      </c>
      <c r="G1051" s="4" t="s">
        <v>215</v>
      </c>
      <c r="H1051" s="13"/>
    </row>
    <row r="1052" s="1" customFormat="1" spans="1:8">
      <c r="A1052" s="4" t="s">
        <v>205</v>
      </c>
      <c r="B1052" s="4" t="s">
        <v>93</v>
      </c>
      <c r="C1052" s="4" t="s">
        <v>97</v>
      </c>
      <c r="D1052" s="4" t="s">
        <v>2295</v>
      </c>
      <c r="E1052" s="4">
        <v>5219704</v>
      </c>
      <c r="F1052" s="4" t="s">
        <v>2296</v>
      </c>
      <c r="G1052" s="4" t="s">
        <v>215</v>
      </c>
      <c r="H1052" s="13"/>
    </row>
    <row r="1053" s="1" customFormat="1" spans="1:8">
      <c r="A1053" s="4" t="s">
        <v>205</v>
      </c>
      <c r="B1053" s="4" t="s">
        <v>93</v>
      </c>
      <c r="C1053" s="4" t="s">
        <v>97</v>
      </c>
      <c r="D1053" s="4" t="s">
        <v>2297</v>
      </c>
      <c r="E1053" s="4">
        <v>5219712</v>
      </c>
      <c r="F1053" s="4" t="s">
        <v>2298</v>
      </c>
      <c r="G1053" s="4" t="s">
        <v>215</v>
      </c>
      <c r="H1053" s="13"/>
    </row>
    <row r="1054" s="1" customFormat="1" spans="1:8">
      <c r="A1054" s="4" t="s">
        <v>205</v>
      </c>
      <c r="B1054" s="4" t="s">
        <v>93</v>
      </c>
      <c r="C1054" s="4" t="s">
        <v>97</v>
      </c>
      <c r="D1054" s="4" t="s">
        <v>2299</v>
      </c>
      <c r="E1054" s="4">
        <v>5219753</v>
      </c>
      <c r="F1054" s="4" t="s">
        <v>2300</v>
      </c>
      <c r="G1054" s="4" t="s">
        <v>215</v>
      </c>
      <c r="H1054" s="13"/>
    </row>
    <row r="1055" s="1" customFormat="1" spans="1:8">
      <c r="A1055" s="4" t="s">
        <v>205</v>
      </c>
      <c r="B1055" s="4" t="s">
        <v>93</v>
      </c>
      <c r="C1055" s="4" t="s">
        <v>97</v>
      </c>
      <c r="D1055" s="4" t="s">
        <v>2301</v>
      </c>
      <c r="E1055" s="4">
        <v>5220603</v>
      </c>
      <c r="F1055" s="4" t="s">
        <v>2302</v>
      </c>
      <c r="G1055" s="4" t="s">
        <v>215</v>
      </c>
      <c r="H1055" s="13"/>
    </row>
    <row r="1056" s="1" customFormat="1" spans="1:8">
      <c r="A1056" s="4" t="s">
        <v>205</v>
      </c>
      <c r="B1056" s="4" t="s">
        <v>93</v>
      </c>
      <c r="C1056" s="4" t="s">
        <v>97</v>
      </c>
      <c r="D1056" s="4" t="s">
        <v>2303</v>
      </c>
      <c r="E1056" s="4">
        <v>5219902</v>
      </c>
      <c r="F1056" s="4" t="s">
        <v>2304</v>
      </c>
      <c r="G1056" s="4" t="s">
        <v>215</v>
      </c>
      <c r="H1056" s="13"/>
    </row>
    <row r="1057" s="1" customFormat="1" spans="1:8">
      <c r="A1057" s="4" t="s">
        <v>205</v>
      </c>
      <c r="B1057" s="4" t="s">
        <v>93</v>
      </c>
      <c r="C1057" s="4" t="s">
        <v>97</v>
      </c>
      <c r="D1057" s="4" t="s">
        <v>2305</v>
      </c>
      <c r="E1057" s="4">
        <v>5220058</v>
      </c>
      <c r="F1057" s="4" t="s">
        <v>2306</v>
      </c>
      <c r="G1057" s="4" t="s">
        <v>215</v>
      </c>
      <c r="H1057" s="13"/>
    </row>
    <row r="1058" s="1" customFormat="1" spans="1:8">
      <c r="A1058" s="4" t="s">
        <v>205</v>
      </c>
      <c r="B1058" s="4" t="s">
        <v>93</v>
      </c>
      <c r="C1058" s="4" t="s">
        <v>97</v>
      </c>
      <c r="D1058" s="4" t="s">
        <v>2307</v>
      </c>
      <c r="E1058" s="4">
        <v>5220157</v>
      </c>
      <c r="F1058" s="4" t="s">
        <v>2308</v>
      </c>
      <c r="G1058" s="4" t="s">
        <v>215</v>
      </c>
      <c r="H1058" s="13"/>
    </row>
    <row r="1059" s="1" customFormat="1" spans="1:8">
      <c r="A1059" s="4" t="s">
        <v>205</v>
      </c>
      <c r="B1059" s="4" t="s">
        <v>93</v>
      </c>
      <c r="C1059" s="4" t="s">
        <v>97</v>
      </c>
      <c r="D1059" s="4" t="s">
        <v>2309</v>
      </c>
      <c r="E1059" s="4">
        <v>5220108</v>
      </c>
      <c r="F1059" s="4" t="s">
        <v>2310</v>
      </c>
      <c r="G1059" s="4" t="s">
        <v>215</v>
      </c>
      <c r="H1059" s="13"/>
    </row>
    <row r="1060" s="1" customFormat="1" spans="1:8">
      <c r="A1060" s="4" t="s">
        <v>205</v>
      </c>
      <c r="B1060" s="4" t="s">
        <v>93</v>
      </c>
      <c r="C1060" s="4" t="s">
        <v>97</v>
      </c>
      <c r="D1060" s="4" t="s">
        <v>2311</v>
      </c>
      <c r="E1060" s="4">
        <v>5220264</v>
      </c>
      <c r="F1060" s="4" t="s">
        <v>2312</v>
      </c>
      <c r="G1060" s="4" t="s">
        <v>215</v>
      </c>
      <c r="H1060" s="13"/>
    </row>
    <row r="1061" s="1" customFormat="1" spans="1:8">
      <c r="A1061" s="4" t="s">
        <v>205</v>
      </c>
      <c r="B1061" s="4" t="s">
        <v>93</v>
      </c>
      <c r="C1061" s="4" t="s">
        <v>97</v>
      </c>
      <c r="D1061" s="4" t="s">
        <v>2313</v>
      </c>
      <c r="E1061" s="4">
        <v>5220280</v>
      </c>
      <c r="F1061" s="4" t="s">
        <v>2314</v>
      </c>
      <c r="G1061" s="4" t="s">
        <v>215</v>
      </c>
      <c r="H1061" s="13"/>
    </row>
    <row r="1062" s="1" customFormat="1" spans="1:8">
      <c r="A1062" s="4" t="s">
        <v>205</v>
      </c>
      <c r="B1062" s="4" t="s">
        <v>93</v>
      </c>
      <c r="C1062" s="4" t="s">
        <v>97</v>
      </c>
      <c r="D1062" s="4" t="s">
        <v>2315</v>
      </c>
      <c r="E1062" s="4">
        <v>5221007</v>
      </c>
      <c r="F1062" s="4" t="s">
        <v>2316</v>
      </c>
      <c r="G1062" s="4" t="s">
        <v>215</v>
      </c>
      <c r="H1062" s="13"/>
    </row>
    <row r="1063" s="1" customFormat="1" spans="1:8">
      <c r="A1063" s="4" t="s">
        <v>205</v>
      </c>
      <c r="B1063" s="4" t="s">
        <v>93</v>
      </c>
      <c r="C1063" s="4" t="s">
        <v>97</v>
      </c>
      <c r="D1063" s="4" t="s">
        <v>2317</v>
      </c>
      <c r="E1063" s="4">
        <v>5221304</v>
      </c>
      <c r="F1063" s="4" t="s">
        <v>2318</v>
      </c>
      <c r="G1063" s="4" t="s">
        <v>215</v>
      </c>
      <c r="H1063" s="13"/>
    </row>
    <row r="1064" s="1" customFormat="1" spans="1:8">
      <c r="A1064" s="4" t="s">
        <v>205</v>
      </c>
      <c r="B1064" s="4" t="s">
        <v>93</v>
      </c>
      <c r="C1064" s="4" t="s">
        <v>97</v>
      </c>
      <c r="D1064" s="4" t="s">
        <v>2319</v>
      </c>
      <c r="E1064" s="4">
        <v>5221551</v>
      </c>
      <c r="F1064" s="4" t="s">
        <v>2320</v>
      </c>
      <c r="G1064" s="4" t="s">
        <v>215</v>
      </c>
      <c r="H1064" s="13"/>
    </row>
    <row r="1065" s="1" customFormat="1" spans="1:8">
      <c r="A1065" s="4" t="s">
        <v>205</v>
      </c>
      <c r="B1065" s="4" t="s">
        <v>93</v>
      </c>
      <c r="C1065" s="4" t="s">
        <v>97</v>
      </c>
      <c r="D1065" s="4" t="s">
        <v>2321</v>
      </c>
      <c r="E1065" s="4">
        <v>5221502</v>
      </c>
      <c r="F1065" s="4" t="s">
        <v>2322</v>
      </c>
      <c r="G1065" s="4" t="s">
        <v>215</v>
      </c>
      <c r="H1065" s="13"/>
    </row>
    <row r="1066" s="1" customFormat="1" spans="1:8">
      <c r="A1066" s="4" t="s">
        <v>205</v>
      </c>
      <c r="B1066" s="4" t="s">
        <v>93</v>
      </c>
      <c r="C1066" s="4" t="s">
        <v>97</v>
      </c>
      <c r="D1066" s="4" t="s">
        <v>2323</v>
      </c>
      <c r="E1066" s="4">
        <v>5221700</v>
      </c>
      <c r="F1066" s="4" t="s">
        <v>2324</v>
      </c>
      <c r="G1066" s="4" t="s">
        <v>215</v>
      </c>
      <c r="H1066" s="13"/>
    </row>
    <row r="1067" s="1" customFormat="1" spans="1:8">
      <c r="A1067" s="4" t="s">
        <v>205</v>
      </c>
      <c r="B1067" s="4" t="s">
        <v>93</v>
      </c>
      <c r="C1067" s="4" t="s">
        <v>97</v>
      </c>
      <c r="D1067" s="4" t="s">
        <v>2325</v>
      </c>
      <c r="E1067" s="4">
        <v>5221601</v>
      </c>
      <c r="F1067" s="4" t="s">
        <v>2326</v>
      </c>
      <c r="G1067" s="4" t="s">
        <v>215</v>
      </c>
      <c r="H1067" s="13"/>
    </row>
    <row r="1068" s="1" customFormat="1" spans="1:8">
      <c r="A1068" s="4" t="s">
        <v>205</v>
      </c>
      <c r="B1068" s="4" t="s">
        <v>93</v>
      </c>
      <c r="C1068" s="4" t="s">
        <v>97</v>
      </c>
      <c r="D1068" s="4" t="s">
        <v>2327</v>
      </c>
      <c r="E1068" s="4">
        <v>5221809</v>
      </c>
      <c r="F1068" s="4" t="s">
        <v>2328</v>
      </c>
      <c r="G1068" s="4" t="s">
        <v>215</v>
      </c>
      <c r="H1068" s="13"/>
    </row>
    <row r="1069" s="1" customFormat="1" spans="1:8">
      <c r="A1069" s="4" t="s">
        <v>205</v>
      </c>
      <c r="B1069" s="4" t="s">
        <v>93</v>
      </c>
      <c r="C1069" s="4" t="s">
        <v>97</v>
      </c>
      <c r="D1069" s="4" t="s">
        <v>2329</v>
      </c>
      <c r="E1069" s="4">
        <v>5221858</v>
      </c>
      <c r="F1069" s="4" t="s">
        <v>2330</v>
      </c>
      <c r="G1069" s="4" t="s">
        <v>215</v>
      </c>
      <c r="H1069" s="13"/>
    </row>
    <row r="1070" s="1" customFormat="1" spans="1:8">
      <c r="A1070" s="4" t="s">
        <v>205</v>
      </c>
      <c r="B1070" s="4" t="s">
        <v>93</v>
      </c>
      <c r="C1070" s="4" t="s">
        <v>97</v>
      </c>
      <c r="D1070" s="4" t="s">
        <v>2331</v>
      </c>
      <c r="E1070" s="4">
        <v>5221908</v>
      </c>
      <c r="F1070" s="4" t="s">
        <v>2332</v>
      </c>
      <c r="G1070" s="4" t="s">
        <v>215</v>
      </c>
      <c r="H1070" s="13"/>
    </row>
    <row r="1071" s="1" customFormat="1" spans="1:8">
      <c r="A1071" s="4" t="s">
        <v>205</v>
      </c>
      <c r="B1071" s="4" t="s">
        <v>93</v>
      </c>
      <c r="C1071" s="4" t="s">
        <v>97</v>
      </c>
      <c r="D1071" s="4" t="s">
        <v>2333</v>
      </c>
      <c r="E1071" s="4">
        <v>5222005</v>
      </c>
      <c r="F1071" s="4" t="s">
        <v>2334</v>
      </c>
      <c r="G1071" s="4" t="s">
        <v>215</v>
      </c>
      <c r="H1071" s="13"/>
    </row>
    <row r="1072" s="1" customFormat="1" spans="1:8">
      <c r="A1072" s="4" t="s">
        <v>205</v>
      </c>
      <c r="B1072" s="4" t="s">
        <v>93</v>
      </c>
      <c r="C1072" s="4" t="s">
        <v>97</v>
      </c>
      <c r="D1072" s="4" t="s">
        <v>2335</v>
      </c>
      <c r="E1072" s="4">
        <v>5222054</v>
      </c>
      <c r="F1072" s="4" t="s">
        <v>2336</v>
      </c>
      <c r="G1072" s="4" t="s">
        <v>215</v>
      </c>
      <c r="H1072" s="13"/>
    </row>
    <row r="1073" s="1" customFormat="1" spans="1:8">
      <c r="A1073" s="4" t="s">
        <v>205</v>
      </c>
      <c r="B1073" s="4" t="s">
        <v>93</v>
      </c>
      <c r="C1073" s="4" t="s">
        <v>97</v>
      </c>
      <c r="D1073" s="4" t="s">
        <v>2337</v>
      </c>
      <c r="E1073" s="4">
        <v>5222302</v>
      </c>
      <c r="F1073" s="4" t="s">
        <v>2211</v>
      </c>
      <c r="G1073" s="4" t="s">
        <v>215</v>
      </c>
      <c r="H1073" s="13"/>
    </row>
    <row r="1074" s="1" customFormat="1" spans="1:8">
      <c r="A1074" s="4" t="s">
        <v>205</v>
      </c>
      <c r="B1074" s="4" t="s">
        <v>93</v>
      </c>
      <c r="C1074" s="4" t="s">
        <v>97</v>
      </c>
      <c r="D1074" s="4" t="s">
        <v>2338</v>
      </c>
      <c r="E1074" s="4">
        <v>5200209</v>
      </c>
      <c r="F1074" s="4" t="s">
        <v>2339</v>
      </c>
      <c r="G1074" s="4" t="s">
        <v>215</v>
      </c>
      <c r="H1074" s="13"/>
    </row>
    <row r="1075" s="1" customFormat="1" spans="1:8">
      <c r="A1075" s="4" t="s">
        <v>205</v>
      </c>
      <c r="B1075" s="4" t="s">
        <v>93</v>
      </c>
      <c r="C1075" s="4" t="s">
        <v>97</v>
      </c>
      <c r="D1075" s="4" t="s">
        <v>2340</v>
      </c>
      <c r="E1075" s="4">
        <v>5200258</v>
      </c>
      <c r="F1075" s="4" t="s">
        <v>2341</v>
      </c>
      <c r="G1075" s="4" t="s">
        <v>215</v>
      </c>
      <c r="H1075" s="13"/>
    </row>
    <row r="1076" s="1" customFormat="1" spans="1:8">
      <c r="A1076" s="4" t="s">
        <v>205</v>
      </c>
      <c r="B1076" s="4" t="s">
        <v>93</v>
      </c>
      <c r="C1076" s="4" t="s">
        <v>97</v>
      </c>
      <c r="D1076" s="4" t="s">
        <v>2342</v>
      </c>
      <c r="E1076" s="4">
        <v>5200555</v>
      </c>
      <c r="F1076" s="4" t="s">
        <v>2343</v>
      </c>
      <c r="G1076" s="4" t="s">
        <v>232</v>
      </c>
      <c r="H1076" s="13"/>
    </row>
    <row r="1077" s="1" customFormat="1" spans="1:8">
      <c r="A1077" s="4" t="s">
        <v>205</v>
      </c>
      <c r="B1077" s="4" t="s">
        <v>93</v>
      </c>
      <c r="C1077" s="4" t="s">
        <v>97</v>
      </c>
      <c r="D1077" s="4" t="s">
        <v>2344</v>
      </c>
      <c r="E1077" s="4">
        <v>5200605</v>
      </c>
      <c r="F1077" s="4" t="s">
        <v>2345</v>
      </c>
      <c r="G1077" s="4" t="s">
        <v>232</v>
      </c>
      <c r="H1077" s="13"/>
    </row>
    <row r="1078" s="1" customFormat="1" spans="1:8">
      <c r="A1078" s="4" t="s">
        <v>205</v>
      </c>
      <c r="B1078" s="4" t="s">
        <v>93</v>
      </c>
      <c r="C1078" s="4" t="s">
        <v>97</v>
      </c>
      <c r="D1078" s="4" t="s">
        <v>2346</v>
      </c>
      <c r="E1078" s="4">
        <v>5200803</v>
      </c>
      <c r="F1078" s="4" t="s">
        <v>2347</v>
      </c>
      <c r="G1078" s="4" t="s">
        <v>232</v>
      </c>
      <c r="H1078" s="13"/>
    </row>
    <row r="1079" s="1" customFormat="1" spans="1:8">
      <c r="A1079" s="4" t="s">
        <v>205</v>
      </c>
      <c r="B1079" s="4" t="s">
        <v>93</v>
      </c>
      <c r="C1079" s="4" t="s">
        <v>97</v>
      </c>
      <c r="D1079" s="4" t="s">
        <v>2348</v>
      </c>
      <c r="E1079" s="4">
        <v>5200829</v>
      </c>
      <c r="F1079" s="4" t="s">
        <v>2349</v>
      </c>
      <c r="G1079" s="4" t="s">
        <v>232</v>
      </c>
      <c r="H1079" s="13"/>
    </row>
    <row r="1080" s="1" customFormat="1" spans="1:8">
      <c r="A1080" s="4" t="s">
        <v>205</v>
      </c>
      <c r="B1080" s="4" t="s">
        <v>93</v>
      </c>
      <c r="C1080" s="4" t="s">
        <v>97</v>
      </c>
      <c r="D1080" s="4" t="s">
        <v>2350</v>
      </c>
      <c r="E1080" s="4">
        <v>5201454</v>
      </c>
      <c r="F1080" s="4" t="s">
        <v>2351</v>
      </c>
      <c r="G1080" s="4" t="s">
        <v>232</v>
      </c>
      <c r="H1080" s="13"/>
    </row>
    <row r="1081" s="1" customFormat="1" spans="1:8">
      <c r="A1081" s="4" t="s">
        <v>205</v>
      </c>
      <c r="B1081" s="4" t="s">
        <v>93</v>
      </c>
      <c r="C1081" s="4" t="s">
        <v>97</v>
      </c>
      <c r="D1081" s="4" t="s">
        <v>2352</v>
      </c>
      <c r="E1081" s="4">
        <v>5201504</v>
      </c>
      <c r="F1081" s="4" t="s">
        <v>2353</v>
      </c>
      <c r="G1081" s="4" t="s">
        <v>232</v>
      </c>
      <c r="H1081" s="13"/>
    </row>
    <row r="1082" s="1" customFormat="1" spans="1:8">
      <c r="A1082" s="4" t="s">
        <v>205</v>
      </c>
      <c r="B1082" s="4" t="s">
        <v>93</v>
      </c>
      <c r="C1082" s="4" t="s">
        <v>97</v>
      </c>
      <c r="D1082" s="4" t="s">
        <v>2354</v>
      </c>
      <c r="E1082" s="4">
        <v>5201702</v>
      </c>
      <c r="F1082" s="4" t="s">
        <v>2355</v>
      </c>
      <c r="G1082" s="4" t="s">
        <v>232</v>
      </c>
      <c r="H1082" s="13"/>
    </row>
    <row r="1083" s="1" customFormat="1" spans="1:8">
      <c r="A1083" s="4" t="s">
        <v>205</v>
      </c>
      <c r="B1083" s="4" t="s">
        <v>93</v>
      </c>
      <c r="C1083" s="4" t="s">
        <v>97</v>
      </c>
      <c r="D1083" s="4" t="s">
        <v>2356</v>
      </c>
      <c r="E1083" s="4">
        <v>5202502</v>
      </c>
      <c r="F1083" s="4" t="s">
        <v>2357</v>
      </c>
      <c r="G1083" s="4" t="s">
        <v>232</v>
      </c>
      <c r="H1083" s="13"/>
    </row>
    <row r="1084" s="1" customFormat="1" spans="1:8">
      <c r="A1084" s="4" t="s">
        <v>205</v>
      </c>
      <c r="B1084" s="4" t="s">
        <v>93</v>
      </c>
      <c r="C1084" s="4" t="s">
        <v>97</v>
      </c>
      <c r="D1084" s="4" t="s">
        <v>2358</v>
      </c>
      <c r="E1084" s="4">
        <v>5203104</v>
      </c>
      <c r="F1084" s="4" t="s">
        <v>2359</v>
      </c>
      <c r="G1084" s="4" t="s">
        <v>232</v>
      </c>
      <c r="H1084" s="13"/>
    </row>
    <row r="1085" s="1" customFormat="1" spans="1:8">
      <c r="A1085" s="4" t="s">
        <v>205</v>
      </c>
      <c r="B1085" s="4" t="s">
        <v>93</v>
      </c>
      <c r="C1085" s="4" t="s">
        <v>97</v>
      </c>
      <c r="D1085" s="4" t="s">
        <v>2360</v>
      </c>
      <c r="E1085" s="4">
        <v>5203401</v>
      </c>
      <c r="F1085" s="4" t="s">
        <v>2361</v>
      </c>
      <c r="G1085" s="4" t="s">
        <v>232</v>
      </c>
      <c r="H1085" s="13"/>
    </row>
    <row r="1086" s="1" customFormat="1" spans="1:8">
      <c r="A1086" s="4" t="s">
        <v>205</v>
      </c>
      <c r="B1086" s="4" t="s">
        <v>93</v>
      </c>
      <c r="C1086" s="4" t="s">
        <v>97</v>
      </c>
      <c r="D1086" s="4" t="s">
        <v>2362</v>
      </c>
      <c r="E1086" s="4">
        <v>5203575</v>
      </c>
      <c r="F1086" s="4" t="s">
        <v>2363</v>
      </c>
      <c r="G1086" s="4" t="s">
        <v>232</v>
      </c>
      <c r="H1086" s="13"/>
    </row>
    <row r="1087" s="1" customFormat="1" spans="1:8">
      <c r="A1087" s="4" t="s">
        <v>205</v>
      </c>
      <c r="B1087" s="4" t="s">
        <v>93</v>
      </c>
      <c r="C1087" s="4" t="s">
        <v>97</v>
      </c>
      <c r="D1087" s="4" t="s">
        <v>2364</v>
      </c>
      <c r="E1087" s="4">
        <v>5203807</v>
      </c>
      <c r="F1087" s="4" t="s">
        <v>2365</v>
      </c>
      <c r="G1087" s="4" t="s">
        <v>232</v>
      </c>
      <c r="H1087" s="13"/>
    </row>
    <row r="1088" s="1" customFormat="1" spans="1:8">
      <c r="A1088" s="4" t="s">
        <v>205</v>
      </c>
      <c r="B1088" s="4" t="s">
        <v>93</v>
      </c>
      <c r="C1088" s="4" t="s">
        <v>97</v>
      </c>
      <c r="D1088" s="4" t="s">
        <v>2366</v>
      </c>
      <c r="E1088" s="4">
        <v>5203962</v>
      </c>
      <c r="F1088" s="4" t="s">
        <v>2367</v>
      </c>
      <c r="G1088" s="4" t="s">
        <v>232</v>
      </c>
      <c r="H1088" s="13"/>
    </row>
    <row r="1089" s="1" customFormat="1" spans="1:8">
      <c r="A1089" s="4" t="s">
        <v>205</v>
      </c>
      <c r="B1089" s="4" t="s">
        <v>93</v>
      </c>
      <c r="C1089" s="4" t="s">
        <v>97</v>
      </c>
      <c r="D1089" s="4" t="s">
        <v>2368</v>
      </c>
      <c r="E1089" s="4">
        <v>5204003</v>
      </c>
      <c r="F1089" s="4" t="s">
        <v>2369</v>
      </c>
      <c r="G1089" s="4" t="s">
        <v>232</v>
      </c>
      <c r="H1089" s="13"/>
    </row>
    <row r="1090" s="1" customFormat="1" spans="1:8">
      <c r="A1090" s="4" t="s">
        <v>205</v>
      </c>
      <c r="B1090" s="4" t="s">
        <v>93</v>
      </c>
      <c r="C1090" s="4" t="s">
        <v>97</v>
      </c>
      <c r="D1090" s="4" t="s">
        <v>2370</v>
      </c>
      <c r="E1090" s="4">
        <v>5204102</v>
      </c>
      <c r="F1090" s="4" t="s">
        <v>2371</v>
      </c>
      <c r="G1090" s="4" t="s">
        <v>232</v>
      </c>
      <c r="H1090" s="13"/>
    </row>
    <row r="1091" s="1" customFormat="1" spans="1:8">
      <c r="A1091" s="4" t="s">
        <v>205</v>
      </c>
      <c r="B1091" s="4" t="s">
        <v>93</v>
      </c>
      <c r="C1091" s="4" t="s">
        <v>97</v>
      </c>
      <c r="D1091" s="4" t="s">
        <v>2372</v>
      </c>
      <c r="E1091" s="4">
        <v>5204409</v>
      </c>
      <c r="F1091" s="4" t="s">
        <v>2373</v>
      </c>
      <c r="G1091" s="4" t="s">
        <v>232</v>
      </c>
      <c r="H1091" s="13"/>
    </row>
    <row r="1092" s="1" customFormat="1" spans="1:8">
      <c r="A1092" s="4" t="s">
        <v>205</v>
      </c>
      <c r="B1092" s="4" t="s">
        <v>93</v>
      </c>
      <c r="C1092" s="4" t="s">
        <v>97</v>
      </c>
      <c r="D1092" s="4" t="s">
        <v>2374</v>
      </c>
      <c r="E1092" s="4">
        <v>5204656</v>
      </c>
      <c r="F1092" s="4" t="s">
        <v>2375</v>
      </c>
      <c r="G1092" s="4" t="s">
        <v>232</v>
      </c>
      <c r="H1092" s="13"/>
    </row>
    <row r="1093" s="1" customFormat="1" spans="1:8">
      <c r="A1093" s="4" t="s">
        <v>205</v>
      </c>
      <c r="B1093" s="4" t="s">
        <v>93</v>
      </c>
      <c r="C1093" s="4" t="s">
        <v>97</v>
      </c>
      <c r="D1093" s="4" t="s">
        <v>2376</v>
      </c>
      <c r="E1093" s="4">
        <v>5204706</v>
      </c>
      <c r="F1093" s="4" t="s">
        <v>2377</v>
      </c>
      <c r="G1093" s="4" t="s">
        <v>232</v>
      </c>
      <c r="H1093" s="13"/>
    </row>
    <row r="1094" s="1" customFormat="1" spans="1:8">
      <c r="A1094" s="4" t="s">
        <v>205</v>
      </c>
      <c r="B1094" s="4" t="s">
        <v>93</v>
      </c>
      <c r="C1094" s="4" t="s">
        <v>97</v>
      </c>
      <c r="D1094" s="4" t="s">
        <v>2378</v>
      </c>
      <c r="E1094" s="4">
        <v>5204953</v>
      </c>
      <c r="F1094" s="4" t="s">
        <v>2379</v>
      </c>
      <c r="G1094" s="4" t="s">
        <v>232</v>
      </c>
      <c r="H1094" s="13"/>
    </row>
    <row r="1095" s="1" customFormat="1" spans="1:8">
      <c r="A1095" s="4" t="s">
        <v>205</v>
      </c>
      <c r="B1095" s="4" t="s">
        <v>93</v>
      </c>
      <c r="C1095" s="4" t="s">
        <v>97</v>
      </c>
      <c r="D1095" s="4" t="s">
        <v>2380</v>
      </c>
      <c r="E1095" s="4">
        <v>5205307</v>
      </c>
      <c r="F1095" s="4" t="s">
        <v>2381</v>
      </c>
      <c r="G1095" s="4" t="s">
        <v>232</v>
      </c>
      <c r="H1095" s="13"/>
    </row>
    <row r="1096" s="1" customFormat="1" spans="1:8">
      <c r="A1096" s="4" t="s">
        <v>205</v>
      </c>
      <c r="B1096" s="4" t="s">
        <v>93</v>
      </c>
      <c r="C1096" s="4" t="s">
        <v>97</v>
      </c>
      <c r="D1096" s="4" t="s">
        <v>2382</v>
      </c>
      <c r="E1096" s="4">
        <v>5204300</v>
      </c>
      <c r="F1096" s="4" t="s">
        <v>2383</v>
      </c>
      <c r="G1096" s="4" t="s">
        <v>232</v>
      </c>
      <c r="H1096" s="13"/>
    </row>
    <row r="1097" s="1" customFormat="1" spans="1:8">
      <c r="A1097" s="4" t="s">
        <v>205</v>
      </c>
      <c r="B1097" s="4" t="s">
        <v>93</v>
      </c>
      <c r="C1097" s="4" t="s">
        <v>97</v>
      </c>
      <c r="D1097" s="4" t="s">
        <v>2384</v>
      </c>
      <c r="E1097" s="4">
        <v>5205471</v>
      </c>
      <c r="F1097" s="4" t="s">
        <v>2385</v>
      </c>
      <c r="G1097" s="4" t="s">
        <v>232</v>
      </c>
      <c r="H1097" s="13"/>
    </row>
    <row r="1098" s="1" customFormat="1" spans="1:8">
      <c r="A1098" s="4" t="s">
        <v>205</v>
      </c>
      <c r="B1098" s="4" t="s">
        <v>93</v>
      </c>
      <c r="C1098" s="4" t="s">
        <v>97</v>
      </c>
      <c r="D1098" s="4" t="s">
        <v>2386</v>
      </c>
      <c r="E1098" s="4">
        <v>5205521</v>
      </c>
      <c r="F1098" s="4" t="s">
        <v>2387</v>
      </c>
      <c r="G1098" s="4" t="s">
        <v>232</v>
      </c>
      <c r="H1098" s="13"/>
    </row>
    <row r="1099" s="1" customFormat="1" spans="1:8">
      <c r="A1099" s="4" t="s">
        <v>205</v>
      </c>
      <c r="B1099" s="4" t="s">
        <v>93</v>
      </c>
      <c r="C1099" s="4" t="s">
        <v>97</v>
      </c>
      <c r="D1099" s="4" t="s">
        <v>2388</v>
      </c>
      <c r="E1099" s="4">
        <v>5206404</v>
      </c>
      <c r="F1099" s="4" t="s">
        <v>2389</v>
      </c>
      <c r="G1099" s="4" t="s">
        <v>232</v>
      </c>
      <c r="H1099" s="13"/>
    </row>
    <row r="1100" s="1" customFormat="1" spans="1:8">
      <c r="A1100" s="4" t="s">
        <v>205</v>
      </c>
      <c r="B1100" s="4" t="s">
        <v>93</v>
      </c>
      <c r="C1100" s="4" t="s">
        <v>97</v>
      </c>
      <c r="D1100" s="4" t="s">
        <v>2390</v>
      </c>
      <c r="E1100" s="4">
        <v>5206701</v>
      </c>
      <c r="F1100" s="4" t="s">
        <v>2391</v>
      </c>
      <c r="G1100" s="4" t="s">
        <v>232</v>
      </c>
      <c r="H1100" s="13"/>
    </row>
    <row r="1101" s="1" customFormat="1" spans="1:8">
      <c r="A1101" s="4" t="s">
        <v>205</v>
      </c>
      <c r="B1101" s="4" t="s">
        <v>93</v>
      </c>
      <c r="C1101" s="4" t="s">
        <v>97</v>
      </c>
      <c r="D1101" s="4" t="s">
        <v>2392</v>
      </c>
      <c r="E1101" s="4">
        <v>5206909</v>
      </c>
      <c r="F1101" s="4" t="s">
        <v>2393</v>
      </c>
      <c r="G1101" s="4" t="s">
        <v>232</v>
      </c>
      <c r="H1101" s="13"/>
    </row>
    <row r="1102" s="1" customFormat="1" spans="1:8">
      <c r="A1102" s="4" t="s">
        <v>205</v>
      </c>
      <c r="B1102" s="4" t="s">
        <v>93</v>
      </c>
      <c r="C1102" s="4" t="s">
        <v>97</v>
      </c>
      <c r="D1102" s="4" t="s">
        <v>2394</v>
      </c>
      <c r="E1102" s="4">
        <v>5207253</v>
      </c>
      <c r="F1102" s="4" t="s">
        <v>2395</v>
      </c>
      <c r="G1102" s="4" t="s">
        <v>232</v>
      </c>
      <c r="H1102" s="13"/>
    </row>
    <row r="1103" s="1" customFormat="1" spans="1:8">
      <c r="A1103" s="4" t="s">
        <v>205</v>
      </c>
      <c r="B1103" s="4" t="s">
        <v>93</v>
      </c>
      <c r="C1103" s="4" t="s">
        <v>97</v>
      </c>
      <c r="D1103" s="4" t="s">
        <v>2396</v>
      </c>
      <c r="E1103" s="4">
        <v>5207501</v>
      </c>
      <c r="F1103" s="4" t="s">
        <v>2397</v>
      </c>
      <c r="G1103" s="4" t="s">
        <v>232</v>
      </c>
      <c r="H1103" s="13"/>
    </row>
    <row r="1104" s="1" customFormat="1" spans="1:8">
      <c r="A1104" s="4" t="s">
        <v>205</v>
      </c>
      <c r="B1104" s="4" t="s">
        <v>93</v>
      </c>
      <c r="C1104" s="4" t="s">
        <v>97</v>
      </c>
      <c r="D1104" s="4" t="s">
        <v>2398</v>
      </c>
      <c r="E1104" s="4">
        <v>5207907</v>
      </c>
      <c r="F1104" s="4" t="s">
        <v>2399</v>
      </c>
      <c r="G1104" s="4" t="s">
        <v>232</v>
      </c>
      <c r="H1104" s="13"/>
    </row>
    <row r="1105" s="1" customFormat="1" spans="1:8">
      <c r="A1105" s="4" t="s">
        <v>205</v>
      </c>
      <c r="B1105" s="4" t="s">
        <v>93</v>
      </c>
      <c r="C1105" s="4" t="s">
        <v>97</v>
      </c>
      <c r="D1105" s="4" t="s">
        <v>2400</v>
      </c>
      <c r="E1105" s="4">
        <v>5208103</v>
      </c>
      <c r="F1105" s="4" t="s">
        <v>2401</v>
      </c>
      <c r="G1105" s="4" t="s">
        <v>232</v>
      </c>
      <c r="H1105" s="13"/>
    </row>
    <row r="1106" s="1" customFormat="1" spans="1:8">
      <c r="A1106" s="4" t="s">
        <v>205</v>
      </c>
      <c r="B1106" s="4" t="s">
        <v>93</v>
      </c>
      <c r="C1106" s="4" t="s">
        <v>97</v>
      </c>
      <c r="D1106" s="4" t="s">
        <v>2402</v>
      </c>
      <c r="E1106" s="4">
        <v>5209150</v>
      </c>
      <c r="F1106" s="4" t="s">
        <v>2403</v>
      </c>
      <c r="G1106" s="4" t="s">
        <v>232</v>
      </c>
      <c r="H1106" s="13"/>
    </row>
    <row r="1107" s="1" customFormat="1" spans="1:8">
      <c r="A1107" s="4" t="s">
        <v>205</v>
      </c>
      <c r="B1107" s="4" t="s">
        <v>93</v>
      </c>
      <c r="C1107" s="4" t="s">
        <v>97</v>
      </c>
      <c r="D1107" s="4" t="s">
        <v>2404</v>
      </c>
      <c r="E1107" s="4">
        <v>5209408</v>
      </c>
      <c r="F1107" s="4" t="s">
        <v>2405</v>
      </c>
      <c r="G1107" s="4" t="s">
        <v>232</v>
      </c>
      <c r="H1107" s="13"/>
    </row>
    <row r="1108" s="1" customFormat="1" spans="1:8">
      <c r="A1108" s="4" t="s">
        <v>205</v>
      </c>
      <c r="B1108" s="4" t="s">
        <v>93</v>
      </c>
      <c r="C1108" s="4" t="s">
        <v>97</v>
      </c>
      <c r="D1108" s="4" t="s">
        <v>2406</v>
      </c>
      <c r="E1108" s="4">
        <v>5209903</v>
      </c>
      <c r="F1108" s="4" t="s">
        <v>2407</v>
      </c>
      <c r="G1108" s="4" t="s">
        <v>232</v>
      </c>
      <c r="H1108" s="13"/>
    </row>
    <row r="1109" s="1" customFormat="1" spans="1:8">
      <c r="A1109" s="4" t="s">
        <v>205</v>
      </c>
      <c r="B1109" s="4" t="s">
        <v>93</v>
      </c>
      <c r="C1109" s="4" t="s">
        <v>97</v>
      </c>
      <c r="D1109" s="4" t="s">
        <v>2408</v>
      </c>
      <c r="E1109" s="4">
        <v>5210802</v>
      </c>
      <c r="F1109" s="4" t="s">
        <v>2409</v>
      </c>
      <c r="G1109" s="4" t="s">
        <v>232</v>
      </c>
      <c r="H1109" s="13"/>
    </row>
    <row r="1110" s="1" customFormat="1" spans="1:8">
      <c r="A1110" s="4" t="s">
        <v>205</v>
      </c>
      <c r="B1110" s="4" t="s">
        <v>93</v>
      </c>
      <c r="C1110" s="4" t="s">
        <v>97</v>
      </c>
      <c r="D1110" s="4" t="s">
        <v>2410</v>
      </c>
      <c r="E1110" s="4">
        <v>5211305</v>
      </c>
      <c r="F1110" s="4" t="s">
        <v>2411</v>
      </c>
      <c r="G1110" s="4" t="s">
        <v>232</v>
      </c>
      <c r="H1110" s="13"/>
    </row>
    <row r="1111" s="1" customFormat="1" spans="1:8">
      <c r="A1111" s="4" t="s">
        <v>205</v>
      </c>
      <c r="B1111" s="4" t="s">
        <v>93</v>
      </c>
      <c r="C1111" s="4" t="s">
        <v>97</v>
      </c>
      <c r="D1111" s="4" t="s">
        <v>2412</v>
      </c>
      <c r="E1111" s="4">
        <v>5211909</v>
      </c>
      <c r="F1111" s="4" t="s">
        <v>2413</v>
      </c>
      <c r="G1111" s="4" t="s">
        <v>232</v>
      </c>
      <c r="H1111" s="13"/>
    </row>
    <row r="1112" s="1" customFormat="1" spans="1:8">
      <c r="A1112" s="4" t="s">
        <v>205</v>
      </c>
      <c r="B1112" s="4" t="s">
        <v>93</v>
      </c>
      <c r="C1112" s="4" t="s">
        <v>97</v>
      </c>
      <c r="D1112" s="4" t="s">
        <v>2414</v>
      </c>
      <c r="E1112" s="4">
        <v>5212253</v>
      </c>
      <c r="F1112" s="4" t="s">
        <v>2415</v>
      </c>
      <c r="G1112" s="4" t="s">
        <v>232</v>
      </c>
      <c r="H1112" s="13"/>
    </row>
    <row r="1113" s="1" customFormat="1" spans="1:8">
      <c r="A1113" s="4" t="s">
        <v>205</v>
      </c>
      <c r="B1113" s="4" t="s">
        <v>93</v>
      </c>
      <c r="C1113" s="4" t="s">
        <v>97</v>
      </c>
      <c r="D1113" s="4" t="s">
        <v>2416</v>
      </c>
      <c r="E1113" s="4">
        <v>5212709</v>
      </c>
      <c r="F1113" s="4" t="s">
        <v>2417</v>
      </c>
      <c r="G1113" s="4" t="s">
        <v>232</v>
      </c>
      <c r="H1113" s="13"/>
    </row>
    <row r="1114" s="1" customFormat="1" spans="1:8">
      <c r="A1114" s="4" t="s">
        <v>205</v>
      </c>
      <c r="B1114" s="4" t="s">
        <v>93</v>
      </c>
      <c r="C1114" s="4" t="s">
        <v>97</v>
      </c>
      <c r="D1114" s="4" t="s">
        <v>2418</v>
      </c>
      <c r="E1114" s="4">
        <v>5212808</v>
      </c>
      <c r="F1114" s="4" t="s">
        <v>2419</v>
      </c>
      <c r="G1114" s="4" t="s">
        <v>232</v>
      </c>
      <c r="H1114" s="13"/>
    </row>
    <row r="1115" s="1" customFormat="1" spans="1:8">
      <c r="A1115" s="4" t="s">
        <v>205</v>
      </c>
      <c r="B1115" s="4" t="s">
        <v>93</v>
      </c>
      <c r="C1115" s="4" t="s">
        <v>97</v>
      </c>
      <c r="D1115" s="4" t="s">
        <v>2420</v>
      </c>
      <c r="E1115" s="4">
        <v>5213087</v>
      </c>
      <c r="F1115" s="4" t="s">
        <v>2421</v>
      </c>
      <c r="G1115" s="4" t="s">
        <v>232</v>
      </c>
      <c r="H1115" s="13"/>
    </row>
    <row r="1116" s="1" customFormat="1" spans="1:8">
      <c r="A1116" s="4" t="s">
        <v>205</v>
      </c>
      <c r="B1116" s="4" t="s">
        <v>93</v>
      </c>
      <c r="C1116" s="4" t="s">
        <v>97</v>
      </c>
      <c r="D1116" s="4" t="s">
        <v>2422</v>
      </c>
      <c r="E1116" s="4">
        <v>5213103</v>
      </c>
      <c r="F1116" s="4" t="s">
        <v>2423</v>
      </c>
      <c r="G1116" s="4" t="s">
        <v>232</v>
      </c>
      <c r="H1116" s="13"/>
    </row>
    <row r="1117" s="1" customFormat="1" spans="1:8">
      <c r="A1117" s="4" t="s">
        <v>205</v>
      </c>
      <c r="B1117" s="4" t="s">
        <v>93</v>
      </c>
      <c r="C1117" s="4" t="s">
        <v>97</v>
      </c>
      <c r="D1117" s="4" t="s">
        <v>2424</v>
      </c>
      <c r="E1117" s="4">
        <v>5213509</v>
      </c>
      <c r="F1117" s="4" t="s">
        <v>2425</v>
      </c>
      <c r="G1117" s="4" t="s">
        <v>232</v>
      </c>
      <c r="H1117" s="13"/>
    </row>
    <row r="1118" s="1" customFormat="1" spans="1:8">
      <c r="A1118" s="4" t="s">
        <v>205</v>
      </c>
      <c r="B1118" s="4" t="s">
        <v>93</v>
      </c>
      <c r="C1118" s="4" t="s">
        <v>97</v>
      </c>
      <c r="D1118" s="4" t="s">
        <v>2426</v>
      </c>
      <c r="E1118" s="4">
        <v>5213772</v>
      </c>
      <c r="F1118" s="4" t="s">
        <v>2427</v>
      </c>
      <c r="G1118" s="4" t="s">
        <v>232</v>
      </c>
      <c r="H1118" s="13"/>
    </row>
    <row r="1119" s="1" customFormat="1" spans="1:8">
      <c r="A1119" s="4" t="s">
        <v>205</v>
      </c>
      <c r="B1119" s="4" t="s">
        <v>93</v>
      </c>
      <c r="C1119" s="4" t="s">
        <v>97</v>
      </c>
      <c r="D1119" s="4" t="s">
        <v>2428</v>
      </c>
      <c r="E1119" s="4">
        <v>5214002</v>
      </c>
      <c r="F1119" s="4" t="s">
        <v>2429</v>
      </c>
      <c r="G1119" s="4" t="s">
        <v>232</v>
      </c>
      <c r="H1119" s="13"/>
    </row>
    <row r="1120" s="1" customFormat="1" spans="1:8">
      <c r="A1120" s="4" t="s">
        <v>205</v>
      </c>
      <c r="B1120" s="4" t="s">
        <v>93</v>
      </c>
      <c r="C1120" s="4" t="s">
        <v>97</v>
      </c>
      <c r="D1120" s="4" t="s">
        <v>767</v>
      </c>
      <c r="E1120" s="4">
        <v>5214051</v>
      </c>
      <c r="F1120" s="4" t="s">
        <v>2430</v>
      </c>
      <c r="G1120" s="4" t="s">
        <v>232</v>
      </c>
      <c r="H1120" s="13"/>
    </row>
    <row r="1121" s="1" customFormat="1" spans="1:8">
      <c r="A1121" s="4" t="s">
        <v>205</v>
      </c>
      <c r="B1121" s="4" t="s">
        <v>93</v>
      </c>
      <c r="C1121" s="4" t="s">
        <v>97</v>
      </c>
      <c r="D1121" s="4" t="s">
        <v>2431</v>
      </c>
      <c r="E1121" s="4">
        <v>5214101</v>
      </c>
      <c r="F1121" s="4" t="s">
        <v>2432</v>
      </c>
      <c r="G1121" s="4" t="s">
        <v>232</v>
      </c>
      <c r="H1121" s="13"/>
    </row>
    <row r="1122" s="1" customFormat="1" spans="1:8">
      <c r="A1122" s="4" t="s">
        <v>205</v>
      </c>
      <c r="B1122" s="4" t="s">
        <v>93</v>
      </c>
      <c r="C1122" s="4" t="s">
        <v>97</v>
      </c>
      <c r="D1122" s="4" t="s">
        <v>2433</v>
      </c>
      <c r="E1122" s="4">
        <v>5214606</v>
      </c>
      <c r="F1122" s="4" t="s">
        <v>2434</v>
      </c>
      <c r="G1122" s="4" t="s">
        <v>232</v>
      </c>
      <c r="H1122" s="13"/>
    </row>
    <row r="1123" s="1" customFormat="1" spans="1:8">
      <c r="A1123" s="4" t="s">
        <v>205</v>
      </c>
      <c r="B1123" s="4" t="s">
        <v>93</v>
      </c>
      <c r="C1123" s="4" t="s">
        <v>97</v>
      </c>
      <c r="D1123" s="4" t="s">
        <v>2435</v>
      </c>
      <c r="E1123" s="4">
        <v>5214838</v>
      </c>
      <c r="F1123" s="4" t="s">
        <v>2436</v>
      </c>
      <c r="G1123" s="4" t="s">
        <v>232</v>
      </c>
      <c r="H1123" s="13"/>
    </row>
    <row r="1124" s="1" customFormat="1" spans="1:8">
      <c r="A1124" s="4" t="s">
        <v>205</v>
      </c>
      <c r="B1124" s="4" t="s">
        <v>93</v>
      </c>
      <c r="C1124" s="4" t="s">
        <v>97</v>
      </c>
      <c r="D1124" s="4" t="s">
        <v>2437</v>
      </c>
      <c r="E1124" s="4">
        <v>5214879</v>
      </c>
      <c r="F1124" s="4" t="s">
        <v>2438</v>
      </c>
      <c r="G1124" s="4" t="s">
        <v>232</v>
      </c>
      <c r="H1124" s="13"/>
    </row>
    <row r="1125" s="1" customFormat="1" spans="1:8">
      <c r="A1125" s="4" t="s">
        <v>205</v>
      </c>
      <c r="B1125" s="4" t="s">
        <v>93</v>
      </c>
      <c r="C1125" s="4" t="s">
        <v>97</v>
      </c>
      <c r="D1125" s="4" t="s">
        <v>2439</v>
      </c>
      <c r="E1125" s="4">
        <v>5214903</v>
      </c>
      <c r="F1125" s="4" t="s">
        <v>2440</v>
      </c>
      <c r="G1125" s="4" t="s">
        <v>232</v>
      </c>
      <c r="H1125" s="13"/>
    </row>
    <row r="1126" s="1" customFormat="1" spans="1:8">
      <c r="A1126" s="4" t="s">
        <v>205</v>
      </c>
      <c r="B1126" s="4" t="s">
        <v>93</v>
      </c>
      <c r="C1126" s="4" t="s">
        <v>97</v>
      </c>
      <c r="D1126" s="4" t="s">
        <v>2441</v>
      </c>
      <c r="E1126" s="4">
        <v>5215256</v>
      </c>
      <c r="F1126" s="4" t="s">
        <v>2442</v>
      </c>
      <c r="G1126" s="4" t="s">
        <v>232</v>
      </c>
      <c r="H1126" s="13"/>
    </row>
    <row r="1127" s="1" customFormat="1" spans="1:8">
      <c r="A1127" s="4" t="s">
        <v>205</v>
      </c>
      <c r="B1127" s="4" t="s">
        <v>93</v>
      </c>
      <c r="C1127" s="4" t="s">
        <v>97</v>
      </c>
      <c r="D1127" s="4" t="s">
        <v>2443</v>
      </c>
      <c r="E1127" s="4">
        <v>5216304</v>
      </c>
      <c r="F1127" s="4" t="s">
        <v>2444</v>
      </c>
      <c r="G1127" s="4" t="s">
        <v>232</v>
      </c>
      <c r="H1127" s="13"/>
    </row>
    <row r="1128" s="1" customFormat="1" spans="1:8">
      <c r="A1128" s="4" t="s">
        <v>205</v>
      </c>
      <c r="B1128" s="4" t="s">
        <v>93</v>
      </c>
      <c r="C1128" s="4" t="s">
        <v>97</v>
      </c>
      <c r="D1128" s="4" t="s">
        <v>2445</v>
      </c>
      <c r="E1128" s="4">
        <v>5216452</v>
      </c>
      <c r="F1128" s="4" t="s">
        <v>2446</v>
      </c>
      <c r="G1128" s="4" t="s">
        <v>232</v>
      </c>
      <c r="H1128" s="13"/>
    </row>
    <row r="1129" s="1" customFormat="1" spans="1:8">
      <c r="A1129" s="4" t="s">
        <v>205</v>
      </c>
      <c r="B1129" s="4" t="s">
        <v>93</v>
      </c>
      <c r="C1129" s="4" t="s">
        <v>97</v>
      </c>
      <c r="D1129" s="4" t="s">
        <v>439</v>
      </c>
      <c r="E1129" s="4">
        <v>5217203</v>
      </c>
      <c r="F1129" s="4" t="s">
        <v>2447</v>
      </c>
      <c r="G1129" s="4" t="s">
        <v>232</v>
      </c>
      <c r="H1129" s="13"/>
    </row>
    <row r="1130" s="1" customFormat="1" spans="1:8">
      <c r="A1130" s="4" t="s">
        <v>205</v>
      </c>
      <c r="B1130" s="4" t="s">
        <v>93</v>
      </c>
      <c r="C1130" s="4" t="s">
        <v>97</v>
      </c>
      <c r="D1130" s="4" t="s">
        <v>2448</v>
      </c>
      <c r="E1130" s="4">
        <v>5218003</v>
      </c>
      <c r="F1130" s="4" t="s">
        <v>2449</v>
      </c>
      <c r="G1130" s="4" t="s">
        <v>232</v>
      </c>
      <c r="H1130" s="13"/>
    </row>
    <row r="1131" s="1" customFormat="1" spans="1:8">
      <c r="A1131" s="4" t="s">
        <v>205</v>
      </c>
      <c r="B1131" s="4" t="s">
        <v>93</v>
      </c>
      <c r="C1131" s="4" t="s">
        <v>97</v>
      </c>
      <c r="D1131" s="4" t="s">
        <v>2450</v>
      </c>
      <c r="E1131" s="4">
        <v>5218102</v>
      </c>
      <c r="F1131" s="4" t="s">
        <v>2451</v>
      </c>
      <c r="G1131" s="4" t="s">
        <v>232</v>
      </c>
      <c r="H1131" s="13"/>
    </row>
    <row r="1132" s="1" customFormat="1" spans="1:8">
      <c r="A1132" s="4" t="s">
        <v>205</v>
      </c>
      <c r="B1132" s="4" t="s">
        <v>93</v>
      </c>
      <c r="C1132" s="4" t="s">
        <v>97</v>
      </c>
      <c r="D1132" s="4" t="s">
        <v>2452</v>
      </c>
      <c r="E1132" s="4">
        <v>5218300</v>
      </c>
      <c r="F1132" s="4" t="s">
        <v>2453</v>
      </c>
      <c r="G1132" s="4" t="s">
        <v>232</v>
      </c>
      <c r="H1132" s="13"/>
    </row>
    <row r="1133" s="1" customFormat="1" spans="1:8">
      <c r="A1133" s="4" t="s">
        <v>205</v>
      </c>
      <c r="B1133" s="4" t="s">
        <v>93</v>
      </c>
      <c r="C1133" s="4" t="s">
        <v>97</v>
      </c>
      <c r="D1133" s="4" t="s">
        <v>2454</v>
      </c>
      <c r="E1133" s="4">
        <v>5219407</v>
      </c>
      <c r="F1133" s="4" t="s">
        <v>2455</v>
      </c>
      <c r="G1133" s="4" t="s">
        <v>232</v>
      </c>
      <c r="H1133" s="13"/>
    </row>
    <row r="1134" s="1" customFormat="1" spans="1:8">
      <c r="A1134" s="4" t="s">
        <v>205</v>
      </c>
      <c r="B1134" s="4" t="s">
        <v>93</v>
      </c>
      <c r="C1134" s="4" t="s">
        <v>97</v>
      </c>
      <c r="D1134" s="4" t="s">
        <v>2456</v>
      </c>
      <c r="E1134" s="4">
        <v>5219605</v>
      </c>
      <c r="F1134" s="4" t="s">
        <v>2457</v>
      </c>
      <c r="G1134" s="4" t="s">
        <v>232</v>
      </c>
      <c r="H1134" s="13"/>
    </row>
    <row r="1135" s="1" customFormat="1" spans="1:8">
      <c r="A1135" s="4" t="s">
        <v>205</v>
      </c>
      <c r="B1135" s="4" t="s">
        <v>93</v>
      </c>
      <c r="C1135" s="4" t="s">
        <v>97</v>
      </c>
      <c r="D1135" s="4" t="s">
        <v>2458</v>
      </c>
      <c r="E1135" s="4">
        <v>5220504</v>
      </c>
      <c r="F1135" s="4" t="s">
        <v>2459</v>
      </c>
      <c r="G1135" s="4" t="s">
        <v>232</v>
      </c>
      <c r="H1135" s="13"/>
    </row>
    <row r="1136" s="1" customFormat="1" spans="1:8">
      <c r="A1136" s="4" t="s">
        <v>205</v>
      </c>
      <c r="B1136" s="4" t="s">
        <v>93</v>
      </c>
      <c r="C1136" s="4" t="s">
        <v>97</v>
      </c>
      <c r="D1136" s="4" t="s">
        <v>2460</v>
      </c>
      <c r="E1136" s="4">
        <v>5220686</v>
      </c>
      <c r="F1136" s="4" t="s">
        <v>2461</v>
      </c>
      <c r="G1136" s="4" t="s">
        <v>232</v>
      </c>
      <c r="H1136" s="13"/>
    </row>
    <row r="1137" s="1" customFormat="1" spans="1:8">
      <c r="A1137" s="4" t="s">
        <v>205</v>
      </c>
      <c r="B1137" s="4" t="s">
        <v>93</v>
      </c>
      <c r="C1137" s="4" t="s">
        <v>97</v>
      </c>
      <c r="D1137" s="4" t="s">
        <v>2462</v>
      </c>
      <c r="E1137" s="4">
        <v>5220009</v>
      </c>
      <c r="F1137" s="4" t="s">
        <v>2463</v>
      </c>
      <c r="G1137" s="4" t="s">
        <v>232</v>
      </c>
      <c r="H1137" s="13"/>
    </row>
    <row r="1138" s="1" customFormat="1" spans="1:8">
      <c r="A1138" s="4" t="s">
        <v>205</v>
      </c>
      <c r="B1138" s="4" t="s">
        <v>93</v>
      </c>
      <c r="C1138" s="4" t="s">
        <v>97</v>
      </c>
      <c r="D1138" s="4" t="s">
        <v>2464</v>
      </c>
      <c r="E1138" s="4">
        <v>5220207</v>
      </c>
      <c r="F1138" s="4" t="s">
        <v>2465</v>
      </c>
      <c r="G1138" s="4" t="s">
        <v>232</v>
      </c>
      <c r="H1138" s="13"/>
    </row>
    <row r="1139" s="1" customFormat="1" spans="1:8">
      <c r="A1139" s="4" t="s">
        <v>205</v>
      </c>
      <c r="B1139" s="4" t="s">
        <v>93</v>
      </c>
      <c r="C1139" s="4" t="s">
        <v>97</v>
      </c>
      <c r="D1139" s="4" t="s">
        <v>2466</v>
      </c>
      <c r="E1139" s="4">
        <v>5220405</v>
      </c>
      <c r="F1139" s="4" t="s">
        <v>2467</v>
      </c>
      <c r="G1139" s="4" t="s">
        <v>232</v>
      </c>
      <c r="H1139" s="13"/>
    </row>
    <row r="1140" s="1" customFormat="1" spans="1:8">
      <c r="A1140" s="4" t="s">
        <v>205</v>
      </c>
      <c r="B1140" s="4" t="s">
        <v>93</v>
      </c>
      <c r="C1140" s="4" t="s">
        <v>97</v>
      </c>
      <c r="D1140" s="4" t="s">
        <v>2468</v>
      </c>
      <c r="E1140" s="4">
        <v>5220702</v>
      </c>
      <c r="F1140" s="4" t="s">
        <v>2469</v>
      </c>
      <c r="G1140" s="4" t="s">
        <v>232</v>
      </c>
      <c r="H1140" s="13"/>
    </row>
    <row r="1141" s="1" customFormat="1" spans="1:8">
      <c r="A1141" s="4" t="s">
        <v>205</v>
      </c>
      <c r="B1141" s="4" t="s">
        <v>93</v>
      </c>
      <c r="C1141" s="4" t="s">
        <v>97</v>
      </c>
      <c r="D1141" s="4" t="s">
        <v>2470</v>
      </c>
      <c r="E1141" s="4">
        <v>5221080</v>
      </c>
      <c r="F1141" s="4" t="s">
        <v>2471</v>
      </c>
      <c r="G1141" s="4" t="s">
        <v>232</v>
      </c>
      <c r="H1141" s="13"/>
    </row>
    <row r="1142" s="1" customFormat="1" spans="1:8">
      <c r="A1142" s="4" t="s">
        <v>205</v>
      </c>
      <c r="B1142" s="4" t="s">
        <v>93</v>
      </c>
      <c r="C1142" s="4" t="s">
        <v>97</v>
      </c>
      <c r="D1142" s="4" t="s">
        <v>2472</v>
      </c>
      <c r="E1142" s="4">
        <v>5221452</v>
      </c>
      <c r="F1142" s="4" t="s">
        <v>2473</v>
      </c>
      <c r="G1142" s="4" t="s">
        <v>232</v>
      </c>
      <c r="H1142" s="13"/>
    </row>
    <row r="1143" s="1" customFormat="1" spans="1:8">
      <c r="A1143" s="4" t="s">
        <v>205</v>
      </c>
      <c r="B1143" s="4" t="s">
        <v>93</v>
      </c>
      <c r="C1143" s="4" t="s">
        <v>97</v>
      </c>
      <c r="D1143" s="4" t="s">
        <v>2474</v>
      </c>
      <c r="E1143" s="4">
        <v>5221577</v>
      </c>
      <c r="F1143" s="4" t="s">
        <v>2475</v>
      </c>
      <c r="G1143" s="4" t="s">
        <v>232</v>
      </c>
      <c r="H1143" s="13"/>
    </row>
    <row r="1144" s="1" customFormat="1" spans="1:8">
      <c r="A1144" s="4" t="s">
        <v>205</v>
      </c>
      <c r="B1144" s="4" t="s">
        <v>93</v>
      </c>
      <c r="C1144" s="4" t="s">
        <v>97</v>
      </c>
      <c r="D1144" s="4" t="s">
        <v>2476</v>
      </c>
      <c r="E1144" s="4">
        <v>5222203</v>
      </c>
      <c r="F1144" s="4" t="s">
        <v>2477</v>
      </c>
      <c r="G1144" s="4" t="s">
        <v>232</v>
      </c>
      <c r="H1144" s="13"/>
    </row>
    <row r="1145" s="1" customFormat="1" spans="1:8">
      <c r="A1145" s="4" t="s">
        <v>205</v>
      </c>
      <c r="B1145" s="4" t="s">
        <v>93</v>
      </c>
      <c r="C1145" s="4" t="s">
        <v>97</v>
      </c>
      <c r="D1145" s="4" t="s">
        <v>2478</v>
      </c>
      <c r="E1145" s="4">
        <v>5200175</v>
      </c>
      <c r="F1145" s="4" t="s">
        <v>2479</v>
      </c>
      <c r="G1145" s="4" t="s">
        <v>232</v>
      </c>
      <c r="H1145" s="13"/>
    </row>
    <row r="1146" s="1" customFormat="1" spans="1:8">
      <c r="A1146" s="4" t="s">
        <v>205</v>
      </c>
      <c r="B1146" s="4" t="s">
        <v>93</v>
      </c>
      <c r="C1146" s="4" t="s">
        <v>97</v>
      </c>
      <c r="D1146" s="4" t="s">
        <v>2480</v>
      </c>
      <c r="E1146" s="4">
        <v>5204904</v>
      </c>
      <c r="F1146" s="4" t="s">
        <v>2481</v>
      </c>
      <c r="G1146" s="4" t="s">
        <v>243</v>
      </c>
      <c r="H1146" s="13"/>
    </row>
    <row r="1147" s="1" customFormat="1" spans="1:8">
      <c r="A1147" s="4" t="s">
        <v>205</v>
      </c>
      <c r="B1147" s="4" t="s">
        <v>93</v>
      </c>
      <c r="C1147" s="4" t="s">
        <v>97</v>
      </c>
      <c r="D1147" s="4" t="s">
        <v>2482</v>
      </c>
      <c r="E1147" s="4">
        <v>5208301</v>
      </c>
      <c r="F1147" s="4" t="s">
        <v>2483</v>
      </c>
      <c r="G1147" s="4" t="s">
        <v>243</v>
      </c>
      <c r="H1147" s="13"/>
    </row>
    <row r="1148" s="1" customFormat="1" spans="1:8">
      <c r="A1148" s="4" t="s">
        <v>205</v>
      </c>
      <c r="B1148" s="4" t="s">
        <v>93</v>
      </c>
      <c r="C1148" s="4" t="s">
        <v>97</v>
      </c>
      <c r="D1148" s="4" t="s">
        <v>847</v>
      </c>
      <c r="E1148" s="4">
        <v>5219803</v>
      </c>
      <c r="F1148" s="4" t="s">
        <v>2484</v>
      </c>
      <c r="G1148" s="4" t="s">
        <v>243</v>
      </c>
      <c r="H1148" s="13"/>
    </row>
    <row r="1149" s="1" customFormat="1" spans="1:8">
      <c r="A1149" s="4" t="s">
        <v>205</v>
      </c>
      <c r="B1149" s="4" t="s">
        <v>57</v>
      </c>
      <c r="C1149" s="4" t="s">
        <v>64</v>
      </c>
      <c r="D1149" s="4" t="s">
        <v>2485</v>
      </c>
      <c r="E1149" s="4">
        <v>2111300</v>
      </c>
      <c r="F1149" s="4" t="s">
        <v>2486</v>
      </c>
      <c r="G1149" s="4" t="s">
        <v>207</v>
      </c>
      <c r="H1149" s="4"/>
    </row>
    <row r="1150" s="1" customFormat="1" spans="1:8">
      <c r="A1150" s="4" t="s">
        <v>205</v>
      </c>
      <c r="B1150" s="4" t="s">
        <v>57</v>
      </c>
      <c r="C1150" s="4" t="s">
        <v>64</v>
      </c>
      <c r="D1150" s="4" t="s">
        <v>2487</v>
      </c>
      <c r="E1150" s="4">
        <v>2107506</v>
      </c>
      <c r="F1150" s="4" t="s">
        <v>2488</v>
      </c>
      <c r="G1150" s="4" t="s">
        <v>210</v>
      </c>
      <c r="H1150" s="4"/>
    </row>
    <row r="1151" s="1" customFormat="1" spans="1:8">
      <c r="A1151" s="4" t="s">
        <v>205</v>
      </c>
      <c r="B1151" s="4" t="s">
        <v>57</v>
      </c>
      <c r="C1151" s="4" t="s">
        <v>64</v>
      </c>
      <c r="D1151" s="4" t="s">
        <v>2489</v>
      </c>
      <c r="E1151" s="4">
        <v>2109452</v>
      </c>
      <c r="F1151" s="4" t="s">
        <v>2490</v>
      </c>
      <c r="G1151" s="4" t="s">
        <v>210</v>
      </c>
      <c r="H1151" s="4"/>
    </row>
    <row r="1152" s="1" customFormat="1" spans="1:8">
      <c r="A1152" s="4" t="s">
        <v>205</v>
      </c>
      <c r="B1152" s="4" t="s">
        <v>57</v>
      </c>
      <c r="C1152" s="4" t="s">
        <v>64</v>
      </c>
      <c r="D1152" s="4" t="s">
        <v>2491</v>
      </c>
      <c r="E1152" s="4">
        <v>2111201</v>
      </c>
      <c r="F1152" s="4" t="s">
        <v>2492</v>
      </c>
      <c r="G1152" s="4" t="s">
        <v>210</v>
      </c>
      <c r="H1152" s="4"/>
    </row>
    <row r="1153" s="1" customFormat="1" spans="1:8">
      <c r="A1153" s="4" t="s">
        <v>205</v>
      </c>
      <c r="B1153" s="4" t="s">
        <v>57</v>
      </c>
      <c r="C1153" s="4" t="s">
        <v>64</v>
      </c>
      <c r="D1153" s="4" t="s">
        <v>2493</v>
      </c>
      <c r="E1153" s="4">
        <v>2100436</v>
      </c>
      <c r="F1153" s="4" t="s">
        <v>2494</v>
      </c>
      <c r="G1153" s="4" t="s">
        <v>215</v>
      </c>
      <c r="H1153" s="4"/>
    </row>
    <row r="1154" s="1" customFormat="1" spans="1:8">
      <c r="A1154" s="4" t="s">
        <v>205</v>
      </c>
      <c r="B1154" s="4" t="s">
        <v>57</v>
      </c>
      <c r="C1154" s="4" t="s">
        <v>64</v>
      </c>
      <c r="D1154" s="4" t="s">
        <v>2495</v>
      </c>
      <c r="E1154" s="4">
        <v>2100550</v>
      </c>
      <c r="F1154" s="4" t="s">
        <v>2496</v>
      </c>
      <c r="G1154" s="4" t="s">
        <v>215</v>
      </c>
      <c r="H1154" s="4"/>
    </row>
    <row r="1155" s="1" customFormat="1" spans="1:8">
      <c r="A1155" s="4" t="s">
        <v>205</v>
      </c>
      <c r="B1155" s="4" t="s">
        <v>57</v>
      </c>
      <c r="C1155" s="4" t="s">
        <v>64</v>
      </c>
      <c r="D1155" s="4" t="s">
        <v>2497</v>
      </c>
      <c r="E1155" s="4">
        <v>2100709</v>
      </c>
      <c r="F1155" s="4" t="s">
        <v>2498</v>
      </c>
      <c r="G1155" s="4" t="s">
        <v>215</v>
      </c>
      <c r="H1155" s="4"/>
    </row>
    <row r="1156" s="1" customFormat="1" spans="1:8">
      <c r="A1156" s="4" t="s">
        <v>205</v>
      </c>
      <c r="B1156" s="4" t="s">
        <v>57</v>
      </c>
      <c r="C1156" s="4" t="s">
        <v>64</v>
      </c>
      <c r="D1156" s="4" t="s">
        <v>2499</v>
      </c>
      <c r="E1156" s="4">
        <v>2101004</v>
      </c>
      <c r="F1156" s="4" t="s">
        <v>2500</v>
      </c>
      <c r="G1156" s="4" t="s">
        <v>215</v>
      </c>
      <c r="H1156" s="4"/>
    </row>
    <row r="1157" s="1" customFormat="1" spans="1:8">
      <c r="A1157" s="4" t="s">
        <v>205</v>
      </c>
      <c r="B1157" s="4" t="s">
        <v>57</v>
      </c>
      <c r="C1157" s="4" t="s">
        <v>64</v>
      </c>
      <c r="D1157" s="4" t="s">
        <v>2501</v>
      </c>
      <c r="E1157" s="4">
        <v>2101103</v>
      </c>
      <c r="F1157" s="4" t="s">
        <v>2502</v>
      </c>
      <c r="G1157" s="4" t="s">
        <v>215</v>
      </c>
      <c r="H1157" s="4"/>
    </row>
    <row r="1158" s="1" customFormat="1" spans="1:8">
      <c r="A1158" s="4" t="s">
        <v>205</v>
      </c>
      <c r="B1158" s="4" t="s">
        <v>57</v>
      </c>
      <c r="C1158" s="4" t="s">
        <v>64</v>
      </c>
      <c r="D1158" s="4" t="s">
        <v>2503</v>
      </c>
      <c r="E1158" s="4">
        <v>2101251</v>
      </c>
      <c r="F1158" s="4" t="s">
        <v>2504</v>
      </c>
      <c r="G1158" s="4" t="s">
        <v>215</v>
      </c>
      <c r="H1158" s="4"/>
    </row>
    <row r="1159" s="1" customFormat="1" spans="1:8">
      <c r="A1159" s="4" t="s">
        <v>205</v>
      </c>
      <c r="B1159" s="4" t="s">
        <v>57</v>
      </c>
      <c r="C1159" s="4" t="s">
        <v>64</v>
      </c>
      <c r="D1159" s="4" t="s">
        <v>2505</v>
      </c>
      <c r="E1159" s="4">
        <v>2101772</v>
      </c>
      <c r="F1159" s="4" t="s">
        <v>2506</v>
      </c>
      <c r="G1159" s="4" t="s">
        <v>215</v>
      </c>
      <c r="H1159" s="4"/>
    </row>
    <row r="1160" s="1" customFormat="1" spans="1:8">
      <c r="A1160" s="4" t="s">
        <v>205</v>
      </c>
      <c r="B1160" s="4" t="s">
        <v>57</v>
      </c>
      <c r="C1160" s="4" t="s">
        <v>64</v>
      </c>
      <c r="D1160" s="4" t="s">
        <v>2507</v>
      </c>
      <c r="E1160" s="4">
        <v>2102374</v>
      </c>
      <c r="F1160" s="4" t="s">
        <v>2508</v>
      </c>
      <c r="G1160" s="4" t="s">
        <v>215</v>
      </c>
      <c r="H1160" s="4"/>
    </row>
    <row r="1161" s="1" customFormat="1" spans="1:8">
      <c r="A1161" s="4" t="s">
        <v>205</v>
      </c>
      <c r="B1161" s="4" t="s">
        <v>57</v>
      </c>
      <c r="C1161" s="4" t="s">
        <v>64</v>
      </c>
      <c r="D1161" s="4" t="s">
        <v>2509</v>
      </c>
      <c r="E1161" s="4">
        <v>2102507</v>
      </c>
      <c r="F1161" s="4" t="s">
        <v>2510</v>
      </c>
      <c r="G1161" s="4" t="s">
        <v>215</v>
      </c>
      <c r="H1161" s="4"/>
    </row>
    <row r="1162" s="1" customFormat="1" spans="1:8">
      <c r="A1162" s="4" t="s">
        <v>205</v>
      </c>
      <c r="B1162" s="4" t="s">
        <v>57</v>
      </c>
      <c r="C1162" s="4" t="s">
        <v>64</v>
      </c>
      <c r="D1162" s="4" t="s">
        <v>2511</v>
      </c>
      <c r="E1162" s="4">
        <v>2102705</v>
      </c>
      <c r="F1162" s="4" t="s">
        <v>2512</v>
      </c>
      <c r="G1162" s="4" t="s">
        <v>215</v>
      </c>
      <c r="H1162" s="4"/>
    </row>
    <row r="1163" s="1" customFormat="1" spans="1:8">
      <c r="A1163" s="4" t="s">
        <v>205</v>
      </c>
      <c r="B1163" s="4" t="s">
        <v>57</v>
      </c>
      <c r="C1163" s="4" t="s">
        <v>64</v>
      </c>
      <c r="D1163" s="4" t="s">
        <v>2513</v>
      </c>
      <c r="E1163" s="4">
        <v>2105005</v>
      </c>
      <c r="F1163" s="4" t="s">
        <v>2514</v>
      </c>
      <c r="G1163" s="4" t="s">
        <v>215</v>
      </c>
      <c r="H1163" s="4"/>
    </row>
    <row r="1164" s="1" customFormat="1" spans="1:8">
      <c r="A1164" s="4" t="s">
        <v>205</v>
      </c>
      <c r="B1164" s="4" t="s">
        <v>57</v>
      </c>
      <c r="C1164" s="4" t="s">
        <v>64</v>
      </c>
      <c r="D1164" s="4" t="s">
        <v>2515</v>
      </c>
      <c r="E1164" s="4">
        <v>2105104</v>
      </c>
      <c r="F1164" s="4" t="s">
        <v>2516</v>
      </c>
      <c r="G1164" s="4" t="s">
        <v>215</v>
      </c>
      <c r="H1164" s="4"/>
    </row>
    <row r="1165" s="1" customFormat="1" spans="1:8">
      <c r="A1165" s="4" t="s">
        <v>205</v>
      </c>
      <c r="B1165" s="4" t="s">
        <v>57</v>
      </c>
      <c r="C1165" s="4" t="s">
        <v>64</v>
      </c>
      <c r="D1165" s="4" t="s">
        <v>2517</v>
      </c>
      <c r="E1165" s="4">
        <v>2105153</v>
      </c>
      <c r="F1165" s="4" t="s">
        <v>2518</v>
      </c>
      <c r="G1165" s="4" t="s">
        <v>215</v>
      </c>
      <c r="H1165" s="4"/>
    </row>
    <row r="1166" s="1" customFormat="1" spans="1:8">
      <c r="A1166" s="4" t="s">
        <v>205</v>
      </c>
      <c r="B1166" s="4" t="s">
        <v>57</v>
      </c>
      <c r="C1166" s="4" t="s">
        <v>64</v>
      </c>
      <c r="D1166" s="4" t="s">
        <v>2519</v>
      </c>
      <c r="E1166" s="4">
        <v>2105401</v>
      </c>
      <c r="F1166" s="4" t="s">
        <v>2520</v>
      </c>
      <c r="G1166" s="4" t="s">
        <v>215</v>
      </c>
      <c r="H1166" s="4"/>
    </row>
    <row r="1167" s="1" customFormat="1" spans="1:8">
      <c r="A1167" s="4" t="s">
        <v>205</v>
      </c>
      <c r="B1167" s="4" t="s">
        <v>57</v>
      </c>
      <c r="C1167" s="4" t="s">
        <v>64</v>
      </c>
      <c r="D1167" s="4" t="s">
        <v>2521</v>
      </c>
      <c r="E1167" s="4">
        <v>2105708</v>
      </c>
      <c r="F1167" s="4" t="s">
        <v>2522</v>
      </c>
      <c r="G1167" s="4" t="s">
        <v>215</v>
      </c>
      <c r="H1167" s="4"/>
    </row>
    <row r="1168" s="1" customFormat="1" spans="1:8">
      <c r="A1168" s="4" t="s">
        <v>205</v>
      </c>
      <c r="B1168" s="4" t="s">
        <v>57</v>
      </c>
      <c r="C1168" s="4" t="s">
        <v>64</v>
      </c>
      <c r="D1168" s="4" t="s">
        <v>2523</v>
      </c>
      <c r="E1168" s="4">
        <v>2106508</v>
      </c>
      <c r="F1168" s="4" t="s">
        <v>2524</v>
      </c>
      <c r="G1168" s="4" t="s">
        <v>215</v>
      </c>
      <c r="H1168" s="4"/>
    </row>
    <row r="1169" s="1" customFormat="1" spans="1:8">
      <c r="A1169" s="4" t="s">
        <v>205</v>
      </c>
      <c r="B1169" s="4" t="s">
        <v>57</v>
      </c>
      <c r="C1169" s="4" t="s">
        <v>64</v>
      </c>
      <c r="D1169" s="4" t="s">
        <v>2525</v>
      </c>
      <c r="E1169" s="4">
        <v>2106631</v>
      </c>
      <c r="F1169" s="4" t="s">
        <v>2526</v>
      </c>
      <c r="G1169" s="4" t="s">
        <v>215</v>
      </c>
      <c r="H1169" s="4"/>
    </row>
    <row r="1170" s="1" customFormat="1" spans="1:8">
      <c r="A1170" s="4" t="s">
        <v>205</v>
      </c>
      <c r="B1170" s="4" t="s">
        <v>57</v>
      </c>
      <c r="C1170" s="4" t="s">
        <v>64</v>
      </c>
      <c r="D1170" s="4" t="s">
        <v>2527</v>
      </c>
      <c r="E1170" s="4">
        <v>2106755</v>
      </c>
      <c r="F1170" s="4" t="s">
        <v>2528</v>
      </c>
      <c r="G1170" s="4" t="s">
        <v>215</v>
      </c>
      <c r="H1170" s="4"/>
    </row>
    <row r="1171" s="1" customFormat="1" spans="1:8">
      <c r="A1171" s="4" t="s">
        <v>205</v>
      </c>
      <c r="B1171" s="4" t="s">
        <v>57</v>
      </c>
      <c r="C1171" s="4" t="s">
        <v>64</v>
      </c>
      <c r="D1171" s="4" t="s">
        <v>2529</v>
      </c>
      <c r="E1171" s="4">
        <v>2107100</v>
      </c>
      <c r="F1171" s="4" t="s">
        <v>2530</v>
      </c>
      <c r="G1171" s="4" t="s">
        <v>215</v>
      </c>
      <c r="H1171" s="4"/>
    </row>
    <row r="1172" s="1" customFormat="1" spans="1:8">
      <c r="A1172" s="4" t="s">
        <v>205</v>
      </c>
      <c r="B1172" s="4" t="s">
        <v>57</v>
      </c>
      <c r="C1172" s="4" t="s">
        <v>64</v>
      </c>
      <c r="D1172" s="4" t="s">
        <v>2531</v>
      </c>
      <c r="E1172" s="4">
        <v>2107209</v>
      </c>
      <c r="F1172" s="4" t="s">
        <v>2532</v>
      </c>
      <c r="G1172" s="4" t="s">
        <v>215</v>
      </c>
      <c r="H1172" s="4"/>
    </row>
    <row r="1173" s="1" customFormat="1" spans="1:8">
      <c r="A1173" s="4" t="s">
        <v>205</v>
      </c>
      <c r="B1173" s="4" t="s">
        <v>57</v>
      </c>
      <c r="C1173" s="4" t="s">
        <v>64</v>
      </c>
      <c r="D1173" s="4" t="s">
        <v>2533</v>
      </c>
      <c r="E1173" s="4">
        <v>2108454</v>
      </c>
      <c r="F1173" s="4" t="s">
        <v>2534</v>
      </c>
      <c r="G1173" s="4" t="s">
        <v>215</v>
      </c>
      <c r="H1173" s="4"/>
    </row>
    <row r="1174" s="1" customFormat="1" spans="1:8">
      <c r="A1174" s="4" t="s">
        <v>205</v>
      </c>
      <c r="B1174" s="4" t="s">
        <v>57</v>
      </c>
      <c r="C1174" s="4" t="s">
        <v>64</v>
      </c>
      <c r="D1174" s="4" t="s">
        <v>2535</v>
      </c>
      <c r="E1174" s="4">
        <v>2108801</v>
      </c>
      <c r="F1174" s="4" t="s">
        <v>2536</v>
      </c>
      <c r="G1174" s="4" t="s">
        <v>215</v>
      </c>
      <c r="H1174" s="4"/>
    </row>
    <row r="1175" s="1" customFormat="1" spans="1:8">
      <c r="A1175" s="4" t="s">
        <v>205</v>
      </c>
      <c r="B1175" s="4" t="s">
        <v>57</v>
      </c>
      <c r="C1175" s="4" t="s">
        <v>64</v>
      </c>
      <c r="D1175" s="4" t="s">
        <v>2537</v>
      </c>
      <c r="E1175" s="4">
        <v>2109205</v>
      </c>
      <c r="F1175" s="4" t="s">
        <v>2538</v>
      </c>
      <c r="G1175" s="4" t="s">
        <v>215</v>
      </c>
      <c r="H1175" s="4"/>
    </row>
    <row r="1176" s="1" customFormat="1" spans="1:8">
      <c r="A1176" s="4" t="s">
        <v>205</v>
      </c>
      <c r="B1176" s="4" t="s">
        <v>57</v>
      </c>
      <c r="C1176" s="4" t="s">
        <v>64</v>
      </c>
      <c r="D1176" s="4" t="s">
        <v>2539</v>
      </c>
      <c r="E1176" s="4">
        <v>2109304</v>
      </c>
      <c r="F1176" s="4" t="s">
        <v>2540</v>
      </c>
      <c r="G1176" s="4" t="s">
        <v>215</v>
      </c>
      <c r="H1176" s="4"/>
    </row>
    <row r="1177" s="1" customFormat="1" spans="1:8">
      <c r="A1177" s="4" t="s">
        <v>205</v>
      </c>
      <c r="B1177" s="4" t="s">
        <v>57</v>
      </c>
      <c r="C1177" s="4" t="s">
        <v>64</v>
      </c>
      <c r="D1177" s="4" t="s">
        <v>2541</v>
      </c>
      <c r="E1177" s="4">
        <v>2109403</v>
      </c>
      <c r="F1177" s="4" t="s">
        <v>2542</v>
      </c>
      <c r="G1177" s="4" t="s">
        <v>215</v>
      </c>
      <c r="H1177" s="4"/>
    </row>
    <row r="1178" s="1" customFormat="1" spans="1:8">
      <c r="A1178" s="4" t="s">
        <v>205</v>
      </c>
      <c r="B1178" s="4" t="s">
        <v>57</v>
      </c>
      <c r="C1178" s="4" t="s">
        <v>64</v>
      </c>
      <c r="D1178" s="4" t="s">
        <v>2543</v>
      </c>
      <c r="E1178" s="4">
        <v>2109601</v>
      </c>
      <c r="F1178" s="4" t="s">
        <v>2544</v>
      </c>
      <c r="G1178" s="4" t="s">
        <v>215</v>
      </c>
      <c r="H1178" s="4"/>
    </row>
    <row r="1179" s="1" customFormat="1" spans="1:8">
      <c r="A1179" s="4" t="s">
        <v>205</v>
      </c>
      <c r="B1179" s="4" t="s">
        <v>57</v>
      </c>
      <c r="C1179" s="4" t="s">
        <v>64</v>
      </c>
      <c r="D1179" s="4" t="s">
        <v>825</v>
      </c>
      <c r="E1179" s="4">
        <v>2109908</v>
      </c>
      <c r="F1179" s="4" t="s">
        <v>2545</v>
      </c>
      <c r="G1179" s="4" t="s">
        <v>215</v>
      </c>
      <c r="H1179" s="4"/>
    </row>
    <row r="1180" s="1" customFormat="1" spans="1:8">
      <c r="A1180" s="4" t="s">
        <v>205</v>
      </c>
      <c r="B1180" s="4" t="s">
        <v>57</v>
      </c>
      <c r="C1180" s="4" t="s">
        <v>64</v>
      </c>
      <c r="D1180" s="4" t="s">
        <v>1231</v>
      </c>
      <c r="E1180" s="4">
        <v>2110005</v>
      </c>
      <c r="F1180" s="4" t="s">
        <v>2545</v>
      </c>
      <c r="G1180" s="4" t="s">
        <v>215</v>
      </c>
      <c r="H1180" s="4"/>
    </row>
    <row r="1181" s="1" customFormat="1" spans="1:8">
      <c r="A1181" s="4" t="s">
        <v>205</v>
      </c>
      <c r="B1181" s="4" t="s">
        <v>57</v>
      </c>
      <c r="C1181" s="4" t="s">
        <v>64</v>
      </c>
      <c r="D1181" s="4" t="s">
        <v>2546</v>
      </c>
      <c r="E1181" s="4">
        <v>2110203</v>
      </c>
      <c r="F1181" s="4" t="s">
        <v>2547</v>
      </c>
      <c r="G1181" s="4" t="s">
        <v>215</v>
      </c>
      <c r="H1181" s="4"/>
    </row>
    <row r="1182" s="1" customFormat="1" spans="1:8">
      <c r="A1182" s="4" t="s">
        <v>205</v>
      </c>
      <c r="B1182" s="4" t="s">
        <v>57</v>
      </c>
      <c r="C1182" s="4" t="s">
        <v>64</v>
      </c>
      <c r="D1182" s="4" t="s">
        <v>2548</v>
      </c>
      <c r="E1182" s="4">
        <v>2111508</v>
      </c>
      <c r="F1182" s="4" t="s">
        <v>2549</v>
      </c>
      <c r="G1182" s="4" t="s">
        <v>215</v>
      </c>
      <c r="H1182" s="4"/>
    </row>
    <row r="1183" s="1" customFormat="1" spans="1:8">
      <c r="A1183" s="4" t="s">
        <v>205</v>
      </c>
      <c r="B1183" s="4" t="s">
        <v>57</v>
      </c>
      <c r="C1183" s="4" t="s">
        <v>64</v>
      </c>
      <c r="D1183" s="4" t="s">
        <v>2550</v>
      </c>
      <c r="E1183" s="4">
        <v>2112704</v>
      </c>
      <c r="F1183" s="4" t="s">
        <v>2551</v>
      </c>
      <c r="G1183" s="4" t="s">
        <v>215</v>
      </c>
      <c r="H1183" s="4"/>
    </row>
    <row r="1184" s="1" customFormat="1" spans="1:8">
      <c r="A1184" s="4" t="s">
        <v>205</v>
      </c>
      <c r="B1184" s="4" t="s">
        <v>57</v>
      </c>
      <c r="C1184" s="4" t="s">
        <v>64</v>
      </c>
      <c r="D1184" s="4" t="s">
        <v>1852</v>
      </c>
      <c r="E1184" s="4">
        <v>2112803</v>
      </c>
      <c r="F1184" s="4" t="s">
        <v>2552</v>
      </c>
      <c r="G1184" s="4" t="s">
        <v>215</v>
      </c>
      <c r="H1184" s="4"/>
    </row>
    <row r="1185" s="1" customFormat="1" spans="1:8">
      <c r="A1185" s="4" t="s">
        <v>205</v>
      </c>
      <c r="B1185" s="4" t="s">
        <v>57</v>
      </c>
      <c r="C1185" s="4" t="s">
        <v>64</v>
      </c>
      <c r="D1185" s="4" t="s">
        <v>2553</v>
      </c>
      <c r="E1185" s="4">
        <v>2112902</v>
      </c>
      <c r="F1185" s="4" t="s">
        <v>2545</v>
      </c>
      <c r="G1185" s="4" t="s">
        <v>215</v>
      </c>
      <c r="H1185" s="4"/>
    </row>
    <row r="1186" s="1" customFormat="1" spans="1:8">
      <c r="A1186" s="4" t="s">
        <v>205</v>
      </c>
      <c r="B1186" s="4" t="s">
        <v>57</v>
      </c>
      <c r="C1186" s="4" t="s">
        <v>64</v>
      </c>
      <c r="D1186" s="4" t="s">
        <v>2554</v>
      </c>
      <c r="E1186" s="4">
        <v>2100105</v>
      </c>
      <c r="F1186" s="4" t="s">
        <v>2555</v>
      </c>
      <c r="G1186" s="4" t="s">
        <v>232</v>
      </c>
      <c r="H1186" s="4"/>
    </row>
    <row r="1187" s="1" customFormat="1" spans="1:8">
      <c r="A1187" s="4" t="s">
        <v>205</v>
      </c>
      <c r="B1187" s="4" t="s">
        <v>57</v>
      </c>
      <c r="C1187" s="4" t="s">
        <v>64</v>
      </c>
      <c r="D1187" s="4" t="s">
        <v>2556</v>
      </c>
      <c r="E1187" s="4">
        <v>2100204</v>
      </c>
      <c r="F1187" s="4" t="s">
        <v>2557</v>
      </c>
      <c r="G1187" s="4" t="s">
        <v>232</v>
      </c>
      <c r="H1187" s="4"/>
    </row>
    <row r="1188" s="1" customFormat="1" spans="1:8">
      <c r="A1188" s="4" t="s">
        <v>205</v>
      </c>
      <c r="B1188" s="4" t="s">
        <v>57</v>
      </c>
      <c r="C1188" s="4" t="s">
        <v>64</v>
      </c>
      <c r="D1188" s="4" t="s">
        <v>2558</v>
      </c>
      <c r="E1188" s="4">
        <v>2100303</v>
      </c>
      <c r="F1188" s="4" t="s">
        <v>2559</v>
      </c>
      <c r="G1188" s="4" t="s">
        <v>232</v>
      </c>
      <c r="H1188" s="4"/>
    </row>
    <row r="1189" s="1" customFormat="1" spans="1:8">
      <c r="A1189" s="4" t="s">
        <v>205</v>
      </c>
      <c r="B1189" s="4" t="s">
        <v>57</v>
      </c>
      <c r="C1189" s="4" t="s">
        <v>64</v>
      </c>
      <c r="D1189" s="4" t="s">
        <v>2560</v>
      </c>
      <c r="E1189" s="4">
        <v>2100402</v>
      </c>
      <c r="F1189" s="4" t="s">
        <v>2561</v>
      </c>
      <c r="G1189" s="4" t="s">
        <v>232</v>
      </c>
      <c r="H1189" s="4"/>
    </row>
    <row r="1190" s="1" customFormat="1" spans="1:8">
      <c r="A1190" s="4" t="s">
        <v>205</v>
      </c>
      <c r="B1190" s="4" t="s">
        <v>57</v>
      </c>
      <c r="C1190" s="4" t="s">
        <v>64</v>
      </c>
      <c r="D1190" s="4" t="s">
        <v>2562</v>
      </c>
      <c r="E1190" s="4">
        <v>2100477</v>
      </c>
      <c r="F1190" s="4" t="s">
        <v>2563</v>
      </c>
      <c r="G1190" s="4" t="s">
        <v>232</v>
      </c>
      <c r="H1190" s="4"/>
    </row>
    <row r="1191" s="1" customFormat="1" spans="1:8">
      <c r="A1191" s="4" t="s">
        <v>205</v>
      </c>
      <c r="B1191" s="4" t="s">
        <v>57</v>
      </c>
      <c r="C1191" s="4" t="s">
        <v>64</v>
      </c>
      <c r="D1191" s="4" t="s">
        <v>2564</v>
      </c>
      <c r="E1191" s="4">
        <v>2100808</v>
      </c>
      <c r="F1191" s="4" t="s">
        <v>2565</v>
      </c>
      <c r="G1191" s="4" t="s">
        <v>232</v>
      </c>
      <c r="H1191" s="4"/>
    </row>
    <row r="1192" s="1" customFormat="1" spans="1:8">
      <c r="A1192" s="4" t="s">
        <v>205</v>
      </c>
      <c r="B1192" s="4" t="s">
        <v>57</v>
      </c>
      <c r="C1192" s="4" t="s">
        <v>64</v>
      </c>
      <c r="D1192" s="4" t="s">
        <v>2566</v>
      </c>
      <c r="E1192" s="4">
        <v>2100873</v>
      </c>
      <c r="F1192" s="4" t="s">
        <v>2567</v>
      </c>
      <c r="G1192" s="4" t="s">
        <v>232</v>
      </c>
      <c r="H1192" s="4"/>
    </row>
    <row r="1193" s="1" customFormat="1" spans="1:8">
      <c r="A1193" s="4" t="s">
        <v>205</v>
      </c>
      <c r="B1193" s="4" t="s">
        <v>57</v>
      </c>
      <c r="C1193" s="4" t="s">
        <v>64</v>
      </c>
      <c r="D1193" s="7" t="s">
        <v>2568</v>
      </c>
      <c r="E1193" s="4">
        <v>2100907</v>
      </c>
      <c r="F1193" s="4" t="s">
        <v>2569</v>
      </c>
      <c r="G1193" s="4" t="s">
        <v>232</v>
      </c>
      <c r="H1193" s="4"/>
    </row>
    <row r="1194" s="1" customFormat="1" spans="1:8">
      <c r="A1194" s="4" t="s">
        <v>205</v>
      </c>
      <c r="B1194" s="4" t="s">
        <v>57</v>
      </c>
      <c r="C1194" s="4" t="s">
        <v>64</v>
      </c>
      <c r="D1194" s="4" t="s">
        <v>2570</v>
      </c>
      <c r="E1194" s="4">
        <v>2101202</v>
      </c>
      <c r="F1194" s="4" t="s">
        <v>2571</v>
      </c>
      <c r="G1194" s="4" t="s">
        <v>232</v>
      </c>
      <c r="H1194" s="4"/>
    </row>
    <row r="1195" s="1" customFormat="1" spans="1:8">
      <c r="A1195" s="4" t="s">
        <v>205</v>
      </c>
      <c r="B1195" s="4" t="s">
        <v>57</v>
      </c>
      <c r="C1195" s="4" t="s">
        <v>64</v>
      </c>
      <c r="D1195" s="4" t="s">
        <v>2572</v>
      </c>
      <c r="E1195" s="4">
        <v>2101350</v>
      </c>
      <c r="F1195" s="4" t="s">
        <v>2573</v>
      </c>
      <c r="G1195" s="4" t="s">
        <v>232</v>
      </c>
      <c r="H1195" s="4"/>
    </row>
    <row r="1196" s="1" customFormat="1" spans="1:8">
      <c r="A1196" s="4" t="s">
        <v>205</v>
      </c>
      <c r="B1196" s="4" t="s">
        <v>57</v>
      </c>
      <c r="C1196" s="4" t="s">
        <v>64</v>
      </c>
      <c r="D1196" s="4" t="s">
        <v>2574</v>
      </c>
      <c r="E1196" s="4">
        <v>2101707</v>
      </c>
      <c r="F1196" s="4" t="s">
        <v>2575</v>
      </c>
      <c r="G1196" s="4" t="s">
        <v>232</v>
      </c>
      <c r="H1196" s="4"/>
    </row>
    <row r="1197" s="1" customFormat="1" spans="1:8">
      <c r="A1197" s="4" t="s">
        <v>205</v>
      </c>
      <c r="B1197" s="4" t="s">
        <v>57</v>
      </c>
      <c r="C1197" s="4" t="s">
        <v>64</v>
      </c>
      <c r="D1197" s="4" t="s">
        <v>2576</v>
      </c>
      <c r="E1197" s="4">
        <v>2101731</v>
      </c>
      <c r="F1197" s="4" t="s">
        <v>2577</v>
      </c>
      <c r="G1197" s="4" t="s">
        <v>232</v>
      </c>
      <c r="H1197" s="4"/>
    </row>
    <row r="1198" s="1" customFormat="1" spans="1:8">
      <c r="A1198" s="4" t="s">
        <v>205</v>
      </c>
      <c r="B1198" s="4" t="s">
        <v>57</v>
      </c>
      <c r="C1198" s="4" t="s">
        <v>64</v>
      </c>
      <c r="D1198" s="4" t="s">
        <v>2578</v>
      </c>
      <c r="E1198" s="4">
        <v>2101905</v>
      </c>
      <c r="F1198" s="4" t="s">
        <v>2579</v>
      </c>
      <c r="G1198" s="4" t="s">
        <v>232</v>
      </c>
      <c r="H1198" s="4"/>
    </row>
    <row r="1199" s="1" customFormat="1" spans="1:8">
      <c r="A1199" s="4" t="s">
        <v>205</v>
      </c>
      <c r="B1199" s="4" t="s">
        <v>57</v>
      </c>
      <c r="C1199" s="4" t="s">
        <v>64</v>
      </c>
      <c r="D1199" s="4" t="s">
        <v>2580</v>
      </c>
      <c r="E1199" s="4">
        <v>2101939</v>
      </c>
      <c r="F1199" s="4" t="s">
        <v>2581</v>
      </c>
      <c r="G1199" s="4" t="s">
        <v>232</v>
      </c>
      <c r="H1199" s="4"/>
    </row>
    <row r="1200" s="1" customFormat="1" spans="1:8">
      <c r="A1200" s="4" t="s">
        <v>205</v>
      </c>
      <c r="B1200" s="4" t="s">
        <v>57</v>
      </c>
      <c r="C1200" s="4" t="s">
        <v>64</v>
      </c>
      <c r="D1200" s="4" t="s">
        <v>2582</v>
      </c>
      <c r="E1200" s="4">
        <v>2102077</v>
      </c>
      <c r="F1200" s="4" t="s">
        <v>2583</v>
      </c>
      <c r="G1200" s="4" t="s">
        <v>232</v>
      </c>
      <c r="H1200" s="4"/>
    </row>
    <row r="1201" s="1" customFormat="1" spans="1:8">
      <c r="A1201" s="4" t="s">
        <v>205</v>
      </c>
      <c r="B1201" s="4" t="s">
        <v>57</v>
      </c>
      <c r="C1201" s="4" t="s">
        <v>64</v>
      </c>
      <c r="D1201" s="4" t="s">
        <v>2584</v>
      </c>
      <c r="E1201" s="4">
        <v>2102101</v>
      </c>
      <c r="F1201" s="4" t="s">
        <v>2585</v>
      </c>
      <c r="G1201" s="4" t="s">
        <v>232</v>
      </c>
      <c r="H1201" s="4"/>
    </row>
    <row r="1202" s="1" customFormat="1" spans="1:8">
      <c r="A1202" s="4" t="s">
        <v>205</v>
      </c>
      <c r="B1202" s="4" t="s">
        <v>57</v>
      </c>
      <c r="C1202" s="4" t="s">
        <v>64</v>
      </c>
      <c r="D1202" s="4" t="s">
        <v>2586</v>
      </c>
      <c r="E1202" s="4">
        <v>2102150</v>
      </c>
      <c r="F1202" s="4" t="s">
        <v>2587</v>
      </c>
      <c r="G1202" s="4" t="s">
        <v>232</v>
      </c>
      <c r="H1202" s="4"/>
    </row>
    <row r="1203" s="1" customFormat="1" spans="1:8">
      <c r="A1203" s="4" t="s">
        <v>205</v>
      </c>
      <c r="B1203" s="4" t="s">
        <v>57</v>
      </c>
      <c r="C1203" s="4" t="s">
        <v>64</v>
      </c>
      <c r="D1203" s="4" t="s">
        <v>2588</v>
      </c>
      <c r="E1203" s="4">
        <v>2102200</v>
      </c>
      <c r="F1203" s="4" t="s">
        <v>2589</v>
      </c>
      <c r="G1203" s="4" t="s">
        <v>232</v>
      </c>
      <c r="H1203" s="4"/>
    </row>
    <row r="1204" s="1" customFormat="1" spans="1:8">
      <c r="A1204" s="4" t="s">
        <v>205</v>
      </c>
      <c r="B1204" s="4" t="s">
        <v>57</v>
      </c>
      <c r="C1204" s="4" t="s">
        <v>64</v>
      </c>
      <c r="D1204" s="4" t="s">
        <v>2590</v>
      </c>
      <c r="E1204" s="4">
        <v>2102408</v>
      </c>
      <c r="F1204" s="4" t="s">
        <v>2591</v>
      </c>
      <c r="G1204" s="4" t="s">
        <v>232</v>
      </c>
      <c r="H1204" s="4"/>
    </row>
    <row r="1205" s="1" customFormat="1" spans="1:8">
      <c r="A1205" s="4" t="s">
        <v>205</v>
      </c>
      <c r="B1205" s="4" t="s">
        <v>57</v>
      </c>
      <c r="C1205" s="4" t="s">
        <v>64</v>
      </c>
      <c r="D1205" s="4" t="s">
        <v>2592</v>
      </c>
      <c r="E1205" s="4">
        <v>2102754</v>
      </c>
      <c r="F1205" s="4" t="s">
        <v>2593</v>
      </c>
      <c r="G1205" s="4" t="s">
        <v>232</v>
      </c>
      <c r="H1205" s="4"/>
    </row>
    <row r="1206" s="1" customFormat="1" spans="1:8">
      <c r="A1206" s="4" t="s">
        <v>205</v>
      </c>
      <c r="B1206" s="4" t="s">
        <v>57</v>
      </c>
      <c r="C1206" s="4" t="s">
        <v>64</v>
      </c>
      <c r="D1206" s="4" t="s">
        <v>2594</v>
      </c>
      <c r="E1206" s="4">
        <v>2102903</v>
      </c>
      <c r="F1206" s="4" t="s">
        <v>2595</v>
      </c>
      <c r="G1206" s="4" t="s">
        <v>232</v>
      </c>
      <c r="H1206" s="4"/>
    </row>
    <row r="1207" s="1" customFormat="1" spans="1:8">
      <c r="A1207" s="4" t="s">
        <v>205</v>
      </c>
      <c r="B1207" s="4" t="s">
        <v>57</v>
      </c>
      <c r="C1207" s="4" t="s">
        <v>64</v>
      </c>
      <c r="D1207" s="4" t="s">
        <v>2596</v>
      </c>
      <c r="E1207" s="4">
        <v>2103000</v>
      </c>
      <c r="F1207" s="4" t="s">
        <v>2597</v>
      </c>
      <c r="G1207" s="4" t="s">
        <v>232</v>
      </c>
      <c r="H1207" s="4"/>
    </row>
    <row r="1208" s="1" customFormat="1" spans="1:8">
      <c r="A1208" s="4" t="s">
        <v>205</v>
      </c>
      <c r="B1208" s="4" t="s">
        <v>57</v>
      </c>
      <c r="C1208" s="4" t="s">
        <v>64</v>
      </c>
      <c r="D1208" s="4" t="s">
        <v>2598</v>
      </c>
      <c r="E1208" s="4">
        <v>2103109</v>
      </c>
      <c r="F1208" s="4" t="s">
        <v>2599</v>
      </c>
      <c r="G1208" s="4" t="s">
        <v>232</v>
      </c>
      <c r="H1208" s="4"/>
    </row>
    <row r="1209" s="1" customFormat="1" spans="1:8">
      <c r="A1209" s="4" t="s">
        <v>205</v>
      </c>
      <c r="B1209" s="4" t="s">
        <v>57</v>
      </c>
      <c r="C1209" s="4" t="s">
        <v>64</v>
      </c>
      <c r="D1209" s="4" t="s">
        <v>2600</v>
      </c>
      <c r="E1209" s="4">
        <v>2103125</v>
      </c>
      <c r="F1209" s="4" t="s">
        <v>2601</v>
      </c>
      <c r="G1209" s="4" t="s">
        <v>232</v>
      </c>
      <c r="H1209" s="4"/>
    </row>
    <row r="1210" s="1" customFormat="1" spans="1:8">
      <c r="A1210" s="4" t="s">
        <v>205</v>
      </c>
      <c r="B1210" s="4" t="s">
        <v>57</v>
      </c>
      <c r="C1210" s="4" t="s">
        <v>64</v>
      </c>
      <c r="D1210" s="4" t="s">
        <v>2602</v>
      </c>
      <c r="E1210" s="4">
        <v>2103158</v>
      </c>
      <c r="F1210" s="4" t="s">
        <v>2603</v>
      </c>
      <c r="G1210" s="4" t="s">
        <v>232</v>
      </c>
      <c r="H1210" s="4"/>
    </row>
    <row r="1211" s="1" customFormat="1" spans="1:8">
      <c r="A1211" s="4" t="s">
        <v>205</v>
      </c>
      <c r="B1211" s="4" t="s">
        <v>57</v>
      </c>
      <c r="C1211" s="4" t="s">
        <v>64</v>
      </c>
      <c r="D1211" s="4" t="s">
        <v>2604</v>
      </c>
      <c r="E1211" s="4">
        <v>2103174</v>
      </c>
      <c r="F1211" s="4" t="s">
        <v>2605</v>
      </c>
      <c r="G1211" s="4" t="s">
        <v>232</v>
      </c>
      <c r="H1211" s="4"/>
    </row>
    <row r="1212" s="1" customFormat="1" spans="1:8">
      <c r="A1212" s="4" t="s">
        <v>205</v>
      </c>
      <c r="B1212" s="4" t="s">
        <v>57</v>
      </c>
      <c r="C1212" s="4" t="s">
        <v>64</v>
      </c>
      <c r="D1212" s="4" t="s">
        <v>2606</v>
      </c>
      <c r="E1212" s="4">
        <v>2103208</v>
      </c>
      <c r="F1212" s="4" t="s">
        <v>2607</v>
      </c>
      <c r="G1212" s="4" t="s">
        <v>232</v>
      </c>
      <c r="H1212" s="4"/>
    </row>
    <row r="1213" s="1" customFormat="1" spans="1:8">
      <c r="A1213" s="4" t="s">
        <v>205</v>
      </c>
      <c r="B1213" s="4" t="s">
        <v>57</v>
      </c>
      <c r="C1213" s="4" t="s">
        <v>64</v>
      </c>
      <c r="D1213" s="4" t="s">
        <v>2608</v>
      </c>
      <c r="E1213" s="4">
        <v>2103307</v>
      </c>
      <c r="F1213" s="4" t="s">
        <v>2609</v>
      </c>
      <c r="G1213" s="4" t="s">
        <v>232</v>
      </c>
      <c r="H1213" s="4"/>
    </row>
    <row r="1214" s="1" customFormat="1" spans="1:8">
      <c r="A1214" s="4" t="s">
        <v>205</v>
      </c>
      <c r="B1214" s="4" t="s">
        <v>57</v>
      </c>
      <c r="C1214" s="4" t="s">
        <v>64</v>
      </c>
      <c r="D1214" s="4" t="s">
        <v>2610</v>
      </c>
      <c r="E1214" s="4">
        <v>2103406</v>
      </c>
      <c r="F1214" s="4" t="s">
        <v>2611</v>
      </c>
      <c r="G1214" s="4" t="s">
        <v>232</v>
      </c>
      <c r="H1214" s="4"/>
    </row>
    <row r="1215" s="1" customFormat="1" spans="1:8">
      <c r="A1215" s="4" t="s">
        <v>205</v>
      </c>
      <c r="B1215" s="4" t="s">
        <v>57</v>
      </c>
      <c r="C1215" s="4" t="s">
        <v>64</v>
      </c>
      <c r="D1215" s="4" t="s">
        <v>2612</v>
      </c>
      <c r="E1215" s="4">
        <v>2103554</v>
      </c>
      <c r="F1215" s="4" t="s">
        <v>2613</v>
      </c>
      <c r="G1215" s="4" t="s">
        <v>232</v>
      </c>
      <c r="H1215" s="4"/>
    </row>
    <row r="1216" s="1" customFormat="1" spans="1:8">
      <c r="A1216" s="4" t="s">
        <v>205</v>
      </c>
      <c r="B1216" s="4" t="s">
        <v>57</v>
      </c>
      <c r="C1216" s="4" t="s">
        <v>64</v>
      </c>
      <c r="D1216" s="4" t="s">
        <v>2614</v>
      </c>
      <c r="E1216" s="4">
        <v>2103604</v>
      </c>
      <c r="F1216" s="4" t="s">
        <v>2615</v>
      </c>
      <c r="G1216" s="4" t="s">
        <v>232</v>
      </c>
      <c r="H1216" s="4"/>
    </row>
    <row r="1217" s="1" customFormat="1" spans="1:8">
      <c r="A1217" s="4" t="s">
        <v>205</v>
      </c>
      <c r="B1217" s="4" t="s">
        <v>57</v>
      </c>
      <c r="C1217" s="4" t="s">
        <v>64</v>
      </c>
      <c r="D1217" s="4" t="s">
        <v>2616</v>
      </c>
      <c r="E1217" s="4">
        <v>2103703</v>
      </c>
      <c r="F1217" s="4" t="s">
        <v>2617</v>
      </c>
      <c r="G1217" s="4" t="s">
        <v>232</v>
      </c>
      <c r="H1217" s="4"/>
    </row>
    <row r="1218" s="1" customFormat="1" spans="1:8">
      <c r="A1218" s="4" t="s">
        <v>205</v>
      </c>
      <c r="B1218" s="4" t="s">
        <v>57</v>
      </c>
      <c r="C1218" s="4" t="s">
        <v>64</v>
      </c>
      <c r="D1218" s="4" t="s">
        <v>2618</v>
      </c>
      <c r="E1218" s="4">
        <v>2102606</v>
      </c>
      <c r="F1218" s="4" t="s">
        <v>2619</v>
      </c>
      <c r="G1218" s="4" t="s">
        <v>232</v>
      </c>
      <c r="H1218" s="4"/>
    </row>
    <row r="1219" s="1" customFormat="1" spans="1:8">
      <c r="A1219" s="4" t="s">
        <v>205</v>
      </c>
      <c r="B1219" s="4" t="s">
        <v>57</v>
      </c>
      <c r="C1219" s="4" t="s">
        <v>64</v>
      </c>
      <c r="D1219" s="4" t="s">
        <v>2620</v>
      </c>
      <c r="E1219" s="4">
        <v>2103802</v>
      </c>
      <c r="F1219" s="4" t="s">
        <v>2621</v>
      </c>
      <c r="G1219" s="4" t="s">
        <v>232</v>
      </c>
      <c r="H1219" s="4"/>
    </row>
    <row r="1220" s="1" customFormat="1" spans="1:8">
      <c r="A1220" s="4" t="s">
        <v>205</v>
      </c>
      <c r="B1220" s="4" t="s">
        <v>57</v>
      </c>
      <c r="C1220" s="4" t="s">
        <v>64</v>
      </c>
      <c r="D1220" s="4" t="s">
        <v>2622</v>
      </c>
      <c r="E1220" s="4">
        <v>2103901</v>
      </c>
      <c r="F1220" s="4" t="s">
        <v>2623</v>
      </c>
      <c r="G1220" s="4" t="s">
        <v>232</v>
      </c>
      <c r="H1220" s="4"/>
    </row>
    <row r="1221" s="1" customFormat="1" spans="1:8">
      <c r="A1221" s="4" t="s">
        <v>205</v>
      </c>
      <c r="B1221" s="4" t="s">
        <v>57</v>
      </c>
      <c r="C1221" s="4" t="s">
        <v>64</v>
      </c>
      <c r="D1221" s="4" t="s">
        <v>2624</v>
      </c>
      <c r="E1221" s="4">
        <v>2104008</v>
      </c>
      <c r="F1221" s="4" t="s">
        <v>2625</v>
      </c>
      <c r="G1221" s="4" t="s">
        <v>232</v>
      </c>
      <c r="H1221" s="4"/>
    </row>
    <row r="1222" s="1" customFormat="1" spans="1:8">
      <c r="A1222" s="4" t="s">
        <v>205</v>
      </c>
      <c r="B1222" s="4" t="s">
        <v>57</v>
      </c>
      <c r="C1222" s="4" t="s">
        <v>64</v>
      </c>
      <c r="D1222" s="4" t="s">
        <v>2626</v>
      </c>
      <c r="E1222" s="4">
        <v>2104206</v>
      </c>
      <c r="F1222" s="4" t="s">
        <v>2627</v>
      </c>
      <c r="G1222" s="4" t="s">
        <v>232</v>
      </c>
      <c r="H1222" s="4"/>
    </row>
    <row r="1223" s="1" customFormat="1" spans="1:8">
      <c r="A1223" s="4" t="s">
        <v>205</v>
      </c>
      <c r="B1223" s="4" t="s">
        <v>57</v>
      </c>
      <c r="C1223" s="4" t="s">
        <v>64</v>
      </c>
      <c r="D1223" s="4" t="s">
        <v>2628</v>
      </c>
      <c r="E1223" s="4">
        <v>2104305</v>
      </c>
      <c r="F1223" s="4" t="s">
        <v>2629</v>
      </c>
      <c r="G1223" s="4" t="s">
        <v>232</v>
      </c>
      <c r="H1223" s="4"/>
    </row>
    <row r="1224" s="1" customFormat="1" spans="1:8">
      <c r="A1224" s="4" t="s">
        <v>205</v>
      </c>
      <c r="B1224" s="4" t="s">
        <v>57</v>
      </c>
      <c r="C1224" s="4" t="s">
        <v>64</v>
      </c>
      <c r="D1224" s="4" t="s">
        <v>2630</v>
      </c>
      <c r="E1224" s="4">
        <v>2104404</v>
      </c>
      <c r="F1224" s="4" t="s">
        <v>2631</v>
      </c>
      <c r="G1224" s="4" t="s">
        <v>232</v>
      </c>
      <c r="H1224" s="4"/>
    </row>
    <row r="1225" s="1" customFormat="1" spans="1:8">
      <c r="A1225" s="4" t="s">
        <v>205</v>
      </c>
      <c r="B1225" s="4" t="s">
        <v>57</v>
      </c>
      <c r="C1225" s="4" t="s">
        <v>64</v>
      </c>
      <c r="D1225" s="4" t="s">
        <v>2632</v>
      </c>
      <c r="E1225" s="4">
        <v>2104503</v>
      </c>
      <c r="F1225" s="4" t="s">
        <v>2633</v>
      </c>
      <c r="G1225" s="4" t="s">
        <v>232</v>
      </c>
      <c r="H1225" s="4"/>
    </row>
    <row r="1226" s="1" customFormat="1" spans="1:8">
      <c r="A1226" s="4" t="s">
        <v>205</v>
      </c>
      <c r="B1226" s="4" t="s">
        <v>57</v>
      </c>
      <c r="C1226" s="4" t="s">
        <v>64</v>
      </c>
      <c r="D1226" s="4" t="s">
        <v>2634</v>
      </c>
      <c r="E1226" s="4">
        <v>2104602</v>
      </c>
      <c r="F1226" s="4" t="s">
        <v>2635</v>
      </c>
      <c r="G1226" s="4" t="s">
        <v>232</v>
      </c>
      <c r="H1226" s="4"/>
    </row>
    <row r="1227" s="1" customFormat="1" spans="1:8">
      <c r="A1227" s="4" t="s">
        <v>205</v>
      </c>
      <c r="B1227" s="4" t="s">
        <v>57</v>
      </c>
      <c r="C1227" s="4" t="s">
        <v>64</v>
      </c>
      <c r="D1227" s="4" t="s">
        <v>2636</v>
      </c>
      <c r="E1227" s="4">
        <v>2104628</v>
      </c>
      <c r="F1227" s="4" t="s">
        <v>2637</v>
      </c>
      <c r="G1227" s="4" t="s">
        <v>232</v>
      </c>
      <c r="H1227" s="4"/>
    </row>
    <row r="1228" s="1" customFormat="1" spans="1:8">
      <c r="A1228" s="4" t="s">
        <v>205</v>
      </c>
      <c r="B1228" s="4" t="s">
        <v>57</v>
      </c>
      <c r="C1228" s="4" t="s">
        <v>64</v>
      </c>
      <c r="D1228" s="4" t="s">
        <v>2638</v>
      </c>
      <c r="E1228" s="4">
        <v>2104651</v>
      </c>
      <c r="F1228" s="4" t="s">
        <v>2639</v>
      </c>
      <c r="G1228" s="4" t="s">
        <v>232</v>
      </c>
      <c r="H1228" s="4"/>
    </row>
    <row r="1229" s="1" customFormat="1" spans="1:8">
      <c r="A1229" s="4" t="s">
        <v>205</v>
      </c>
      <c r="B1229" s="4" t="s">
        <v>57</v>
      </c>
      <c r="C1229" s="4" t="s">
        <v>64</v>
      </c>
      <c r="D1229" s="4" t="s">
        <v>2640</v>
      </c>
      <c r="E1229" s="4">
        <v>2104677</v>
      </c>
      <c r="F1229" s="4" t="s">
        <v>2641</v>
      </c>
      <c r="G1229" s="4" t="s">
        <v>232</v>
      </c>
      <c r="H1229" s="4"/>
    </row>
    <row r="1230" s="1" customFormat="1" spans="1:8">
      <c r="A1230" s="4" t="s">
        <v>205</v>
      </c>
      <c r="B1230" s="4" t="s">
        <v>57</v>
      </c>
      <c r="C1230" s="4" t="s">
        <v>64</v>
      </c>
      <c r="D1230" s="4" t="s">
        <v>2642</v>
      </c>
      <c r="E1230" s="4">
        <v>2104701</v>
      </c>
      <c r="F1230" s="4" t="s">
        <v>2643</v>
      </c>
      <c r="G1230" s="4" t="s">
        <v>232</v>
      </c>
      <c r="H1230" s="4"/>
    </row>
    <row r="1231" s="1" customFormat="1" spans="1:8">
      <c r="A1231" s="4" t="s">
        <v>205</v>
      </c>
      <c r="B1231" s="4" t="s">
        <v>57</v>
      </c>
      <c r="C1231" s="4" t="s">
        <v>64</v>
      </c>
      <c r="D1231" s="4" t="s">
        <v>2644</v>
      </c>
      <c r="E1231" s="4">
        <v>2104909</v>
      </c>
      <c r="F1231" s="4" t="s">
        <v>2645</v>
      </c>
      <c r="G1231" s="4" t="s">
        <v>232</v>
      </c>
      <c r="H1231" s="4"/>
    </row>
    <row r="1232" s="1" customFormat="1" spans="1:8">
      <c r="A1232" s="4" t="s">
        <v>205</v>
      </c>
      <c r="B1232" s="4" t="s">
        <v>57</v>
      </c>
      <c r="C1232" s="4" t="s">
        <v>64</v>
      </c>
      <c r="D1232" s="4" t="s">
        <v>2646</v>
      </c>
      <c r="E1232" s="4">
        <v>2105203</v>
      </c>
      <c r="F1232" s="4" t="s">
        <v>2647</v>
      </c>
      <c r="G1232" s="4" t="s">
        <v>232</v>
      </c>
      <c r="H1232" s="4"/>
    </row>
    <row r="1233" s="1" customFormat="1" spans="1:8">
      <c r="A1233" s="4" t="s">
        <v>205</v>
      </c>
      <c r="B1233" s="4" t="s">
        <v>57</v>
      </c>
      <c r="C1233" s="4" t="s">
        <v>64</v>
      </c>
      <c r="D1233" s="4" t="s">
        <v>2648</v>
      </c>
      <c r="E1233" s="4">
        <v>2105450</v>
      </c>
      <c r="F1233" s="4" t="s">
        <v>2649</v>
      </c>
      <c r="G1233" s="4" t="s">
        <v>232</v>
      </c>
      <c r="H1233" s="4"/>
    </row>
    <row r="1234" s="1" customFormat="1" spans="1:8">
      <c r="A1234" s="4" t="s">
        <v>205</v>
      </c>
      <c r="B1234" s="4" t="s">
        <v>57</v>
      </c>
      <c r="C1234" s="4" t="s">
        <v>64</v>
      </c>
      <c r="D1234" s="4" t="s">
        <v>2650</v>
      </c>
      <c r="E1234" s="4">
        <v>2105609</v>
      </c>
      <c r="F1234" s="4" t="s">
        <v>2651</v>
      </c>
      <c r="G1234" s="4" t="s">
        <v>232</v>
      </c>
      <c r="H1234" s="4"/>
    </row>
    <row r="1235" s="1" customFormat="1" spans="1:8">
      <c r="A1235" s="4" t="s">
        <v>205</v>
      </c>
      <c r="B1235" s="4" t="s">
        <v>57</v>
      </c>
      <c r="C1235" s="4" t="s">
        <v>64</v>
      </c>
      <c r="D1235" s="4" t="s">
        <v>2652</v>
      </c>
      <c r="E1235" s="4">
        <v>2105807</v>
      </c>
      <c r="F1235" s="4" t="s">
        <v>2653</v>
      </c>
      <c r="G1235" s="4" t="s">
        <v>232</v>
      </c>
      <c r="H1235" s="4"/>
    </row>
    <row r="1236" s="1" customFormat="1" spans="1:8">
      <c r="A1236" s="4" t="s">
        <v>205</v>
      </c>
      <c r="B1236" s="4" t="s">
        <v>57</v>
      </c>
      <c r="C1236" s="4" t="s">
        <v>64</v>
      </c>
      <c r="D1236" s="4" t="s">
        <v>2654</v>
      </c>
      <c r="E1236" s="4">
        <v>2105948</v>
      </c>
      <c r="F1236" s="4" t="s">
        <v>2655</v>
      </c>
      <c r="G1236" s="4" t="s">
        <v>232</v>
      </c>
      <c r="H1236" s="4"/>
    </row>
    <row r="1237" s="1" customFormat="1" spans="1:8">
      <c r="A1237" s="4" t="s">
        <v>205</v>
      </c>
      <c r="B1237" s="4" t="s">
        <v>57</v>
      </c>
      <c r="C1237" s="4" t="s">
        <v>64</v>
      </c>
      <c r="D1237" s="4" t="s">
        <v>2656</v>
      </c>
      <c r="E1237" s="4">
        <v>2105906</v>
      </c>
      <c r="F1237" s="4" t="s">
        <v>2657</v>
      </c>
      <c r="G1237" s="4" t="s">
        <v>232</v>
      </c>
      <c r="H1237" s="4"/>
    </row>
    <row r="1238" s="1" customFormat="1" spans="1:8">
      <c r="A1238" s="4" t="s">
        <v>205</v>
      </c>
      <c r="B1238" s="4" t="s">
        <v>57</v>
      </c>
      <c r="C1238" s="4" t="s">
        <v>64</v>
      </c>
      <c r="D1238" s="4" t="s">
        <v>2658</v>
      </c>
      <c r="E1238" s="4">
        <v>2105963</v>
      </c>
      <c r="F1238" s="4" t="s">
        <v>2659</v>
      </c>
      <c r="G1238" s="4" t="s">
        <v>232</v>
      </c>
      <c r="H1238" s="4"/>
    </row>
    <row r="1239" s="1" customFormat="1" spans="1:8">
      <c r="A1239" s="4" t="s">
        <v>205</v>
      </c>
      <c r="B1239" s="4" t="s">
        <v>57</v>
      </c>
      <c r="C1239" s="4" t="s">
        <v>64</v>
      </c>
      <c r="D1239" s="4" t="s">
        <v>2660</v>
      </c>
      <c r="E1239" s="4">
        <v>2106003</v>
      </c>
      <c r="F1239" s="4" t="s">
        <v>2661</v>
      </c>
      <c r="G1239" s="4" t="s">
        <v>232</v>
      </c>
      <c r="H1239" s="4"/>
    </row>
    <row r="1240" s="1" customFormat="1" spans="1:8">
      <c r="A1240" s="4" t="s">
        <v>205</v>
      </c>
      <c r="B1240" s="4" t="s">
        <v>57</v>
      </c>
      <c r="C1240" s="4" t="s">
        <v>64</v>
      </c>
      <c r="D1240" s="4" t="s">
        <v>2662</v>
      </c>
      <c r="E1240" s="4">
        <v>2106300</v>
      </c>
      <c r="F1240" s="4" t="s">
        <v>2663</v>
      </c>
      <c r="G1240" s="4" t="s">
        <v>232</v>
      </c>
      <c r="H1240" s="4"/>
    </row>
    <row r="1241" s="1" customFormat="1" spans="1:8">
      <c r="A1241" s="4" t="s">
        <v>205</v>
      </c>
      <c r="B1241" s="4" t="s">
        <v>57</v>
      </c>
      <c r="C1241" s="4" t="s">
        <v>64</v>
      </c>
      <c r="D1241" s="4" t="s">
        <v>2664</v>
      </c>
      <c r="E1241" s="4">
        <v>2106326</v>
      </c>
      <c r="F1241" s="4" t="s">
        <v>2665</v>
      </c>
      <c r="G1241" s="4" t="s">
        <v>232</v>
      </c>
      <c r="H1241" s="4"/>
    </row>
    <row r="1242" s="1" customFormat="1" spans="1:8">
      <c r="A1242" s="4" t="s">
        <v>205</v>
      </c>
      <c r="B1242" s="4" t="s">
        <v>57</v>
      </c>
      <c r="C1242" s="4" t="s">
        <v>64</v>
      </c>
      <c r="D1242" s="4" t="s">
        <v>2666</v>
      </c>
      <c r="E1242" s="4">
        <v>2106359</v>
      </c>
      <c r="F1242" s="4" t="s">
        <v>2667</v>
      </c>
      <c r="G1242" s="4" t="s">
        <v>232</v>
      </c>
      <c r="H1242" s="4"/>
    </row>
    <row r="1243" s="1" customFormat="1" spans="1:8">
      <c r="A1243" s="4" t="s">
        <v>205</v>
      </c>
      <c r="B1243" s="4" t="s">
        <v>57</v>
      </c>
      <c r="C1243" s="4" t="s">
        <v>64</v>
      </c>
      <c r="D1243" s="4" t="s">
        <v>2668</v>
      </c>
      <c r="E1243" s="4">
        <v>2106375</v>
      </c>
      <c r="F1243" s="4" t="s">
        <v>2669</v>
      </c>
      <c r="G1243" s="4" t="s">
        <v>232</v>
      </c>
      <c r="H1243" s="4"/>
    </row>
    <row r="1244" s="1" customFormat="1" spans="1:8">
      <c r="A1244" s="4" t="s">
        <v>205</v>
      </c>
      <c r="B1244" s="4" t="s">
        <v>57</v>
      </c>
      <c r="C1244" s="4" t="s">
        <v>64</v>
      </c>
      <c r="D1244" s="4" t="s">
        <v>2670</v>
      </c>
      <c r="E1244" s="4">
        <v>2106409</v>
      </c>
      <c r="F1244" s="4" t="s">
        <v>2671</v>
      </c>
      <c r="G1244" s="4" t="s">
        <v>232</v>
      </c>
      <c r="H1244" s="4"/>
    </row>
    <row r="1245" s="1" customFormat="1" spans="1:8">
      <c r="A1245" s="4" t="s">
        <v>205</v>
      </c>
      <c r="B1245" s="4" t="s">
        <v>57</v>
      </c>
      <c r="C1245" s="4" t="s">
        <v>64</v>
      </c>
      <c r="D1245" s="4" t="s">
        <v>2672</v>
      </c>
      <c r="E1245" s="4">
        <v>2106607</v>
      </c>
      <c r="F1245" s="4" t="s">
        <v>2673</v>
      </c>
      <c r="G1245" s="4" t="s">
        <v>232</v>
      </c>
      <c r="H1245" s="4"/>
    </row>
    <row r="1246" s="1" customFormat="1" spans="1:8">
      <c r="A1246" s="4" t="s">
        <v>205</v>
      </c>
      <c r="B1246" s="4" t="s">
        <v>57</v>
      </c>
      <c r="C1246" s="4" t="s">
        <v>64</v>
      </c>
      <c r="D1246" s="4" t="s">
        <v>2674</v>
      </c>
      <c r="E1246" s="4">
        <v>2106672</v>
      </c>
      <c r="F1246" s="4" t="s">
        <v>2675</v>
      </c>
      <c r="G1246" s="4" t="s">
        <v>232</v>
      </c>
      <c r="H1246" s="4"/>
    </row>
    <row r="1247" s="1" customFormat="1" spans="1:8">
      <c r="A1247" s="4" t="s">
        <v>205</v>
      </c>
      <c r="B1247" s="4" t="s">
        <v>57</v>
      </c>
      <c r="C1247" s="4" t="s">
        <v>64</v>
      </c>
      <c r="D1247" s="4" t="s">
        <v>2676</v>
      </c>
      <c r="E1247" s="4">
        <v>2106805</v>
      </c>
      <c r="F1247" s="4" t="s">
        <v>2677</v>
      </c>
      <c r="G1247" s="4" t="s">
        <v>232</v>
      </c>
      <c r="H1247" s="4"/>
    </row>
    <row r="1248" s="1" customFormat="1" spans="1:8">
      <c r="A1248" s="4" t="s">
        <v>205</v>
      </c>
      <c r="B1248" s="4" t="s">
        <v>57</v>
      </c>
      <c r="C1248" s="4" t="s">
        <v>64</v>
      </c>
      <c r="D1248" s="4" t="s">
        <v>2678</v>
      </c>
      <c r="E1248" s="4">
        <v>2106904</v>
      </c>
      <c r="F1248" s="4" t="s">
        <v>2679</v>
      </c>
      <c r="G1248" s="4" t="s">
        <v>232</v>
      </c>
      <c r="H1248" s="4"/>
    </row>
    <row r="1249" s="1" customFormat="1" spans="1:8">
      <c r="A1249" s="4" t="s">
        <v>205</v>
      </c>
      <c r="B1249" s="4" t="s">
        <v>57</v>
      </c>
      <c r="C1249" s="4" t="s">
        <v>64</v>
      </c>
      <c r="D1249" s="4" t="s">
        <v>2680</v>
      </c>
      <c r="E1249" s="4">
        <v>2107357</v>
      </c>
      <c r="F1249" s="4" t="s">
        <v>2681</v>
      </c>
      <c r="G1249" s="4" t="s">
        <v>232</v>
      </c>
      <c r="H1249" s="4"/>
    </row>
    <row r="1250" s="1" customFormat="1" spans="1:8">
      <c r="A1250" s="4" t="s">
        <v>205</v>
      </c>
      <c r="B1250" s="4" t="s">
        <v>57</v>
      </c>
      <c r="C1250" s="4" t="s">
        <v>64</v>
      </c>
      <c r="D1250" s="4" t="s">
        <v>2682</v>
      </c>
      <c r="E1250" s="4">
        <v>2107407</v>
      </c>
      <c r="F1250" s="4" t="s">
        <v>2683</v>
      </c>
      <c r="G1250" s="4" t="s">
        <v>232</v>
      </c>
      <c r="H1250" s="4"/>
    </row>
    <row r="1251" s="1" customFormat="1" spans="1:8">
      <c r="A1251" s="4" t="s">
        <v>205</v>
      </c>
      <c r="B1251" s="4" t="s">
        <v>57</v>
      </c>
      <c r="C1251" s="4" t="s">
        <v>64</v>
      </c>
      <c r="D1251" s="4" t="s">
        <v>2684</v>
      </c>
      <c r="E1251" s="4">
        <v>2107456</v>
      </c>
      <c r="F1251" s="4" t="s">
        <v>2685</v>
      </c>
      <c r="G1251" s="4" t="s">
        <v>232</v>
      </c>
      <c r="H1251" s="4"/>
    </row>
    <row r="1252" s="1" customFormat="1" spans="1:8">
      <c r="A1252" s="4" t="s">
        <v>205</v>
      </c>
      <c r="B1252" s="4" t="s">
        <v>57</v>
      </c>
      <c r="C1252" s="4" t="s">
        <v>64</v>
      </c>
      <c r="D1252" s="4" t="s">
        <v>2686</v>
      </c>
      <c r="E1252" s="4">
        <v>2107605</v>
      </c>
      <c r="F1252" s="4" t="s">
        <v>2687</v>
      </c>
      <c r="G1252" s="4" t="s">
        <v>232</v>
      </c>
      <c r="H1252" s="4"/>
    </row>
    <row r="1253" s="1" customFormat="1" spans="1:8">
      <c r="A1253" s="4" t="s">
        <v>205</v>
      </c>
      <c r="B1253" s="4" t="s">
        <v>57</v>
      </c>
      <c r="C1253" s="4" t="s">
        <v>64</v>
      </c>
      <c r="D1253" s="4" t="s">
        <v>2688</v>
      </c>
      <c r="E1253" s="4">
        <v>2108058</v>
      </c>
      <c r="F1253" s="4" t="s">
        <v>2689</v>
      </c>
      <c r="G1253" s="4" t="s">
        <v>232</v>
      </c>
      <c r="H1253" s="4"/>
    </row>
    <row r="1254" s="1" customFormat="1" spans="1:8">
      <c r="A1254" s="4" t="s">
        <v>205</v>
      </c>
      <c r="B1254" s="4" t="s">
        <v>57</v>
      </c>
      <c r="C1254" s="4" t="s">
        <v>64</v>
      </c>
      <c r="D1254" s="4" t="s">
        <v>2690</v>
      </c>
      <c r="E1254" s="4">
        <v>2108108</v>
      </c>
      <c r="F1254" s="4" t="s">
        <v>2691</v>
      </c>
      <c r="G1254" s="4" t="s">
        <v>232</v>
      </c>
      <c r="H1254" s="4"/>
    </row>
    <row r="1255" s="1" customFormat="1" spans="1:8">
      <c r="A1255" s="4" t="s">
        <v>205</v>
      </c>
      <c r="B1255" s="4" t="s">
        <v>57</v>
      </c>
      <c r="C1255" s="4" t="s">
        <v>64</v>
      </c>
      <c r="D1255" s="4" t="s">
        <v>2692</v>
      </c>
      <c r="E1255" s="4">
        <v>2108207</v>
      </c>
      <c r="F1255" s="4" t="s">
        <v>2693</v>
      </c>
      <c r="G1255" s="4" t="s">
        <v>232</v>
      </c>
      <c r="H1255" s="4"/>
    </row>
    <row r="1256" s="1" customFormat="1" spans="1:8">
      <c r="A1256" s="4" t="s">
        <v>205</v>
      </c>
      <c r="B1256" s="4" t="s">
        <v>57</v>
      </c>
      <c r="C1256" s="4" t="s">
        <v>64</v>
      </c>
      <c r="D1256" s="4" t="s">
        <v>2694</v>
      </c>
      <c r="E1256" s="4">
        <v>2108256</v>
      </c>
      <c r="F1256" s="4" t="s">
        <v>2695</v>
      </c>
      <c r="G1256" s="4" t="s">
        <v>232</v>
      </c>
      <c r="H1256" s="4"/>
    </row>
    <row r="1257" s="1" customFormat="1" spans="1:8">
      <c r="A1257" s="4" t="s">
        <v>205</v>
      </c>
      <c r="B1257" s="4" t="s">
        <v>57</v>
      </c>
      <c r="C1257" s="4" t="s">
        <v>64</v>
      </c>
      <c r="D1257" s="4" t="s">
        <v>2696</v>
      </c>
      <c r="E1257" s="4">
        <v>2108306</v>
      </c>
      <c r="F1257" s="4" t="s">
        <v>2697</v>
      </c>
      <c r="G1257" s="4" t="s">
        <v>232</v>
      </c>
      <c r="H1257" s="4"/>
    </row>
    <row r="1258" s="1" customFormat="1" spans="1:8">
      <c r="A1258" s="4" t="s">
        <v>205</v>
      </c>
      <c r="B1258" s="4" t="s">
        <v>57</v>
      </c>
      <c r="C1258" s="4" t="s">
        <v>64</v>
      </c>
      <c r="D1258" s="4" t="s">
        <v>2698</v>
      </c>
      <c r="E1258" s="4">
        <v>2108405</v>
      </c>
      <c r="F1258" s="4" t="s">
        <v>2699</v>
      </c>
      <c r="G1258" s="4" t="s">
        <v>232</v>
      </c>
      <c r="H1258" s="4"/>
    </row>
    <row r="1259" s="1" customFormat="1" spans="1:8">
      <c r="A1259" s="4" t="s">
        <v>205</v>
      </c>
      <c r="B1259" s="4" t="s">
        <v>57</v>
      </c>
      <c r="C1259" s="4" t="s">
        <v>64</v>
      </c>
      <c r="D1259" s="7" t="s">
        <v>2700</v>
      </c>
      <c r="E1259" s="4">
        <v>2108504</v>
      </c>
      <c r="F1259" s="4" t="s">
        <v>2701</v>
      </c>
      <c r="G1259" s="4" t="s">
        <v>232</v>
      </c>
      <c r="H1259" s="4"/>
    </row>
    <row r="1260" s="1" customFormat="1" spans="1:8">
      <c r="A1260" s="4" t="s">
        <v>205</v>
      </c>
      <c r="B1260" s="4" t="s">
        <v>57</v>
      </c>
      <c r="C1260" s="4" t="s">
        <v>64</v>
      </c>
      <c r="D1260" s="4" t="s">
        <v>2702</v>
      </c>
      <c r="E1260" s="4">
        <v>2108603</v>
      </c>
      <c r="F1260" s="4" t="s">
        <v>2703</v>
      </c>
      <c r="G1260" s="4" t="s">
        <v>232</v>
      </c>
      <c r="H1260" s="4"/>
    </row>
    <row r="1261" s="1" customFormat="1" spans="1:8">
      <c r="A1261" s="4" t="s">
        <v>205</v>
      </c>
      <c r="B1261" s="4" t="s">
        <v>57</v>
      </c>
      <c r="C1261" s="4" t="s">
        <v>64</v>
      </c>
      <c r="D1261" s="4" t="s">
        <v>2704</v>
      </c>
      <c r="E1261" s="4">
        <v>2108702</v>
      </c>
      <c r="F1261" s="4" t="s">
        <v>2705</v>
      </c>
      <c r="G1261" s="4" t="s">
        <v>232</v>
      </c>
      <c r="H1261" s="4"/>
    </row>
    <row r="1262" s="1" customFormat="1" spans="1:8">
      <c r="A1262" s="4" t="s">
        <v>205</v>
      </c>
      <c r="B1262" s="4" t="s">
        <v>57</v>
      </c>
      <c r="C1262" s="4" t="s">
        <v>64</v>
      </c>
      <c r="D1262" s="4" t="s">
        <v>2706</v>
      </c>
      <c r="E1262" s="4">
        <v>2109056</v>
      </c>
      <c r="F1262" s="4" t="s">
        <v>2707</v>
      </c>
      <c r="G1262" s="4" t="s">
        <v>232</v>
      </c>
      <c r="H1262" s="4"/>
    </row>
    <row r="1263" s="1" customFormat="1" spans="1:8">
      <c r="A1263" s="4" t="s">
        <v>205</v>
      </c>
      <c r="B1263" s="4" t="s">
        <v>57</v>
      </c>
      <c r="C1263" s="4" t="s">
        <v>64</v>
      </c>
      <c r="D1263" s="4" t="s">
        <v>2708</v>
      </c>
      <c r="E1263" s="4">
        <v>2108900</v>
      </c>
      <c r="F1263" s="4" t="s">
        <v>2709</v>
      </c>
      <c r="G1263" s="4" t="s">
        <v>232</v>
      </c>
      <c r="H1263" s="4"/>
    </row>
    <row r="1264" s="1" customFormat="1" spans="1:8">
      <c r="A1264" s="4" t="s">
        <v>205</v>
      </c>
      <c r="B1264" s="4" t="s">
        <v>57</v>
      </c>
      <c r="C1264" s="4" t="s">
        <v>64</v>
      </c>
      <c r="D1264" s="4" t="s">
        <v>2710</v>
      </c>
      <c r="E1264" s="4">
        <v>2109239</v>
      </c>
      <c r="F1264" s="4" t="s">
        <v>2711</v>
      </c>
      <c r="G1264" s="4" t="s">
        <v>232</v>
      </c>
      <c r="H1264" s="4"/>
    </row>
    <row r="1265" s="1" customFormat="1" spans="1:8">
      <c r="A1265" s="4" t="s">
        <v>205</v>
      </c>
      <c r="B1265" s="4" t="s">
        <v>57</v>
      </c>
      <c r="C1265" s="4" t="s">
        <v>64</v>
      </c>
      <c r="D1265" s="4" t="s">
        <v>2712</v>
      </c>
      <c r="E1265" s="4">
        <v>2109270</v>
      </c>
      <c r="F1265" s="4" t="s">
        <v>2713</v>
      </c>
      <c r="G1265" s="4" t="s">
        <v>232</v>
      </c>
      <c r="H1265" s="4"/>
    </row>
    <row r="1266" s="1" customFormat="1" spans="1:8">
      <c r="A1266" s="4" t="s">
        <v>205</v>
      </c>
      <c r="B1266" s="4" t="s">
        <v>57</v>
      </c>
      <c r="C1266" s="4" t="s">
        <v>64</v>
      </c>
      <c r="D1266" s="4" t="s">
        <v>2714</v>
      </c>
      <c r="E1266" s="4">
        <v>2109759</v>
      </c>
      <c r="F1266" s="4" t="s">
        <v>2715</v>
      </c>
      <c r="G1266" s="4" t="s">
        <v>232</v>
      </c>
      <c r="H1266" s="4"/>
    </row>
    <row r="1267" s="1" customFormat="1" spans="1:8">
      <c r="A1267" s="4" t="s">
        <v>205</v>
      </c>
      <c r="B1267" s="4" t="s">
        <v>57</v>
      </c>
      <c r="C1267" s="4" t="s">
        <v>64</v>
      </c>
      <c r="D1267" s="4" t="s">
        <v>2716</v>
      </c>
      <c r="E1267" s="4">
        <v>2109809</v>
      </c>
      <c r="F1267" s="4" t="s">
        <v>2717</v>
      </c>
      <c r="G1267" s="4" t="s">
        <v>232</v>
      </c>
      <c r="H1267" s="4"/>
    </row>
    <row r="1268" s="1" customFormat="1" spans="1:8">
      <c r="A1268" s="4" t="s">
        <v>205</v>
      </c>
      <c r="B1268" s="4" t="s">
        <v>57</v>
      </c>
      <c r="C1268" s="4" t="s">
        <v>64</v>
      </c>
      <c r="D1268" s="4" t="s">
        <v>2718</v>
      </c>
      <c r="E1268" s="4">
        <v>2110039</v>
      </c>
      <c r="F1268" s="4" t="s">
        <v>2719</v>
      </c>
      <c r="G1268" s="4" t="s">
        <v>232</v>
      </c>
      <c r="H1268" s="4"/>
    </row>
    <row r="1269" s="1" customFormat="1" spans="1:8">
      <c r="A1269" s="4" t="s">
        <v>205</v>
      </c>
      <c r="B1269" s="4" t="s">
        <v>57</v>
      </c>
      <c r="C1269" s="4" t="s">
        <v>64</v>
      </c>
      <c r="D1269" s="4" t="s">
        <v>2720</v>
      </c>
      <c r="E1269" s="4">
        <v>2110104</v>
      </c>
      <c r="F1269" s="4" t="s">
        <v>2721</v>
      </c>
      <c r="G1269" s="4" t="s">
        <v>232</v>
      </c>
      <c r="H1269" s="4"/>
    </row>
    <row r="1270" s="1" customFormat="1" spans="1:8">
      <c r="A1270" s="4" t="s">
        <v>205</v>
      </c>
      <c r="B1270" s="4" t="s">
        <v>57</v>
      </c>
      <c r="C1270" s="4" t="s">
        <v>64</v>
      </c>
      <c r="D1270" s="4" t="s">
        <v>2722</v>
      </c>
      <c r="E1270" s="4">
        <v>2110237</v>
      </c>
      <c r="F1270" s="4" t="s">
        <v>2723</v>
      </c>
      <c r="G1270" s="4" t="s">
        <v>232</v>
      </c>
      <c r="H1270" s="4"/>
    </row>
    <row r="1271" s="1" customFormat="1" spans="1:8">
      <c r="A1271" s="4" t="s">
        <v>205</v>
      </c>
      <c r="B1271" s="4" t="s">
        <v>57</v>
      </c>
      <c r="C1271" s="4" t="s">
        <v>64</v>
      </c>
      <c r="D1271" s="4" t="s">
        <v>2724</v>
      </c>
      <c r="E1271" s="4">
        <v>2110278</v>
      </c>
      <c r="F1271" s="4" t="s">
        <v>2725</v>
      </c>
      <c r="G1271" s="4" t="s">
        <v>232</v>
      </c>
      <c r="H1271" s="4"/>
    </row>
    <row r="1272" s="1" customFormat="1" spans="1:8">
      <c r="A1272" s="4" t="s">
        <v>205</v>
      </c>
      <c r="B1272" s="4" t="s">
        <v>57</v>
      </c>
      <c r="C1272" s="4" t="s">
        <v>64</v>
      </c>
      <c r="D1272" s="4" t="s">
        <v>2726</v>
      </c>
      <c r="E1272" s="4">
        <v>2110302</v>
      </c>
      <c r="F1272" s="4" t="s">
        <v>2727</v>
      </c>
      <c r="G1272" s="4" t="s">
        <v>232</v>
      </c>
      <c r="H1272" s="4"/>
    </row>
    <row r="1273" s="1" customFormat="1" spans="1:8">
      <c r="A1273" s="4" t="s">
        <v>205</v>
      </c>
      <c r="B1273" s="4" t="s">
        <v>57</v>
      </c>
      <c r="C1273" s="4" t="s">
        <v>64</v>
      </c>
      <c r="D1273" s="4" t="s">
        <v>2728</v>
      </c>
      <c r="E1273" s="4">
        <v>2111722</v>
      </c>
      <c r="F1273" s="4" t="s">
        <v>2729</v>
      </c>
      <c r="G1273" s="4" t="s">
        <v>232</v>
      </c>
      <c r="H1273" s="4"/>
    </row>
    <row r="1274" s="1" customFormat="1" spans="1:8">
      <c r="A1274" s="4" t="s">
        <v>205</v>
      </c>
      <c r="B1274" s="4" t="s">
        <v>57</v>
      </c>
      <c r="C1274" s="4" t="s">
        <v>64</v>
      </c>
      <c r="D1274" s="4" t="s">
        <v>2730</v>
      </c>
      <c r="E1274" s="4">
        <v>2111748</v>
      </c>
      <c r="F1274" s="4" t="s">
        <v>2731</v>
      </c>
      <c r="G1274" s="4" t="s">
        <v>232</v>
      </c>
      <c r="H1274" s="4"/>
    </row>
    <row r="1275" s="1" customFormat="1" spans="1:8">
      <c r="A1275" s="4" t="s">
        <v>205</v>
      </c>
      <c r="B1275" s="4" t="s">
        <v>57</v>
      </c>
      <c r="C1275" s="4" t="s">
        <v>64</v>
      </c>
      <c r="D1275" s="4" t="s">
        <v>2732</v>
      </c>
      <c r="E1275" s="4">
        <v>2111789</v>
      </c>
      <c r="F1275" s="4" t="s">
        <v>2733</v>
      </c>
      <c r="G1275" s="4" t="s">
        <v>232</v>
      </c>
      <c r="H1275" s="4"/>
    </row>
    <row r="1276" s="1" customFormat="1" spans="1:8">
      <c r="A1276" s="4" t="s">
        <v>205</v>
      </c>
      <c r="B1276" s="4" t="s">
        <v>57</v>
      </c>
      <c r="C1276" s="4" t="s">
        <v>64</v>
      </c>
      <c r="D1276" s="4" t="s">
        <v>2734</v>
      </c>
      <c r="E1276" s="4">
        <v>2110401</v>
      </c>
      <c r="F1276" s="4" t="s">
        <v>2735</v>
      </c>
      <c r="G1276" s="4" t="s">
        <v>232</v>
      </c>
      <c r="H1276" s="4"/>
    </row>
    <row r="1277" s="1" customFormat="1" spans="1:8">
      <c r="A1277" s="4" t="s">
        <v>205</v>
      </c>
      <c r="B1277" s="4" t="s">
        <v>57</v>
      </c>
      <c r="C1277" s="4" t="s">
        <v>64</v>
      </c>
      <c r="D1277" s="4" t="s">
        <v>2736</v>
      </c>
      <c r="E1277" s="4">
        <v>2110500</v>
      </c>
      <c r="F1277" s="4" t="s">
        <v>2737</v>
      </c>
      <c r="G1277" s="4" t="s">
        <v>232</v>
      </c>
      <c r="H1277" s="4"/>
    </row>
    <row r="1278" s="1" customFormat="1" spans="1:8">
      <c r="A1278" s="4" t="s">
        <v>205</v>
      </c>
      <c r="B1278" s="4" t="s">
        <v>57</v>
      </c>
      <c r="C1278" s="4" t="s">
        <v>64</v>
      </c>
      <c r="D1278" s="4" t="s">
        <v>2738</v>
      </c>
      <c r="E1278" s="4">
        <v>2110609</v>
      </c>
      <c r="F1278" s="4" t="s">
        <v>2739</v>
      </c>
      <c r="G1278" s="4" t="s">
        <v>232</v>
      </c>
      <c r="H1278" s="4"/>
    </row>
    <row r="1279" s="1" customFormat="1" spans="1:8">
      <c r="A1279" s="4" t="s">
        <v>205</v>
      </c>
      <c r="B1279" s="4" t="s">
        <v>57</v>
      </c>
      <c r="C1279" s="4" t="s">
        <v>64</v>
      </c>
      <c r="D1279" s="4" t="s">
        <v>2740</v>
      </c>
      <c r="E1279" s="4">
        <v>2110708</v>
      </c>
      <c r="F1279" s="4" t="s">
        <v>2741</v>
      </c>
      <c r="G1279" s="4" t="s">
        <v>232</v>
      </c>
      <c r="H1279" s="4"/>
    </row>
    <row r="1280" s="1" customFormat="1" spans="1:8">
      <c r="A1280" s="4" t="s">
        <v>205</v>
      </c>
      <c r="B1280" s="4" t="s">
        <v>57</v>
      </c>
      <c r="C1280" s="4" t="s">
        <v>64</v>
      </c>
      <c r="D1280" s="4" t="s">
        <v>2742</v>
      </c>
      <c r="E1280" s="4">
        <v>2110906</v>
      </c>
      <c r="F1280" s="4" t="s">
        <v>2743</v>
      </c>
      <c r="G1280" s="4" t="s">
        <v>232</v>
      </c>
      <c r="H1280" s="4"/>
    </row>
    <row r="1281" s="1" customFormat="1" spans="1:8">
      <c r="A1281" s="4" t="s">
        <v>205</v>
      </c>
      <c r="B1281" s="4" t="s">
        <v>57</v>
      </c>
      <c r="C1281" s="4" t="s">
        <v>64</v>
      </c>
      <c r="D1281" s="4" t="s">
        <v>2744</v>
      </c>
      <c r="E1281" s="4">
        <v>2111250</v>
      </c>
      <c r="F1281" s="4" t="s">
        <v>2745</v>
      </c>
      <c r="G1281" s="4" t="s">
        <v>232</v>
      </c>
      <c r="H1281" s="4"/>
    </row>
    <row r="1282" s="1" customFormat="1" spans="1:8">
      <c r="A1282" s="4" t="s">
        <v>205</v>
      </c>
      <c r="B1282" s="4" t="s">
        <v>57</v>
      </c>
      <c r="C1282" s="4" t="s">
        <v>64</v>
      </c>
      <c r="D1282" s="4" t="s">
        <v>2746</v>
      </c>
      <c r="E1282" s="4">
        <v>2111003</v>
      </c>
      <c r="F1282" s="4" t="s">
        <v>2747</v>
      </c>
      <c r="G1282" s="4" t="s">
        <v>232</v>
      </c>
      <c r="H1282" s="4"/>
    </row>
    <row r="1283" s="1" customFormat="1" spans="1:8">
      <c r="A1283" s="4" t="s">
        <v>205</v>
      </c>
      <c r="B1283" s="4" t="s">
        <v>57</v>
      </c>
      <c r="C1283" s="4" t="s">
        <v>64</v>
      </c>
      <c r="D1283" s="4" t="s">
        <v>2748</v>
      </c>
      <c r="E1283" s="4">
        <v>2111029</v>
      </c>
      <c r="F1283" s="4" t="s">
        <v>2749</v>
      </c>
      <c r="G1283" s="4" t="s">
        <v>232</v>
      </c>
      <c r="H1283" s="4"/>
    </row>
    <row r="1284" s="1" customFormat="1" spans="1:8">
      <c r="A1284" s="4" t="s">
        <v>205</v>
      </c>
      <c r="B1284" s="4" t="s">
        <v>57</v>
      </c>
      <c r="C1284" s="4" t="s">
        <v>64</v>
      </c>
      <c r="D1284" s="4" t="s">
        <v>2750</v>
      </c>
      <c r="E1284" s="4">
        <v>2111078</v>
      </c>
      <c r="F1284" s="4" t="s">
        <v>2751</v>
      </c>
      <c r="G1284" s="4" t="s">
        <v>232</v>
      </c>
      <c r="H1284" s="4"/>
    </row>
    <row r="1285" s="1" customFormat="1" spans="1:8">
      <c r="A1285" s="4" t="s">
        <v>205</v>
      </c>
      <c r="B1285" s="4" t="s">
        <v>57</v>
      </c>
      <c r="C1285" s="4" t="s">
        <v>64</v>
      </c>
      <c r="D1285" s="4" t="s">
        <v>2752</v>
      </c>
      <c r="E1285" s="4">
        <v>2111409</v>
      </c>
      <c r="F1285" s="4" t="s">
        <v>2753</v>
      </c>
      <c r="G1285" s="4" t="s">
        <v>232</v>
      </c>
      <c r="H1285" s="4"/>
    </row>
    <row r="1286" s="1" customFormat="1" spans="1:8">
      <c r="A1286" s="4" t="s">
        <v>205</v>
      </c>
      <c r="B1286" s="4" t="s">
        <v>57</v>
      </c>
      <c r="C1286" s="4" t="s">
        <v>64</v>
      </c>
      <c r="D1286" s="4" t="s">
        <v>2754</v>
      </c>
      <c r="E1286" s="4">
        <v>2111631</v>
      </c>
      <c r="F1286" s="4" t="s">
        <v>2755</v>
      </c>
      <c r="G1286" s="4" t="s">
        <v>232</v>
      </c>
      <c r="H1286" s="4"/>
    </row>
    <row r="1287" s="1" customFormat="1" spans="1:8">
      <c r="A1287" s="4" t="s">
        <v>205</v>
      </c>
      <c r="B1287" s="4" t="s">
        <v>57</v>
      </c>
      <c r="C1287" s="4" t="s">
        <v>64</v>
      </c>
      <c r="D1287" s="4" t="s">
        <v>2756</v>
      </c>
      <c r="E1287" s="4">
        <v>2111672</v>
      </c>
      <c r="F1287" s="4" t="s">
        <v>2757</v>
      </c>
      <c r="G1287" s="4" t="s">
        <v>232</v>
      </c>
      <c r="H1287" s="4"/>
    </row>
    <row r="1288" s="1" customFormat="1" spans="1:8">
      <c r="A1288" s="4" t="s">
        <v>205</v>
      </c>
      <c r="B1288" s="4" t="s">
        <v>57</v>
      </c>
      <c r="C1288" s="4" t="s">
        <v>64</v>
      </c>
      <c r="D1288" s="4" t="s">
        <v>2758</v>
      </c>
      <c r="E1288" s="4">
        <v>2111706</v>
      </c>
      <c r="F1288" s="4" t="s">
        <v>2759</v>
      </c>
      <c r="G1288" s="4" t="s">
        <v>232</v>
      </c>
      <c r="H1288" s="4"/>
    </row>
    <row r="1289" s="1" customFormat="1" spans="1:8">
      <c r="A1289" s="4" t="s">
        <v>205</v>
      </c>
      <c r="B1289" s="4" t="s">
        <v>57</v>
      </c>
      <c r="C1289" s="4" t="s">
        <v>64</v>
      </c>
      <c r="D1289" s="4" t="s">
        <v>2760</v>
      </c>
      <c r="E1289" s="4">
        <v>2112100</v>
      </c>
      <c r="F1289" s="4" t="s">
        <v>2761</v>
      </c>
      <c r="G1289" s="4" t="s">
        <v>232</v>
      </c>
      <c r="H1289" s="4"/>
    </row>
    <row r="1290" s="1" customFormat="1" spans="1:8">
      <c r="A1290" s="4" t="s">
        <v>205</v>
      </c>
      <c r="B1290" s="4" t="s">
        <v>57</v>
      </c>
      <c r="C1290" s="4" t="s">
        <v>64</v>
      </c>
      <c r="D1290" s="4" t="s">
        <v>2762</v>
      </c>
      <c r="E1290" s="4">
        <v>2112209</v>
      </c>
      <c r="F1290" s="4" t="s">
        <v>2763</v>
      </c>
      <c r="G1290" s="4" t="s">
        <v>232</v>
      </c>
      <c r="H1290" s="4"/>
    </row>
    <row r="1291" s="1" customFormat="1" spans="1:8">
      <c r="A1291" s="4" t="s">
        <v>205</v>
      </c>
      <c r="B1291" s="4" t="s">
        <v>57</v>
      </c>
      <c r="C1291" s="4" t="s">
        <v>64</v>
      </c>
      <c r="D1291" s="4" t="s">
        <v>2764</v>
      </c>
      <c r="E1291" s="4">
        <v>2112233</v>
      </c>
      <c r="F1291" s="4" t="s">
        <v>2765</v>
      </c>
      <c r="G1291" s="4" t="s">
        <v>232</v>
      </c>
      <c r="H1291" s="4"/>
    </row>
    <row r="1292" s="1" customFormat="1" spans="1:8">
      <c r="A1292" s="4" t="s">
        <v>205</v>
      </c>
      <c r="B1292" s="4" t="s">
        <v>57</v>
      </c>
      <c r="C1292" s="4" t="s">
        <v>64</v>
      </c>
      <c r="D1292" s="4" t="s">
        <v>2766</v>
      </c>
      <c r="E1292" s="4">
        <v>2112274</v>
      </c>
      <c r="F1292" s="4" t="s">
        <v>2767</v>
      </c>
      <c r="G1292" s="4" t="s">
        <v>232</v>
      </c>
      <c r="H1292" s="4"/>
    </row>
    <row r="1293" s="1" customFormat="1" spans="1:8">
      <c r="A1293" s="4" t="s">
        <v>205</v>
      </c>
      <c r="B1293" s="4" t="s">
        <v>57</v>
      </c>
      <c r="C1293" s="4" t="s">
        <v>64</v>
      </c>
      <c r="D1293" s="4" t="s">
        <v>2768</v>
      </c>
      <c r="E1293" s="4">
        <v>2112308</v>
      </c>
      <c r="F1293" s="4" t="s">
        <v>2769</v>
      </c>
      <c r="G1293" s="4" t="s">
        <v>232</v>
      </c>
      <c r="H1293" s="4"/>
    </row>
    <row r="1294" s="1" customFormat="1" spans="1:8">
      <c r="A1294" s="4" t="s">
        <v>205</v>
      </c>
      <c r="B1294" s="4" t="s">
        <v>57</v>
      </c>
      <c r="C1294" s="4" t="s">
        <v>64</v>
      </c>
      <c r="D1294" s="4" t="s">
        <v>2770</v>
      </c>
      <c r="E1294" s="4">
        <v>2112407</v>
      </c>
      <c r="F1294" s="4" t="s">
        <v>2771</v>
      </c>
      <c r="G1294" s="4" t="s">
        <v>232</v>
      </c>
      <c r="H1294" s="4"/>
    </row>
    <row r="1295" s="1" customFormat="1" spans="1:8">
      <c r="A1295" s="4" t="s">
        <v>205</v>
      </c>
      <c r="B1295" s="4" t="s">
        <v>57</v>
      </c>
      <c r="C1295" s="4" t="s">
        <v>64</v>
      </c>
      <c r="D1295" s="4" t="s">
        <v>2772</v>
      </c>
      <c r="E1295" s="4">
        <v>2112456</v>
      </c>
      <c r="F1295" s="4" t="s">
        <v>2773</v>
      </c>
      <c r="G1295" s="4" t="s">
        <v>232</v>
      </c>
      <c r="H1295" s="4"/>
    </row>
    <row r="1296" s="1" customFormat="1" spans="1:8">
      <c r="A1296" s="4" t="s">
        <v>205</v>
      </c>
      <c r="B1296" s="4" t="s">
        <v>57</v>
      </c>
      <c r="C1296" s="4" t="s">
        <v>64</v>
      </c>
      <c r="D1296" s="4" t="s">
        <v>2774</v>
      </c>
      <c r="E1296" s="4">
        <v>2112506</v>
      </c>
      <c r="F1296" s="4" t="s">
        <v>2775</v>
      </c>
      <c r="G1296" s="4" t="s">
        <v>232</v>
      </c>
      <c r="H1296" s="4"/>
    </row>
    <row r="1297" s="1" customFormat="1" spans="1:8">
      <c r="A1297" s="4" t="s">
        <v>205</v>
      </c>
      <c r="B1297" s="4" t="s">
        <v>57</v>
      </c>
      <c r="C1297" s="4" t="s">
        <v>64</v>
      </c>
      <c r="D1297" s="4" t="s">
        <v>2776</v>
      </c>
      <c r="E1297" s="4">
        <v>2112605</v>
      </c>
      <c r="F1297" s="4" t="s">
        <v>2777</v>
      </c>
      <c r="G1297" s="4" t="s">
        <v>232</v>
      </c>
      <c r="H1297" s="4"/>
    </row>
    <row r="1298" s="1" customFormat="1" spans="1:8">
      <c r="A1298" s="4" t="s">
        <v>205</v>
      </c>
      <c r="B1298" s="4" t="s">
        <v>57</v>
      </c>
      <c r="C1298" s="4" t="s">
        <v>64</v>
      </c>
      <c r="D1298" s="4" t="s">
        <v>2778</v>
      </c>
      <c r="E1298" s="4">
        <v>2113009</v>
      </c>
      <c r="F1298" s="4" t="s">
        <v>2779</v>
      </c>
      <c r="G1298" s="4" t="s">
        <v>232</v>
      </c>
      <c r="H1298" s="4"/>
    </row>
    <row r="1299" s="1" customFormat="1" spans="1:8">
      <c r="A1299" s="4" t="s">
        <v>205</v>
      </c>
      <c r="B1299" s="4" t="s">
        <v>57</v>
      </c>
      <c r="C1299" s="4" t="s">
        <v>64</v>
      </c>
      <c r="D1299" s="4" t="s">
        <v>2780</v>
      </c>
      <c r="E1299" s="4">
        <v>2114007</v>
      </c>
      <c r="F1299" s="4" t="s">
        <v>2781</v>
      </c>
      <c r="G1299" s="4" t="s">
        <v>232</v>
      </c>
      <c r="H1299" s="4"/>
    </row>
    <row r="1300" s="1" customFormat="1" spans="1:8">
      <c r="A1300" s="4" t="s">
        <v>205</v>
      </c>
      <c r="B1300" s="4" t="s">
        <v>57</v>
      </c>
      <c r="C1300" s="4" t="s">
        <v>64</v>
      </c>
      <c r="D1300" s="4" t="s">
        <v>2782</v>
      </c>
      <c r="E1300" s="4">
        <v>2100154</v>
      </c>
      <c r="F1300" s="4" t="s">
        <v>2783</v>
      </c>
      <c r="G1300" s="4" t="s">
        <v>232</v>
      </c>
      <c r="H1300" s="4"/>
    </row>
    <row r="1301" s="1" customFormat="1" spans="1:8">
      <c r="A1301" s="4" t="s">
        <v>205</v>
      </c>
      <c r="B1301" s="4" t="s">
        <v>57</v>
      </c>
      <c r="C1301" s="4" t="s">
        <v>64</v>
      </c>
      <c r="D1301" s="4" t="s">
        <v>2784</v>
      </c>
      <c r="E1301" s="4">
        <v>2100832</v>
      </c>
      <c r="F1301" s="4" t="s">
        <v>2785</v>
      </c>
      <c r="G1301" s="4" t="s">
        <v>243</v>
      </c>
      <c r="H1301" s="4"/>
    </row>
    <row r="1302" s="1" customFormat="1" spans="1:8">
      <c r="A1302" s="4" t="s">
        <v>205</v>
      </c>
      <c r="B1302" s="4" t="s">
        <v>57</v>
      </c>
      <c r="C1302" s="4" t="s">
        <v>64</v>
      </c>
      <c r="D1302" s="4" t="s">
        <v>2786</v>
      </c>
      <c r="E1302" s="4">
        <v>2101301</v>
      </c>
      <c r="F1302" s="4" t="s">
        <v>2787</v>
      </c>
      <c r="G1302" s="4" t="s">
        <v>243</v>
      </c>
      <c r="H1302" s="4"/>
    </row>
    <row r="1303" s="1" customFormat="1" spans="1:8">
      <c r="A1303" s="4" t="s">
        <v>205</v>
      </c>
      <c r="B1303" s="4" t="s">
        <v>57</v>
      </c>
      <c r="C1303" s="4" t="s">
        <v>64</v>
      </c>
      <c r="D1303" s="4" t="s">
        <v>2788</v>
      </c>
      <c r="E1303" s="4">
        <v>2101509</v>
      </c>
      <c r="F1303" s="4" t="s">
        <v>2789</v>
      </c>
      <c r="G1303" s="4" t="s">
        <v>243</v>
      </c>
      <c r="H1303" s="4"/>
    </row>
    <row r="1304" s="1" customFormat="1" spans="1:8">
      <c r="A1304" s="4" t="s">
        <v>205</v>
      </c>
      <c r="B1304" s="4" t="s">
        <v>57</v>
      </c>
      <c r="C1304" s="4" t="s">
        <v>64</v>
      </c>
      <c r="D1304" s="4" t="s">
        <v>2790</v>
      </c>
      <c r="E1304" s="4">
        <v>2101970</v>
      </c>
      <c r="F1304" s="4" t="s">
        <v>2791</v>
      </c>
      <c r="G1304" s="4" t="s">
        <v>243</v>
      </c>
      <c r="H1304" s="4"/>
    </row>
    <row r="1305" s="1" customFormat="1" spans="1:8">
      <c r="A1305" s="4" t="s">
        <v>205</v>
      </c>
      <c r="B1305" s="4" t="s">
        <v>57</v>
      </c>
      <c r="C1305" s="4" t="s">
        <v>64</v>
      </c>
      <c r="D1305" s="4" t="s">
        <v>2792</v>
      </c>
      <c r="E1305" s="4">
        <v>2102002</v>
      </c>
      <c r="F1305" s="4" t="s">
        <v>2793</v>
      </c>
      <c r="G1305" s="4" t="s">
        <v>243</v>
      </c>
      <c r="H1305" s="4"/>
    </row>
    <row r="1306" s="1" customFormat="1" spans="1:8">
      <c r="A1306" s="4" t="s">
        <v>205</v>
      </c>
      <c r="B1306" s="4" t="s">
        <v>57</v>
      </c>
      <c r="C1306" s="4" t="s">
        <v>64</v>
      </c>
      <c r="D1306" s="4" t="s">
        <v>2794</v>
      </c>
      <c r="E1306" s="4">
        <v>2102309</v>
      </c>
      <c r="F1306" s="4" t="s">
        <v>2795</v>
      </c>
      <c r="G1306" s="4" t="s">
        <v>243</v>
      </c>
      <c r="H1306" s="4"/>
    </row>
    <row r="1307" s="1" customFormat="1" spans="1:8">
      <c r="A1307" s="4" t="s">
        <v>205</v>
      </c>
      <c r="B1307" s="4" t="s">
        <v>57</v>
      </c>
      <c r="C1307" s="4" t="s">
        <v>64</v>
      </c>
      <c r="D1307" s="4" t="s">
        <v>2796</v>
      </c>
      <c r="E1307" s="4">
        <v>2104081</v>
      </c>
      <c r="F1307" s="4" t="s">
        <v>2797</v>
      </c>
      <c r="G1307" s="4" t="s">
        <v>243</v>
      </c>
      <c r="H1307" s="4"/>
    </row>
    <row r="1308" s="1" customFormat="1" spans="1:8">
      <c r="A1308" s="4" t="s">
        <v>205</v>
      </c>
      <c r="B1308" s="4" t="s">
        <v>57</v>
      </c>
      <c r="C1308" s="4" t="s">
        <v>64</v>
      </c>
      <c r="D1308" s="4" t="s">
        <v>2798</v>
      </c>
      <c r="E1308" s="4">
        <v>2105658</v>
      </c>
      <c r="F1308" s="4" t="s">
        <v>2799</v>
      </c>
      <c r="G1308" s="4" t="s">
        <v>243</v>
      </c>
      <c r="H1308" s="4"/>
    </row>
    <row r="1309" s="1" customFormat="1" spans="1:8">
      <c r="A1309" s="4" t="s">
        <v>205</v>
      </c>
      <c r="B1309" s="4" t="s">
        <v>57</v>
      </c>
      <c r="C1309" s="4" t="s">
        <v>64</v>
      </c>
      <c r="D1309" s="4" t="s">
        <v>2800</v>
      </c>
      <c r="E1309" s="4">
        <v>2105922</v>
      </c>
      <c r="F1309" s="4" t="s">
        <v>2801</v>
      </c>
      <c r="G1309" s="4" t="s">
        <v>243</v>
      </c>
      <c r="H1309" s="4"/>
    </row>
    <row r="1310" s="1" customFormat="1" spans="1:8">
      <c r="A1310" s="4" t="s">
        <v>205</v>
      </c>
      <c r="B1310" s="4" t="s">
        <v>57</v>
      </c>
      <c r="C1310" s="4" t="s">
        <v>64</v>
      </c>
      <c r="D1310" s="4" t="s">
        <v>2802</v>
      </c>
      <c r="E1310" s="4">
        <v>2106201</v>
      </c>
      <c r="F1310" s="4" t="s">
        <v>2803</v>
      </c>
      <c r="G1310" s="4" t="s">
        <v>243</v>
      </c>
      <c r="H1310" s="4"/>
    </row>
    <row r="1311" s="1" customFormat="1" spans="1:8">
      <c r="A1311" s="4" t="s">
        <v>205</v>
      </c>
      <c r="B1311" s="4" t="s">
        <v>57</v>
      </c>
      <c r="C1311" s="4" t="s">
        <v>64</v>
      </c>
      <c r="D1311" s="4" t="s">
        <v>2804</v>
      </c>
      <c r="E1311" s="4">
        <v>2106706</v>
      </c>
      <c r="F1311" s="4" t="s">
        <v>2805</v>
      </c>
      <c r="G1311" s="4" t="s">
        <v>243</v>
      </c>
      <c r="H1311" s="4"/>
    </row>
    <row r="1312" s="1" customFormat="1" spans="1:8">
      <c r="A1312" s="4" t="s">
        <v>205</v>
      </c>
      <c r="B1312" s="4" t="s">
        <v>57</v>
      </c>
      <c r="C1312" s="4" t="s">
        <v>64</v>
      </c>
      <c r="D1312" s="4" t="s">
        <v>2806</v>
      </c>
      <c r="E1312" s="4">
        <v>2107308</v>
      </c>
      <c r="F1312" s="4" t="s">
        <v>2807</v>
      </c>
      <c r="G1312" s="4" t="s">
        <v>243</v>
      </c>
      <c r="H1312" s="4"/>
    </row>
    <row r="1313" s="1" customFormat="1" spans="1:8">
      <c r="A1313" s="4" t="s">
        <v>205</v>
      </c>
      <c r="B1313" s="4" t="s">
        <v>57</v>
      </c>
      <c r="C1313" s="4" t="s">
        <v>64</v>
      </c>
      <c r="D1313" s="4" t="s">
        <v>2808</v>
      </c>
      <c r="E1313" s="4">
        <v>2107704</v>
      </c>
      <c r="F1313" s="4" t="s">
        <v>2809</v>
      </c>
      <c r="G1313" s="4" t="s">
        <v>243</v>
      </c>
      <c r="H1313" s="4"/>
    </row>
    <row r="1314" s="1" customFormat="1" spans="1:8">
      <c r="A1314" s="4" t="s">
        <v>205</v>
      </c>
      <c r="B1314" s="4" t="s">
        <v>57</v>
      </c>
      <c r="C1314" s="4" t="s">
        <v>64</v>
      </c>
      <c r="D1314" s="4" t="s">
        <v>2810</v>
      </c>
      <c r="E1314" s="4">
        <v>2107803</v>
      </c>
      <c r="F1314" s="4" t="s">
        <v>2811</v>
      </c>
      <c r="G1314" s="4" t="s">
        <v>243</v>
      </c>
      <c r="H1314" s="4"/>
    </row>
    <row r="1315" s="1" customFormat="1" spans="1:8">
      <c r="A1315" s="4" t="s">
        <v>205</v>
      </c>
      <c r="B1315" s="4" t="s">
        <v>57</v>
      </c>
      <c r="C1315" s="4" t="s">
        <v>64</v>
      </c>
      <c r="D1315" s="4" t="s">
        <v>2812</v>
      </c>
      <c r="E1315" s="4">
        <v>2107902</v>
      </c>
      <c r="F1315" s="4" t="s">
        <v>2813</v>
      </c>
      <c r="G1315" s="4" t="s">
        <v>243</v>
      </c>
      <c r="H1315" s="4"/>
    </row>
    <row r="1316" s="1" customFormat="1" spans="1:8">
      <c r="A1316" s="4" t="s">
        <v>205</v>
      </c>
      <c r="B1316" s="4" t="s">
        <v>57</v>
      </c>
      <c r="C1316" s="4" t="s">
        <v>64</v>
      </c>
      <c r="D1316" s="4" t="s">
        <v>2814</v>
      </c>
      <c r="E1316" s="4">
        <v>2108009</v>
      </c>
      <c r="F1316" s="4" t="s">
        <v>2815</v>
      </c>
      <c r="G1316" s="4" t="s">
        <v>243</v>
      </c>
      <c r="H1316" s="4"/>
    </row>
    <row r="1317" s="1" customFormat="1" spans="1:8">
      <c r="A1317" s="4" t="s">
        <v>205</v>
      </c>
      <c r="B1317" s="4" t="s">
        <v>57</v>
      </c>
      <c r="C1317" s="4" t="s">
        <v>64</v>
      </c>
      <c r="D1317" s="4" t="s">
        <v>2816</v>
      </c>
      <c r="E1317" s="4">
        <v>2111904</v>
      </c>
      <c r="F1317" s="4" t="s">
        <v>2817</v>
      </c>
      <c r="G1317" s="4" t="s">
        <v>243</v>
      </c>
      <c r="H1317" s="4"/>
    </row>
    <row r="1318" s="1" customFormat="1" spans="1:8">
      <c r="A1318" s="4" t="s">
        <v>205</v>
      </c>
      <c r="B1318" s="4" t="s">
        <v>57</v>
      </c>
      <c r="C1318" s="4" t="s">
        <v>64</v>
      </c>
      <c r="D1318" s="4" t="s">
        <v>2818</v>
      </c>
      <c r="E1318" s="4">
        <v>2111953</v>
      </c>
      <c r="F1318" s="4" t="s">
        <v>2819</v>
      </c>
      <c r="G1318" s="4" t="s">
        <v>243</v>
      </c>
      <c r="H1318" s="4"/>
    </row>
    <row r="1319" s="1" customFormat="1" spans="1:8">
      <c r="A1319" s="4" t="s">
        <v>205</v>
      </c>
      <c r="B1319" s="4" t="s">
        <v>57</v>
      </c>
      <c r="C1319" s="4" t="s">
        <v>64</v>
      </c>
      <c r="D1319" s="4" t="s">
        <v>2820</v>
      </c>
      <c r="E1319" s="4">
        <v>2110658</v>
      </c>
      <c r="F1319" s="4" t="s">
        <v>2821</v>
      </c>
      <c r="G1319" s="4" t="s">
        <v>243</v>
      </c>
      <c r="H1319" s="4"/>
    </row>
    <row r="1320" s="1" customFormat="1" spans="1:8">
      <c r="A1320" s="4" t="s">
        <v>205</v>
      </c>
      <c r="B1320" s="4" t="s">
        <v>57</v>
      </c>
      <c r="C1320" s="4" t="s">
        <v>64</v>
      </c>
      <c r="D1320" s="4" t="s">
        <v>2822</v>
      </c>
      <c r="E1320" s="4">
        <v>2111102</v>
      </c>
      <c r="F1320" s="4" t="s">
        <v>2823</v>
      </c>
      <c r="G1320" s="4" t="s">
        <v>243</v>
      </c>
      <c r="H1320" s="4"/>
    </row>
    <row r="1321" s="1" customFormat="1" spans="1:8">
      <c r="A1321" s="4" t="s">
        <v>205</v>
      </c>
      <c r="B1321" s="4" t="s">
        <v>57</v>
      </c>
      <c r="C1321" s="4" t="s">
        <v>64</v>
      </c>
      <c r="D1321" s="4" t="s">
        <v>2824</v>
      </c>
      <c r="E1321" s="4">
        <v>2105302</v>
      </c>
      <c r="F1321" s="4" t="s">
        <v>2825</v>
      </c>
      <c r="G1321" s="4" t="s">
        <v>2826</v>
      </c>
      <c r="H1321" s="4"/>
    </row>
    <row r="1322" s="1" customFormat="1" spans="1:8">
      <c r="A1322" s="4" t="s">
        <v>205</v>
      </c>
      <c r="B1322" s="4" t="s">
        <v>57</v>
      </c>
      <c r="C1322" s="4" t="s">
        <v>64</v>
      </c>
      <c r="D1322" s="4" t="s">
        <v>2827</v>
      </c>
      <c r="E1322" s="4">
        <v>2100501</v>
      </c>
      <c r="F1322" s="4" t="s">
        <v>2828</v>
      </c>
      <c r="G1322" s="4" t="s">
        <v>2829</v>
      </c>
      <c r="H1322" s="4"/>
    </row>
    <row r="1323" s="1" customFormat="1" spans="1:8">
      <c r="A1323" s="4" t="s">
        <v>205</v>
      </c>
      <c r="B1323" s="4" t="s">
        <v>57</v>
      </c>
      <c r="C1323" s="4" t="s">
        <v>64</v>
      </c>
      <c r="D1323" s="4" t="s">
        <v>2830</v>
      </c>
      <c r="E1323" s="4">
        <v>2100600</v>
      </c>
      <c r="F1323" s="4" t="s">
        <v>2831</v>
      </c>
      <c r="G1323" s="4" t="s">
        <v>2829</v>
      </c>
      <c r="H1323" s="4"/>
    </row>
    <row r="1324" s="1" customFormat="1" spans="1:8">
      <c r="A1324" s="4" t="s">
        <v>205</v>
      </c>
      <c r="B1324" s="4" t="s">
        <v>57</v>
      </c>
      <c r="C1324" s="4" t="s">
        <v>64</v>
      </c>
      <c r="D1324" s="4" t="s">
        <v>2832</v>
      </c>
      <c r="E1324" s="4">
        <v>2100956</v>
      </c>
      <c r="F1324" s="4" t="s">
        <v>2833</v>
      </c>
      <c r="G1324" s="4" t="s">
        <v>2829</v>
      </c>
      <c r="H1324" s="4"/>
    </row>
    <row r="1325" s="1" customFormat="1" spans="1:8">
      <c r="A1325" s="4" t="s">
        <v>205</v>
      </c>
      <c r="B1325" s="4" t="s">
        <v>57</v>
      </c>
      <c r="C1325" s="4" t="s">
        <v>64</v>
      </c>
      <c r="D1325" s="4" t="s">
        <v>2834</v>
      </c>
      <c r="E1325" s="4">
        <v>2100055</v>
      </c>
      <c r="F1325" s="4" t="s">
        <v>2835</v>
      </c>
      <c r="G1325" s="4" t="s">
        <v>2829</v>
      </c>
      <c r="H1325" s="4"/>
    </row>
    <row r="1326" s="1" customFormat="1" spans="1:8">
      <c r="A1326" s="4" t="s">
        <v>205</v>
      </c>
      <c r="B1326" s="4" t="s">
        <v>57</v>
      </c>
      <c r="C1326" s="4" t="s">
        <v>64</v>
      </c>
      <c r="D1326" s="4" t="s">
        <v>2836</v>
      </c>
      <c r="E1326" s="4">
        <v>2101400</v>
      </c>
      <c r="F1326" s="4" t="s">
        <v>2837</v>
      </c>
      <c r="G1326" s="4" t="s">
        <v>2829</v>
      </c>
      <c r="H1326" s="4"/>
    </row>
    <row r="1327" s="1" customFormat="1" spans="1:8">
      <c r="A1327" s="4" t="s">
        <v>205</v>
      </c>
      <c r="B1327" s="4" t="s">
        <v>57</v>
      </c>
      <c r="C1327" s="4" t="s">
        <v>64</v>
      </c>
      <c r="D1327" s="4" t="s">
        <v>2838</v>
      </c>
      <c r="E1327" s="4">
        <v>2101608</v>
      </c>
      <c r="F1327" s="4" t="s">
        <v>2839</v>
      </c>
      <c r="G1327" s="4" t="s">
        <v>2829</v>
      </c>
      <c r="H1327" s="4"/>
    </row>
    <row r="1328" s="1" customFormat="1" spans="1:8">
      <c r="A1328" s="4" t="s">
        <v>205</v>
      </c>
      <c r="B1328" s="4" t="s">
        <v>57</v>
      </c>
      <c r="C1328" s="4" t="s">
        <v>64</v>
      </c>
      <c r="D1328" s="4" t="s">
        <v>2840</v>
      </c>
      <c r="E1328" s="4">
        <v>2101806</v>
      </c>
      <c r="F1328" s="4" t="s">
        <v>2841</v>
      </c>
      <c r="G1328" s="4" t="s">
        <v>2829</v>
      </c>
      <c r="H1328" s="4"/>
    </row>
    <row r="1329" s="1" customFormat="1" spans="1:8">
      <c r="A1329" s="4" t="s">
        <v>205</v>
      </c>
      <c r="B1329" s="4" t="s">
        <v>57</v>
      </c>
      <c r="C1329" s="4" t="s">
        <v>64</v>
      </c>
      <c r="D1329" s="4" t="s">
        <v>2842</v>
      </c>
      <c r="E1329" s="4">
        <v>2102036</v>
      </c>
      <c r="F1329" s="4" t="s">
        <v>2843</v>
      </c>
      <c r="G1329" s="4" t="s">
        <v>2829</v>
      </c>
      <c r="H1329" s="4"/>
    </row>
    <row r="1330" s="1" customFormat="1" spans="1:8">
      <c r="A1330" s="4" t="s">
        <v>205</v>
      </c>
      <c r="B1330" s="4" t="s">
        <v>57</v>
      </c>
      <c r="C1330" s="4" t="s">
        <v>64</v>
      </c>
      <c r="D1330" s="4" t="s">
        <v>2844</v>
      </c>
      <c r="E1330" s="4">
        <v>2102325</v>
      </c>
      <c r="F1330" s="4" t="s">
        <v>2845</v>
      </c>
      <c r="G1330" s="4" t="s">
        <v>2829</v>
      </c>
      <c r="H1330" s="4"/>
    </row>
    <row r="1331" s="1" customFormat="1" spans="1:8">
      <c r="A1331" s="4" t="s">
        <v>205</v>
      </c>
      <c r="B1331" s="4" t="s">
        <v>57</v>
      </c>
      <c r="C1331" s="4" t="s">
        <v>64</v>
      </c>
      <c r="D1331" s="4" t="s">
        <v>2846</v>
      </c>
      <c r="E1331" s="4">
        <v>2102358</v>
      </c>
      <c r="F1331" s="4" t="s">
        <v>2847</v>
      </c>
      <c r="G1331" s="4" t="s">
        <v>2829</v>
      </c>
      <c r="H1331" s="4"/>
    </row>
    <row r="1332" s="1" customFormat="1" spans="1:8">
      <c r="A1332" s="4" t="s">
        <v>205</v>
      </c>
      <c r="B1332" s="4" t="s">
        <v>57</v>
      </c>
      <c r="C1332" s="4" t="s">
        <v>64</v>
      </c>
      <c r="D1332" s="4" t="s">
        <v>2848</v>
      </c>
      <c r="E1332" s="4">
        <v>2102556</v>
      </c>
      <c r="F1332" s="4" t="s">
        <v>2849</v>
      </c>
      <c r="G1332" s="4" t="s">
        <v>2829</v>
      </c>
      <c r="H1332" s="4"/>
    </row>
    <row r="1333" s="1" customFormat="1" spans="1:8">
      <c r="A1333" s="4" t="s">
        <v>205</v>
      </c>
      <c r="B1333" s="4" t="s">
        <v>57</v>
      </c>
      <c r="C1333" s="4" t="s">
        <v>64</v>
      </c>
      <c r="D1333" s="4" t="s">
        <v>2850</v>
      </c>
      <c r="E1333" s="4">
        <v>2102804</v>
      </c>
      <c r="F1333" s="4" t="s">
        <v>2851</v>
      </c>
      <c r="G1333" s="4" t="s">
        <v>2829</v>
      </c>
      <c r="H1333" s="4"/>
    </row>
    <row r="1334" s="1" customFormat="1" spans="1:8">
      <c r="A1334" s="4" t="s">
        <v>205</v>
      </c>
      <c r="B1334" s="4" t="s">
        <v>57</v>
      </c>
      <c r="C1334" s="4" t="s">
        <v>64</v>
      </c>
      <c r="D1334" s="4" t="s">
        <v>2852</v>
      </c>
      <c r="E1334" s="4">
        <v>2103257</v>
      </c>
      <c r="F1334" s="4" t="s">
        <v>2853</v>
      </c>
      <c r="G1334" s="4" t="s">
        <v>2829</v>
      </c>
      <c r="H1334" s="4"/>
    </row>
    <row r="1335" s="1" customFormat="1" spans="1:8">
      <c r="A1335" s="4" t="s">
        <v>205</v>
      </c>
      <c r="B1335" s="4" t="s">
        <v>57</v>
      </c>
      <c r="C1335" s="4" t="s">
        <v>64</v>
      </c>
      <c r="D1335" s="4" t="s">
        <v>2854</v>
      </c>
      <c r="E1335" s="4">
        <v>2103505</v>
      </c>
      <c r="F1335" s="4" t="s">
        <v>2855</v>
      </c>
      <c r="G1335" s="4" t="s">
        <v>2829</v>
      </c>
      <c r="H1335" s="4"/>
    </row>
    <row r="1336" s="1" customFormat="1" spans="1:8">
      <c r="A1336" s="4" t="s">
        <v>205</v>
      </c>
      <c r="B1336" s="4" t="s">
        <v>57</v>
      </c>
      <c r="C1336" s="4" t="s">
        <v>64</v>
      </c>
      <c r="D1336" s="4" t="s">
        <v>2392</v>
      </c>
      <c r="E1336" s="4">
        <v>2103752</v>
      </c>
      <c r="F1336" s="4" t="s">
        <v>2856</v>
      </c>
      <c r="G1336" s="4" t="s">
        <v>2829</v>
      </c>
      <c r="H1336" s="4"/>
    </row>
    <row r="1337" s="1" customFormat="1" spans="1:8">
      <c r="A1337" s="4" t="s">
        <v>205</v>
      </c>
      <c r="B1337" s="4" t="s">
        <v>57</v>
      </c>
      <c r="C1337" s="4" t="s">
        <v>64</v>
      </c>
      <c r="D1337" s="4" t="s">
        <v>2857</v>
      </c>
      <c r="E1337" s="4">
        <v>2104057</v>
      </c>
      <c r="F1337" s="4" t="s">
        <v>2858</v>
      </c>
      <c r="G1337" s="4" t="s">
        <v>2829</v>
      </c>
      <c r="H1337" s="4"/>
    </row>
    <row r="1338" s="1" customFormat="1" spans="1:8">
      <c r="A1338" s="4" t="s">
        <v>205</v>
      </c>
      <c r="B1338" s="4" t="s">
        <v>57</v>
      </c>
      <c r="C1338" s="4" t="s">
        <v>64</v>
      </c>
      <c r="D1338" s="4" t="s">
        <v>2859</v>
      </c>
      <c r="E1338" s="4">
        <v>2104073</v>
      </c>
      <c r="F1338" s="4" t="s">
        <v>2860</v>
      </c>
      <c r="G1338" s="4" t="s">
        <v>2829</v>
      </c>
      <c r="H1338" s="4"/>
    </row>
    <row r="1339" s="1" customFormat="1" spans="1:8">
      <c r="A1339" s="4" t="s">
        <v>205</v>
      </c>
      <c r="B1339" s="4" t="s">
        <v>57</v>
      </c>
      <c r="C1339" s="4" t="s">
        <v>64</v>
      </c>
      <c r="D1339" s="4" t="s">
        <v>2861</v>
      </c>
      <c r="E1339" s="4">
        <v>2104099</v>
      </c>
      <c r="F1339" s="4" t="s">
        <v>2862</v>
      </c>
      <c r="G1339" s="4" t="s">
        <v>2829</v>
      </c>
      <c r="H1339" s="4"/>
    </row>
    <row r="1340" s="1" customFormat="1" spans="1:8">
      <c r="A1340" s="4" t="s">
        <v>205</v>
      </c>
      <c r="B1340" s="4" t="s">
        <v>57</v>
      </c>
      <c r="C1340" s="4" t="s">
        <v>64</v>
      </c>
      <c r="D1340" s="4" t="s">
        <v>2863</v>
      </c>
      <c r="E1340" s="4">
        <v>2104107</v>
      </c>
      <c r="F1340" s="4" t="s">
        <v>2864</v>
      </c>
      <c r="G1340" s="4" t="s">
        <v>2829</v>
      </c>
      <c r="H1340" s="4"/>
    </row>
    <row r="1341" s="1" customFormat="1" spans="1:8">
      <c r="A1341" s="4" t="s">
        <v>205</v>
      </c>
      <c r="B1341" s="4" t="s">
        <v>57</v>
      </c>
      <c r="C1341" s="4" t="s">
        <v>64</v>
      </c>
      <c r="D1341" s="4" t="s">
        <v>2865</v>
      </c>
      <c r="E1341" s="4">
        <v>2104552</v>
      </c>
      <c r="F1341" s="4" t="s">
        <v>2866</v>
      </c>
      <c r="G1341" s="4" t="s">
        <v>2829</v>
      </c>
      <c r="H1341" s="4"/>
    </row>
    <row r="1342" s="1" customFormat="1" spans="1:8">
      <c r="A1342" s="4" t="s">
        <v>205</v>
      </c>
      <c r="B1342" s="4" t="s">
        <v>57</v>
      </c>
      <c r="C1342" s="4" t="s">
        <v>64</v>
      </c>
      <c r="D1342" s="4" t="s">
        <v>2867</v>
      </c>
      <c r="E1342" s="4">
        <v>2104800</v>
      </c>
      <c r="F1342" s="4" t="s">
        <v>2868</v>
      </c>
      <c r="G1342" s="4" t="s">
        <v>2829</v>
      </c>
      <c r="H1342" s="4"/>
    </row>
    <row r="1343" s="1" customFormat="1" spans="1:8">
      <c r="A1343" s="4" t="s">
        <v>205</v>
      </c>
      <c r="B1343" s="4" t="s">
        <v>57</v>
      </c>
      <c r="C1343" s="4" t="s">
        <v>64</v>
      </c>
      <c r="D1343" s="4" t="s">
        <v>2869</v>
      </c>
      <c r="E1343" s="4">
        <v>2105351</v>
      </c>
      <c r="F1343" s="4" t="s">
        <v>2870</v>
      </c>
      <c r="G1343" s="4" t="s">
        <v>2829</v>
      </c>
      <c r="H1343" s="4"/>
    </row>
    <row r="1344" s="1" customFormat="1" spans="1:8">
      <c r="A1344" s="4" t="s">
        <v>205</v>
      </c>
      <c r="B1344" s="4" t="s">
        <v>57</v>
      </c>
      <c r="C1344" s="4" t="s">
        <v>64</v>
      </c>
      <c r="D1344" s="4" t="s">
        <v>2871</v>
      </c>
      <c r="E1344" s="4">
        <v>2105427</v>
      </c>
      <c r="F1344" s="4" t="s">
        <v>2872</v>
      </c>
      <c r="G1344" s="4" t="s">
        <v>2829</v>
      </c>
      <c r="H1344" s="4"/>
    </row>
    <row r="1345" s="1" customFormat="1" spans="1:8">
      <c r="A1345" s="4" t="s">
        <v>205</v>
      </c>
      <c r="B1345" s="4" t="s">
        <v>57</v>
      </c>
      <c r="C1345" s="4" t="s">
        <v>64</v>
      </c>
      <c r="D1345" s="4" t="s">
        <v>2873</v>
      </c>
      <c r="E1345" s="4">
        <v>2105476</v>
      </c>
      <c r="F1345" s="4" t="s">
        <v>2874</v>
      </c>
      <c r="G1345" s="4" t="s">
        <v>2829</v>
      </c>
      <c r="H1345" s="4"/>
    </row>
    <row r="1346" s="1" customFormat="1" spans="1:8">
      <c r="A1346" s="4" t="s">
        <v>205</v>
      </c>
      <c r="B1346" s="4" t="s">
        <v>57</v>
      </c>
      <c r="C1346" s="4" t="s">
        <v>64</v>
      </c>
      <c r="D1346" s="4" t="s">
        <v>2875</v>
      </c>
      <c r="E1346" s="4">
        <v>2105500</v>
      </c>
      <c r="F1346" s="4" t="s">
        <v>2876</v>
      </c>
      <c r="G1346" s="4" t="s">
        <v>2829</v>
      </c>
      <c r="H1346" s="4"/>
    </row>
    <row r="1347" s="1" customFormat="1" spans="1:8">
      <c r="A1347" s="4" t="s">
        <v>205</v>
      </c>
      <c r="B1347" s="4" t="s">
        <v>57</v>
      </c>
      <c r="C1347" s="4" t="s">
        <v>64</v>
      </c>
      <c r="D1347" s="4" t="s">
        <v>2877</v>
      </c>
      <c r="E1347" s="4">
        <v>2105989</v>
      </c>
      <c r="F1347" s="4" t="s">
        <v>2878</v>
      </c>
      <c r="G1347" s="4" t="s">
        <v>2829</v>
      </c>
      <c r="H1347" s="4"/>
    </row>
    <row r="1348" s="1" customFormat="1" spans="1:8">
      <c r="A1348" s="4" t="s">
        <v>205</v>
      </c>
      <c r="B1348" s="4" t="s">
        <v>57</v>
      </c>
      <c r="C1348" s="4" t="s">
        <v>64</v>
      </c>
      <c r="D1348" s="4" t="s">
        <v>2879</v>
      </c>
      <c r="E1348" s="4">
        <v>2106102</v>
      </c>
      <c r="F1348" s="4" t="s">
        <v>2880</v>
      </c>
      <c r="G1348" s="4" t="s">
        <v>2829</v>
      </c>
      <c r="H1348" s="4"/>
    </row>
    <row r="1349" s="1" customFormat="1" spans="1:8">
      <c r="A1349" s="4" t="s">
        <v>205</v>
      </c>
      <c r="B1349" s="4" t="s">
        <v>57</v>
      </c>
      <c r="C1349" s="4" t="s">
        <v>64</v>
      </c>
      <c r="D1349" s="4" t="s">
        <v>2881</v>
      </c>
      <c r="E1349" s="4">
        <v>2107001</v>
      </c>
      <c r="F1349" s="4" t="s">
        <v>2882</v>
      </c>
      <c r="G1349" s="4" t="s">
        <v>2829</v>
      </c>
      <c r="H1349" s="4"/>
    </row>
    <row r="1350" s="1" customFormat="1" spans="1:8">
      <c r="A1350" s="4" t="s">
        <v>205</v>
      </c>
      <c r="B1350" s="4" t="s">
        <v>57</v>
      </c>
      <c r="C1350" s="4" t="s">
        <v>64</v>
      </c>
      <c r="D1350" s="4" t="s">
        <v>2883</v>
      </c>
      <c r="E1350" s="4">
        <v>2107258</v>
      </c>
      <c r="F1350" s="4" t="s">
        <v>2884</v>
      </c>
      <c r="G1350" s="4" t="s">
        <v>2829</v>
      </c>
      <c r="H1350" s="4"/>
    </row>
    <row r="1351" s="1" customFormat="1" spans="1:8">
      <c r="A1351" s="4" t="s">
        <v>205</v>
      </c>
      <c r="B1351" s="4" t="s">
        <v>57</v>
      </c>
      <c r="C1351" s="4" t="s">
        <v>64</v>
      </c>
      <c r="D1351" s="4" t="s">
        <v>2885</v>
      </c>
      <c r="E1351" s="4">
        <v>2109007</v>
      </c>
      <c r="F1351" s="4" t="s">
        <v>2886</v>
      </c>
      <c r="G1351" s="4" t="s">
        <v>2829</v>
      </c>
      <c r="H1351" s="4"/>
    </row>
    <row r="1352" s="1" customFormat="1" spans="1:8">
      <c r="A1352" s="4" t="s">
        <v>205</v>
      </c>
      <c r="B1352" s="4" t="s">
        <v>57</v>
      </c>
      <c r="C1352" s="4" t="s">
        <v>64</v>
      </c>
      <c r="D1352" s="4" t="s">
        <v>1209</v>
      </c>
      <c r="E1352" s="4">
        <v>2109106</v>
      </c>
      <c r="F1352" s="4" t="s">
        <v>2538</v>
      </c>
      <c r="G1352" s="4" t="s">
        <v>2829</v>
      </c>
      <c r="H1352" s="4"/>
    </row>
    <row r="1353" s="1" customFormat="1" spans="1:8">
      <c r="A1353" s="4" t="s">
        <v>205</v>
      </c>
      <c r="B1353" s="4" t="s">
        <v>57</v>
      </c>
      <c r="C1353" s="4" t="s">
        <v>64</v>
      </c>
      <c r="D1353" s="4" t="s">
        <v>2887</v>
      </c>
      <c r="E1353" s="4">
        <v>2109502</v>
      </c>
      <c r="F1353" s="4" t="s">
        <v>2888</v>
      </c>
      <c r="G1353" s="4" t="s">
        <v>2829</v>
      </c>
      <c r="H1353" s="4"/>
    </row>
    <row r="1354" s="1" customFormat="1" spans="1:8">
      <c r="A1354" s="4" t="s">
        <v>205</v>
      </c>
      <c r="B1354" s="4" t="s">
        <v>57</v>
      </c>
      <c r="C1354" s="4" t="s">
        <v>64</v>
      </c>
      <c r="D1354" s="4" t="s">
        <v>2889</v>
      </c>
      <c r="E1354" s="4">
        <v>2109551</v>
      </c>
      <c r="F1354" s="4" t="s">
        <v>2890</v>
      </c>
      <c r="G1354" s="4" t="s">
        <v>2829</v>
      </c>
      <c r="H1354" s="4"/>
    </row>
    <row r="1355" s="1" customFormat="1" spans="1:8">
      <c r="A1355" s="4" t="s">
        <v>205</v>
      </c>
      <c r="B1355" s="4" t="s">
        <v>57</v>
      </c>
      <c r="C1355" s="4" t="s">
        <v>64</v>
      </c>
      <c r="D1355" s="4" t="s">
        <v>2891</v>
      </c>
      <c r="E1355" s="4">
        <v>2109700</v>
      </c>
      <c r="F1355" s="4" t="s">
        <v>2892</v>
      </c>
      <c r="G1355" s="4" t="s">
        <v>2829</v>
      </c>
      <c r="H1355" s="4"/>
    </row>
    <row r="1356" s="1" customFormat="1" spans="1:8">
      <c r="A1356" s="4" t="s">
        <v>205</v>
      </c>
      <c r="B1356" s="4" t="s">
        <v>57</v>
      </c>
      <c r="C1356" s="4" t="s">
        <v>64</v>
      </c>
      <c r="D1356" s="4" t="s">
        <v>2893</v>
      </c>
      <c r="E1356" s="4">
        <v>2111763</v>
      </c>
      <c r="F1356" s="4" t="s">
        <v>2894</v>
      </c>
      <c r="G1356" s="4" t="s">
        <v>2829</v>
      </c>
      <c r="H1356" s="4"/>
    </row>
    <row r="1357" s="1" customFormat="1" spans="1:8">
      <c r="A1357" s="4" t="s">
        <v>205</v>
      </c>
      <c r="B1357" s="4" t="s">
        <v>57</v>
      </c>
      <c r="C1357" s="4" t="s">
        <v>64</v>
      </c>
      <c r="D1357" s="4" t="s">
        <v>2895</v>
      </c>
      <c r="E1357" s="4">
        <v>2110856</v>
      </c>
      <c r="F1357" s="4" t="s">
        <v>2896</v>
      </c>
      <c r="G1357" s="4" t="s">
        <v>2829</v>
      </c>
      <c r="H1357" s="4"/>
    </row>
    <row r="1358" s="1" customFormat="1" spans="1:8">
      <c r="A1358" s="4" t="s">
        <v>205</v>
      </c>
      <c r="B1358" s="4" t="s">
        <v>57</v>
      </c>
      <c r="C1358" s="4" t="s">
        <v>64</v>
      </c>
      <c r="D1358" s="4" t="s">
        <v>2897</v>
      </c>
      <c r="E1358" s="4">
        <v>2110807</v>
      </c>
      <c r="F1358" s="4" t="s">
        <v>2898</v>
      </c>
      <c r="G1358" s="4" t="s">
        <v>2829</v>
      </c>
      <c r="H1358" s="4"/>
    </row>
    <row r="1359" s="1" customFormat="1" spans="1:8">
      <c r="A1359" s="4" t="s">
        <v>205</v>
      </c>
      <c r="B1359" s="4" t="s">
        <v>57</v>
      </c>
      <c r="C1359" s="4" t="s">
        <v>64</v>
      </c>
      <c r="D1359" s="4" t="s">
        <v>2899</v>
      </c>
      <c r="E1359" s="4">
        <v>2111052</v>
      </c>
      <c r="F1359" s="4" t="s">
        <v>2900</v>
      </c>
      <c r="G1359" s="4" t="s">
        <v>2829</v>
      </c>
      <c r="H1359" s="4"/>
    </row>
    <row r="1360" s="1" customFormat="1" spans="1:8">
      <c r="A1360" s="4" t="s">
        <v>205</v>
      </c>
      <c r="B1360" s="4" t="s">
        <v>57</v>
      </c>
      <c r="C1360" s="4" t="s">
        <v>64</v>
      </c>
      <c r="D1360" s="4" t="s">
        <v>2901</v>
      </c>
      <c r="E1360" s="4">
        <v>2111532</v>
      </c>
      <c r="F1360" s="4" t="s">
        <v>2902</v>
      </c>
      <c r="G1360" s="4" t="s">
        <v>2829</v>
      </c>
      <c r="H1360" s="4"/>
    </row>
    <row r="1361" s="1" customFormat="1" spans="1:8">
      <c r="A1361" s="4" t="s">
        <v>205</v>
      </c>
      <c r="B1361" s="4" t="s">
        <v>57</v>
      </c>
      <c r="C1361" s="4" t="s">
        <v>64</v>
      </c>
      <c r="D1361" s="4" t="s">
        <v>2903</v>
      </c>
      <c r="E1361" s="4">
        <v>2111573</v>
      </c>
      <c r="F1361" s="4" t="s">
        <v>2904</v>
      </c>
      <c r="G1361" s="4" t="s">
        <v>2829</v>
      </c>
      <c r="H1361" s="4"/>
    </row>
    <row r="1362" s="1" customFormat="1" spans="1:8">
      <c r="A1362" s="4" t="s">
        <v>205</v>
      </c>
      <c r="B1362" s="4" t="s">
        <v>57</v>
      </c>
      <c r="C1362" s="4" t="s">
        <v>64</v>
      </c>
      <c r="D1362" s="4" t="s">
        <v>2905</v>
      </c>
      <c r="E1362" s="4">
        <v>2111607</v>
      </c>
      <c r="F1362" s="4" t="s">
        <v>2906</v>
      </c>
      <c r="G1362" s="4" t="s">
        <v>2829</v>
      </c>
      <c r="H1362" s="4"/>
    </row>
    <row r="1363" s="1" customFormat="1" spans="1:8">
      <c r="A1363" s="4" t="s">
        <v>205</v>
      </c>
      <c r="B1363" s="4" t="s">
        <v>57</v>
      </c>
      <c r="C1363" s="4" t="s">
        <v>64</v>
      </c>
      <c r="D1363" s="4" t="s">
        <v>2907</v>
      </c>
      <c r="E1363" s="4">
        <v>2111805</v>
      </c>
      <c r="F1363" s="4" t="s">
        <v>2908</v>
      </c>
      <c r="G1363" s="4" t="s">
        <v>2829</v>
      </c>
      <c r="H1363" s="4"/>
    </row>
    <row r="1364" s="1" customFormat="1" spans="1:8">
      <c r="A1364" s="4" t="s">
        <v>205</v>
      </c>
      <c r="B1364" s="4" t="s">
        <v>57</v>
      </c>
      <c r="C1364" s="4" t="s">
        <v>64</v>
      </c>
      <c r="D1364" s="4" t="s">
        <v>2909</v>
      </c>
      <c r="E1364" s="4">
        <v>2112001</v>
      </c>
      <c r="F1364" s="4" t="s">
        <v>2910</v>
      </c>
      <c r="G1364" s="4" t="s">
        <v>2829</v>
      </c>
      <c r="H1364" s="4"/>
    </row>
    <row r="1365" s="1" customFormat="1" spans="1:8">
      <c r="A1365" s="4" t="s">
        <v>205</v>
      </c>
      <c r="B1365" s="4" t="s">
        <v>57</v>
      </c>
      <c r="C1365" s="4" t="s">
        <v>64</v>
      </c>
      <c r="D1365" s="4" t="s">
        <v>2911</v>
      </c>
      <c r="E1365" s="4">
        <v>2112852</v>
      </c>
      <c r="F1365" s="4" t="s">
        <v>2912</v>
      </c>
      <c r="G1365" s="4" t="s">
        <v>2829</v>
      </c>
      <c r="H1365" s="4"/>
    </row>
    <row r="1366" s="1" customFormat="1" spans="1:8">
      <c r="A1366" s="4" t="s">
        <v>205</v>
      </c>
      <c r="B1366" s="4" t="s">
        <v>79</v>
      </c>
      <c r="C1366" s="4" t="s">
        <v>82</v>
      </c>
      <c r="D1366" s="11" t="s">
        <v>2913</v>
      </c>
      <c r="E1366" s="4">
        <v>3106200</v>
      </c>
      <c r="F1366" s="11" t="s">
        <v>2914</v>
      </c>
      <c r="G1366" s="4" t="s">
        <v>207</v>
      </c>
      <c r="H1366" s="4"/>
    </row>
    <row r="1367" s="1" customFormat="1" spans="1:8">
      <c r="A1367" s="4" t="s">
        <v>205</v>
      </c>
      <c r="B1367" s="4" t="s">
        <v>79</v>
      </c>
      <c r="C1367" s="4" t="s">
        <v>82</v>
      </c>
      <c r="D1367" s="11" t="s">
        <v>2915</v>
      </c>
      <c r="E1367" s="4">
        <v>3106705</v>
      </c>
      <c r="F1367" s="11" t="s">
        <v>2916</v>
      </c>
      <c r="G1367" s="4" t="s">
        <v>210</v>
      </c>
      <c r="H1367" s="4"/>
    </row>
    <row r="1368" s="1" customFormat="1" spans="1:8">
      <c r="A1368" s="4" t="s">
        <v>205</v>
      </c>
      <c r="B1368" s="4" t="s">
        <v>79</v>
      </c>
      <c r="C1368" s="4" t="s">
        <v>82</v>
      </c>
      <c r="D1368" s="11" t="s">
        <v>2917</v>
      </c>
      <c r="E1368" s="4">
        <v>3117876</v>
      </c>
      <c r="F1368" s="11" t="s">
        <v>2918</v>
      </c>
      <c r="G1368" s="4" t="s">
        <v>210</v>
      </c>
      <c r="H1368" s="4"/>
    </row>
    <row r="1369" s="1" customFormat="1" spans="1:8">
      <c r="A1369" s="4" t="s">
        <v>205</v>
      </c>
      <c r="B1369" s="4" t="s">
        <v>79</v>
      </c>
      <c r="C1369" s="4" t="s">
        <v>82</v>
      </c>
      <c r="D1369" s="11" t="s">
        <v>2919</v>
      </c>
      <c r="E1369" s="4">
        <v>3118601</v>
      </c>
      <c r="F1369" s="11" t="s">
        <v>2920</v>
      </c>
      <c r="G1369" s="4" t="s">
        <v>210</v>
      </c>
      <c r="H1369" s="4"/>
    </row>
    <row r="1370" s="1" customFormat="1" spans="1:8">
      <c r="A1370" s="4" t="s">
        <v>205</v>
      </c>
      <c r="B1370" s="4" t="s">
        <v>79</v>
      </c>
      <c r="C1370" s="4" t="s">
        <v>82</v>
      </c>
      <c r="D1370" s="11" t="s">
        <v>2921</v>
      </c>
      <c r="E1370" s="4">
        <v>3129806</v>
      </c>
      <c r="F1370" s="11" t="s">
        <v>2922</v>
      </c>
      <c r="G1370" s="4" t="s">
        <v>210</v>
      </c>
      <c r="H1370" s="4"/>
    </row>
    <row r="1371" s="1" customFormat="1" spans="1:8">
      <c r="A1371" s="4" t="s">
        <v>205</v>
      </c>
      <c r="B1371" s="4" t="s">
        <v>79</v>
      </c>
      <c r="C1371" s="4" t="s">
        <v>82</v>
      </c>
      <c r="D1371" s="11" t="s">
        <v>2923</v>
      </c>
      <c r="E1371" s="4">
        <v>3154606</v>
      </c>
      <c r="F1371" s="11" t="s">
        <v>2924</v>
      </c>
      <c r="G1371" s="4" t="s">
        <v>210</v>
      </c>
      <c r="H1371" s="4"/>
    </row>
    <row r="1372" s="1" customFormat="1" spans="1:8">
      <c r="A1372" s="4" t="s">
        <v>205</v>
      </c>
      <c r="B1372" s="4" t="s">
        <v>79</v>
      </c>
      <c r="C1372" s="4" t="s">
        <v>82</v>
      </c>
      <c r="D1372" s="11" t="s">
        <v>2414</v>
      </c>
      <c r="E1372" s="4">
        <v>3137601</v>
      </c>
      <c r="F1372" s="11" t="s">
        <v>2925</v>
      </c>
      <c r="G1372" s="4" t="s">
        <v>210</v>
      </c>
      <c r="H1372" s="4"/>
    </row>
    <row r="1373" s="1" customFormat="1" spans="1:8">
      <c r="A1373" s="4" t="s">
        <v>205</v>
      </c>
      <c r="B1373" s="4" t="s">
        <v>79</v>
      </c>
      <c r="C1373" s="4" t="s">
        <v>82</v>
      </c>
      <c r="D1373" s="11" t="s">
        <v>2926</v>
      </c>
      <c r="E1373" s="4">
        <v>3144805</v>
      </c>
      <c r="F1373" s="11" t="s">
        <v>2927</v>
      </c>
      <c r="G1373" s="4" t="s">
        <v>210</v>
      </c>
      <c r="H1373" s="4"/>
    </row>
    <row r="1374" s="1" customFormat="1" spans="1:8">
      <c r="A1374" s="4" t="s">
        <v>205</v>
      </c>
      <c r="B1374" s="4" t="s">
        <v>79</v>
      </c>
      <c r="C1374" s="4" t="s">
        <v>82</v>
      </c>
      <c r="D1374" s="11" t="s">
        <v>2928</v>
      </c>
      <c r="E1374" s="4">
        <v>3153905</v>
      </c>
      <c r="F1374" s="11" t="s">
        <v>2929</v>
      </c>
      <c r="G1374" s="4" t="s">
        <v>210</v>
      </c>
      <c r="H1374" s="4"/>
    </row>
    <row r="1375" s="1" customFormat="1" spans="1:8">
      <c r="A1375" s="4" t="s">
        <v>205</v>
      </c>
      <c r="B1375" s="4" t="s">
        <v>79</v>
      </c>
      <c r="C1375" s="4" t="s">
        <v>82</v>
      </c>
      <c r="D1375" s="11" t="s">
        <v>2930</v>
      </c>
      <c r="E1375" s="4">
        <v>3154606</v>
      </c>
      <c r="F1375" s="11" t="s">
        <v>2931</v>
      </c>
      <c r="G1375" s="4" t="s">
        <v>210</v>
      </c>
      <c r="H1375" s="4"/>
    </row>
    <row r="1376" s="1" customFormat="1" spans="1:8">
      <c r="A1376" s="4" t="s">
        <v>205</v>
      </c>
      <c r="B1376" s="4" t="s">
        <v>79</v>
      </c>
      <c r="C1376" s="4" t="s">
        <v>82</v>
      </c>
      <c r="D1376" s="11" t="s">
        <v>2932</v>
      </c>
      <c r="E1376" s="4">
        <v>3154804</v>
      </c>
      <c r="F1376" s="11" t="s">
        <v>2933</v>
      </c>
      <c r="G1376" s="4" t="s">
        <v>210</v>
      </c>
      <c r="H1376" s="4"/>
    </row>
    <row r="1377" s="1" customFormat="1" spans="1:8">
      <c r="A1377" s="4" t="s">
        <v>205</v>
      </c>
      <c r="B1377" s="4" t="s">
        <v>79</v>
      </c>
      <c r="C1377" s="4" t="s">
        <v>82</v>
      </c>
      <c r="D1377" s="11" t="s">
        <v>2934</v>
      </c>
      <c r="E1377" s="4">
        <v>3156700</v>
      </c>
      <c r="F1377" s="11" t="s">
        <v>2935</v>
      </c>
      <c r="G1377" s="4" t="s">
        <v>210</v>
      </c>
      <c r="H1377" s="4"/>
    </row>
    <row r="1378" s="1" customFormat="1" spans="1:8">
      <c r="A1378" s="4" t="s">
        <v>205</v>
      </c>
      <c r="B1378" s="4" t="s">
        <v>79</v>
      </c>
      <c r="C1378" s="4" t="s">
        <v>82</v>
      </c>
      <c r="D1378" s="11" t="s">
        <v>1231</v>
      </c>
      <c r="E1378" s="4">
        <v>3157807</v>
      </c>
      <c r="F1378" s="11" t="s">
        <v>2936</v>
      </c>
      <c r="G1378" s="4" t="s">
        <v>210</v>
      </c>
      <c r="H1378" s="4"/>
    </row>
    <row r="1379" s="1" customFormat="1" spans="1:8">
      <c r="A1379" s="4" t="s">
        <v>205</v>
      </c>
      <c r="B1379" s="4" t="s">
        <v>79</v>
      </c>
      <c r="C1379" s="4" t="s">
        <v>82</v>
      </c>
      <c r="D1379" s="11" t="s">
        <v>2937</v>
      </c>
      <c r="E1379" s="4">
        <v>3165537</v>
      </c>
      <c r="F1379" s="11" t="s">
        <v>2938</v>
      </c>
      <c r="G1379" s="4" t="s">
        <v>210</v>
      </c>
      <c r="H1379" s="4"/>
    </row>
    <row r="1380" s="1" customFormat="1" spans="1:8">
      <c r="A1380" s="4" t="s">
        <v>205</v>
      </c>
      <c r="B1380" s="4" t="s">
        <v>79</v>
      </c>
      <c r="C1380" s="4" t="s">
        <v>82</v>
      </c>
      <c r="D1380" s="11" t="s">
        <v>2939</v>
      </c>
      <c r="E1380" s="4">
        <v>3162955</v>
      </c>
      <c r="F1380" s="11" t="s">
        <v>2940</v>
      </c>
      <c r="G1380" s="4" t="s">
        <v>210</v>
      </c>
      <c r="H1380" s="4"/>
    </row>
    <row r="1381" s="1" customFormat="1" spans="1:8">
      <c r="A1381" s="4" t="s">
        <v>205</v>
      </c>
      <c r="B1381" s="4" t="s">
        <v>79</v>
      </c>
      <c r="C1381" s="4" t="s">
        <v>82</v>
      </c>
      <c r="D1381" s="11" t="s">
        <v>2941</v>
      </c>
      <c r="E1381" s="4">
        <v>3171204</v>
      </c>
      <c r="F1381" s="11" t="s">
        <v>2942</v>
      </c>
      <c r="G1381" s="4" t="s">
        <v>210</v>
      </c>
      <c r="H1381" s="4"/>
    </row>
    <row r="1382" s="1" customFormat="1" spans="1:8">
      <c r="A1382" s="4" t="s">
        <v>205</v>
      </c>
      <c r="B1382" s="4" t="s">
        <v>79</v>
      </c>
      <c r="C1382" s="4" t="s">
        <v>82</v>
      </c>
      <c r="D1382" s="11" t="s">
        <v>2943</v>
      </c>
      <c r="E1382" s="4">
        <v>3100203</v>
      </c>
      <c r="F1382" s="11" t="s">
        <v>2944</v>
      </c>
      <c r="G1382" s="4" t="s">
        <v>215</v>
      </c>
      <c r="H1382" s="4"/>
    </row>
    <row r="1383" s="1" customFormat="1" spans="1:8">
      <c r="A1383" s="4" t="s">
        <v>205</v>
      </c>
      <c r="B1383" s="4" t="s">
        <v>79</v>
      </c>
      <c r="C1383" s="4" t="s">
        <v>82</v>
      </c>
      <c r="D1383" s="11" t="s">
        <v>2945</v>
      </c>
      <c r="E1383" s="4">
        <v>3100302</v>
      </c>
      <c r="F1383" s="11" t="s">
        <v>2946</v>
      </c>
      <c r="G1383" s="4" t="s">
        <v>215</v>
      </c>
      <c r="H1383" s="4"/>
    </row>
    <row r="1384" s="1" customFormat="1" spans="1:8">
      <c r="A1384" s="4" t="s">
        <v>205</v>
      </c>
      <c r="B1384" s="4" t="s">
        <v>79</v>
      </c>
      <c r="C1384" s="4" t="s">
        <v>82</v>
      </c>
      <c r="D1384" s="11" t="s">
        <v>2947</v>
      </c>
      <c r="E1384" s="4">
        <v>3100401</v>
      </c>
      <c r="F1384" s="11" t="s">
        <v>2948</v>
      </c>
      <c r="G1384" s="4" t="s">
        <v>215</v>
      </c>
      <c r="H1384" s="4"/>
    </row>
    <row r="1385" s="1" customFormat="1" spans="1:8">
      <c r="A1385" s="4" t="s">
        <v>205</v>
      </c>
      <c r="B1385" s="4" t="s">
        <v>79</v>
      </c>
      <c r="C1385" s="4" t="s">
        <v>82</v>
      </c>
      <c r="D1385" s="11" t="s">
        <v>2949</v>
      </c>
      <c r="E1385" s="4">
        <v>3100807</v>
      </c>
      <c r="F1385" s="11" t="s">
        <v>2950</v>
      </c>
      <c r="G1385" s="4" t="s">
        <v>215</v>
      </c>
      <c r="H1385" s="4"/>
    </row>
    <row r="1386" s="1" customFormat="1" spans="1:8">
      <c r="A1386" s="4" t="s">
        <v>205</v>
      </c>
      <c r="B1386" s="4" t="s">
        <v>79</v>
      </c>
      <c r="C1386" s="4" t="s">
        <v>82</v>
      </c>
      <c r="D1386" s="11" t="s">
        <v>2951</v>
      </c>
      <c r="E1386" s="4">
        <v>3101631</v>
      </c>
      <c r="F1386" s="11" t="s">
        <v>2952</v>
      </c>
      <c r="G1386" s="4" t="s">
        <v>215</v>
      </c>
      <c r="H1386" s="4"/>
    </row>
    <row r="1387" s="1" customFormat="1" spans="1:8">
      <c r="A1387" s="4" t="s">
        <v>205</v>
      </c>
      <c r="B1387" s="4" t="s">
        <v>79</v>
      </c>
      <c r="C1387" s="4" t="s">
        <v>82</v>
      </c>
      <c r="D1387" s="11" t="s">
        <v>2953</v>
      </c>
      <c r="E1387" s="4">
        <v>3102100</v>
      </c>
      <c r="F1387" s="11" t="s">
        <v>2954</v>
      </c>
      <c r="G1387" s="4" t="s">
        <v>215</v>
      </c>
      <c r="H1387" s="4"/>
    </row>
    <row r="1388" s="1" customFormat="1" spans="1:8">
      <c r="A1388" s="4" t="s">
        <v>205</v>
      </c>
      <c r="B1388" s="4" t="s">
        <v>79</v>
      </c>
      <c r="C1388" s="4" t="s">
        <v>82</v>
      </c>
      <c r="D1388" s="11" t="s">
        <v>2955</v>
      </c>
      <c r="E1388" s="4">
        <v>3102308</v>
      </c>
      <c r="F1388" s="11" t="s">
        <v>2956</v>
      </c>
      <c r="G1388" s="4" t="s">
        <v>215</v>
      </c>
      <c r="H1388" s="4"/>
    </row>
    <row r="1389" s="1" customFormat="1" spans="1:8">
      <c r="A1389" s="4" t="s">
        <v>205</v>
      </c>
      <c r="B1389" s="4" t="s">
        <v>79</v>
      </c>
      <c r="C1389" s="4" t="s">
        <v>82</v>
      </c>
      <c r="D1389" s="11" t="s">
        <v>2957</v>
      </c>
      <c r="E1389" s="4">
        <v>3102407</v>
      </c>
      <c r="F1389" s="11" t="s">
        <v>2958</v>
      </c>
      <c r="G1389" s="4" t="s">
        <v>215</v>
      </c>
      <c r="H1389" s="4"/>
    </row>
    <row r="1390" s="1" customFormat="1" spans="1:8">
      <c r="A1390" s="4" t="s">
        <v>205</v>
      </c>
      <c r="B1390" s="4" t="s">
        <v>79</v>
      </c>
      <c r="C1390" s="4" t="s">
        <v>82</v>
      </c>
      <c r="D1390" s="8" t="s">
        <v>2959</v>
      </c>
      <c r="E1390" s="4">
        <v>3102506</v>
      </c>
      <c r="F1390" s="11" t="s">
        <v>2960</v>
      </c>
      <c r="G1390" s="4" t="s">
        <v>215</v>
      </c>
      <c r="H1390" s="4"/>
    </row>
    <row r="1391" s="1" customFormat="1" spans="1:8">
      <c r="A1391" s="4" t="s">
        <v>205</v>
      </c>
      <c r="B1391" s="4" t="s">
        <v>79</v>
      </c>
      <c r="C1391" s="4" t="s">
        <v>82</v>
      </c>
      <c r="D1391" s="11" t="s">
        <v>2961</v>
      </c>
      <c r="E1391" s="4">
        <v>3102902</v>
      </c>
      <c r="F1391" s="11" t="s">
        <v>2962</v>
      </c>
      <c r="G1391" s="4" t="s">
        <v>215</v>
      </c>
      <c r="H1391" s="4"/>
    </row>
    <row r="1392" s="1" customFormat="1" spans="1:8">
      <c r="A1392" s="4" t="s">
        <v>205</v>
      </c>
      <c r="B1392" s="4" t="s">
        <v>79</v>
      </c>
      <c r="C1392" s="4" t="s">
        <v>82</v>
      </c>
      <c r="D1392" s="11" t="s">
        <v>2963</v>
      </c>
      <c r="E1392" s="4">
        <v>3103009</v>
      </c>
      <c r="F1392" s="11" t="s">
        <v>2964</v>
      </c>
      <c r="G1392" s="4" t="s">
        <v>215</v>
      </c>
      <c r="H1392" s="4"/>
    </row>
    <row r="1393" s="1" customFormat="1" spans="1:8">
      <c r="A1393" s="4" t="s">
        <v>205</v>
      </c>
      <c r="B1393" s="4" t="s">
        <v>79</v>
      </c>
      <c r="C1393" s="4" t="s">
        <v>82</v>
      </c>
      <c r="D1393" s="11" t="s">
        <v>2965</v>
      </c>
      <c r="E1393" s="4">
        <v>3103306</v>
      </c>
      <c r="F1393" s="11" t="s">
        <v>2966</v>
      </c>
      <c r="G1393" s="4" t="s">
        <v>215</v>
      </c>
      <c r="H1393" s="4"/>
    </row>
    <row r="1394" s="1" customFormat="1" spans="1:8">
      <c r="A1394" s="4" t="s">
        <v>205</v>
      </c>
      <c r="B1394" s="4" t="s">
        <v>79</v>
      </c>
      <c r="C1394" s="4" t="s">
        <v>82</v>
      </c>
      <c r="D1394" s="11" t="s">
        <v>2967</v>
      </c>
      <c r="E1394" s="4">
        <v>3103702</v>
      </c>
      <c r="F1394" s="11" t="s">
        <v>2968</v>
      </c>
      <c r="G1394" s="4" t="s">
        <v>215</v>
      </c>
      <c r="H1394" s="4"/>
    </row>
    <row r="1395" s="1" customFormat="1" spans="1:8">
      <c r="A1395" s="4" t="s">
        <v>205</v>
      </c>
      <c r="B1395" s="4" t="s">
        <v>79</v>
      </c>
      <c r="C1395" s="4" t="s">
        <v>82</v>
      </c>
      <c r="D1395" s="11" t="s">
        <v>2969</v>
      </c>
      <c r="E1395" s="4">
        <v>3103207</v>
      </c>
      <c r="F1395" s="11" t="s">
        <v>2970</v>
      </c>
      <c r="G1395" s="4" t="s">
        <v>215</v>
      </c>
      <c r="H1395" s="4"/>
    </row>
    <row r="1396" s="1" customFormat="1" spans="1:8">
      <c r="A1396" s="4" t="s">
        <v>205</v>
      </c>
      <c r="B1396" s="4" t="s">
        <v>79</v>
      </c>
      <c r="C1396" s="4" t="s">
        <v>82</v>
      </c>
      <c r="D1396" s="11" t="s">
        <v>2971</v>
      </c>
      <c r="E1396" s="4">
        <v>3103900</v>
      </c>
      <c r="F1396" s="11" t="s">
        <v>2972</v>
      </c>
      <c r="G1396" s="4" t="s">
        <v>215</v>
      </c>
      <c r="H1396" s="4"/>
    </row>
    <row r="1397" s="1" customFormat="1" spans="1:8">
      <c r="A1397" s="4" t="s">
        <v>205</v>
      </c>
      <c r="B1397" s="4" t="s">
        <v>79</v>
      </c>
      <c r="C1397" s="4" t="s">
        <v>82</v>
      </c>
      <c r="D1397" s="11" t="s">
        <v>2973</v>
      </c>
      <c r="E1397" s="4">
        <v>3104205</v>
      </c>
      <c r="F1397" s="11" t="s">
        <v>2974</v>
      </c>
      <c r="G1397" s="4" t="s">
        <v>215</v>
      </c>
      <c r="H1397" s="4"/>
    </row>
    <row r="1398" s="1" customFormat="1" spans="1:8">
      <c r="A1398" s="4" t="s">
        <v>205</v>
      </c>
      <c r="B1398" s="4" t="s">
        <v>79</v>
      </c>
      <c r="C1398" s="4" t="s">
        <v>82</v>
      </c>
      <c r="D1398" s="11" t="s">
        <v>2975</v>
      </c>
      <c r="E1398" s="4">
        <v>3104601</v>
      </c>
      <c r="F1398" s="11" t="s">
        <v>2976</v>
      </c>
      <c r="G1398" s="4" t="s">
        <v>215</v>
      </c>
      <c r="H1398" s="4"/>
    </row>
    <row r="1399" s="1" customFormat="1" spans="1:8">
      <c r="A1399" s="4" t="s">
        <v>205</v>
      </c>
      <c r="B1399" s="4" t="s">
        <v>79</v>
      </c>
      <c r="C1399" s="4" t="s">
        <v>82</v>
      </c>
      <c r="D1399" s="11" t="s">
        <v>2977</v>
      </c>
      <c r="E1399" s="4">
        <v>3104809</v>
      </c>
      <c r="F1399" s="11" t="s">
        <v>2978</v>
      </c>
      <c r="G1399" s="4" t="s">
        <v>215</v>
      </c>
      <c r="H1399" s="4"/>
    </row>
    <row r="1400" s="1" customFormat="1" spans="1:8">
      <c r="A1400" s="4" t="s">
        <v>205</v>
      </c>
      <c r="B1400" s="4" t="s">
        <v>79</v>
      </c>
      <c r="C1400" s="4" t="s">
        <v>82</v>
      </c>
      <c r="D1400" s="11" t="s">
        <v>2979</v>
      </c>
      <c r="E1400" s="4">
        <v>3100500</v>
      </c>
      <c r="F1400" s="11" t="s">
        <v>2980</v>
      </c>
      <c r="G1400" s="4" t="s">
        <v>215</v>
      </c>
      <c r="H1400" s="4"/>
    </row>
    <row r="1401" s="1" customFormat="1" spans="1:8">
      <c r="A1401" s="4" t="s">
        <v>205</v>
      </c>
      <c r="B1401" s="4" t="s">
        <v>79</v>
      </c>
      <c r="C1401" s="4" t="s">
        <v>82</v>
      </c>
      <c r="D1401" s="11" t="s">
        <v>2981</v>
      </c>
      <c r="E1401" s="4">
        <v>3105004</v>
      </c>
      <c r="F1401" s="11" t="s">
        <v>2982</v>
      </c>
      <c r="G1401" s="4" t="s">
        <v>215</v>
      </c>
      <c r="H1401" s="4"/>
    </row>
    <row r="1402" s="1" customFormat="1" spans="1:8">
      <c r="A1402" s="4" t="s">
        <v>205</v>
      </c>
      <c r="B1402" s="4" t="s">
        <v>79</v>
      </c>
      <c r="C1402" s="4" t="s">
        <v>82</v>
      </c>
      <c r="D1402" s="11" t="s">
        <v>2983</v>
      </c>
      <c r="E1402" s="4">
        <v>3105103</v>
      </c>
      <c r="F1402" s="11" t="s">
        <v>2984</v>
      </c>
      <c r="G1402" s="4" t="s">
        <v>215</v>
      </c>
      <c r="H1402" s="4"/>
    </row>
    <row r="1403" s="1" customFormat="1" spans="1:8">
      <c r="A1403" s="4" t="s">
        <v>205</v>
      </c>
      <c r="B1403" s="4" t="s">
        <v>79</v>
      </c>
      <c r="C1403" s="4" t="s">
        <v>82</v>
      </c>
      <c r="D1403" s="11" t="s">
        <v>2985</v>
      </c>
      <c r="E1403" s="4">
        <v>3105608</v>
      </c>
      <c r="F1403" s="11" t="s">
        <v>2986</v>
      </c>
      <c r="G1403" s="4" t="s">
        <v>215</v>
      </c>
      <c r="H1403" s="4"/>
    </row>
    <row r="1404" s="1" customFormat="1" spans="1:8">
      <c r="A1404" s="4" t="s">
        <v>205</v>
      </c>
      <c r="B1404" s="4" t="s">
        <v>79</v>
      </c>
      <c r="C1404" s="4" t="s">
        <v>82</v>
      </c>
      <c r="D1404" s="11" t="s">
        <v>2987</v>
      </c>
      <c r="E1404" s="4">
        <v>3105707</v>
      </c>
      <c r="F1404" s="11" t="s">
        <v>2988</v>
      </c>
      <c r="G1404" s="4" t="s">
        <v>215</v>
      </c>
      <c r="H1404" s="4"/>
    </row>
    <row r="1405" s="1" customFormat="1" spans="1:8">
      <c r="A1405" s="4" t="s">
        <v>205</v>
      </c>
      <c r="B1405" s="4" t="s">
        <v>79</v>
      </c>
      <c r="C1405" s="4" t="s">
        <v>82</v>
      </c>
      <c r="D1405" s="11" t="s">
        <v>2989</v>
      </c>
      <c r="E1405" s="4">
        <v>3105905</v>
      </c>
      <c r="F1405" s="11" t="s">
        <v>2990</v>
      </c>
      <c r="G1405" s="4" t="s">
        <v>215</v>
      </c>
      <c r="H1405" s="4"/>
    </row>
    <row r="1406" s="1" customFormat="1" spans="1:8">
      <c r="A1406" s="4" t="s">
        <v>205</v>
      </c>
      <c r="B1406" s="4" t="s">
        <v>79</v>
      </c>
      <c r="C1406" s="4" t="s">
        <v>82</v>
      </c>
      <c r="D1406" s="11" t="s">
        <v>2991</v>
      </c>
      <c r="E1406" s="4">
        <v>3105400</v>
      </c>
      <c r="F1406" s="11" t="s">
        <v>2992</v>
      </c>
      <c r="G1406" s="4" t="s">
        <v>215</v>
      </c>
      <c r="H1406" s="4"/>
    </row>
    <row r="1407" s="1" customFormat="1" spans="1:8">
      <c r="A1407" s="4" t="s">
        <v>205</v>
      </c>
      <c r="B1407" s="4" t="s">
        <v>79</v>
      </c>
      <c r="C1407" s="4" t="s">
        <v>82</v>
      </c>
      <c r="D1407" s="11" t="s">
        <v>2993</v>
      </c>
      <c r="E1407" s="4">
        <v>3106002</v>
      </c>
      <c r="F1407" s="11" t="s">
        <v>2994</v>
      </c>
      <c r="G1407" s="4" t="s">
        <v>215</v>
      </c>
      <c r="H1407" s="4"/>
    </row>
    <row r="1408" s="1" customFormat="1" spans="1:8">
      <c r="A1408" s="4" t="s">
        <v>205</v>
      </c>
      <c r="B1408" s="4" t="s">
        <v>79</v>
      </c>
      <c r="C1408" s="4" t="s">
        <v>82</v>
      </c>
      <c r="D1408" s="11" t="s">
        <v>2995</v>
      </c>
      <c r="E1408" s="4">
        <v>3106101</v>
      </c>
      <c r="F1408" s="11" t="s">
        <v>2996</v>
      </c>
      <c r="G1408" s="4" t="s">
        <v>215</v>
      </c>
      <c r="H1408" s="4"/>
    </row>
    <row r="1409" s="1" customFormat="1" spans="1:8">
      <c r="A1409" s="4" t="s">
        <v>205</v>
      </c>
      <c r="B1409" s="4" t="s">
        <v>79</v>
      </c>
      <c r="C1409" s="4" t="s">
        <v>82</v>
      </c>
      <c r="D1409" s="11" t="s">
        <v>2997</v>
      </c>
      <c r="E1409" s="4">
        <v>3106309</v>
      </c>
      <c r="F1409" s="11" t="s">
        <v>2998</v>
      </c>
      <c r="G1409" s="4" t="s">
        <v>215</v>
      </c>
      <c r="H1409" s="4"/>
    </row>
    <row r="1410" s="1" customFormat="1" spans="1:8">
      <c r="A1410" s="4" t="s">
        <v>205</v>
      </c>
      <c r="B1410" s="4" t="s">
        <v>79</v>
      </c>
      <c r="C1410" s="4" t="s">
        <v>82</v>
      </c>
      <c r="D1410" s="11" t="s">
        <v>2999</v>
      </c>
      <c r="E1410" s="4">
        <v>3106408</v>
      </c>
      <c r="F1410" s="11" t="s">
        <v>3000</v>
      </c>
      <c r="G1410" s="4" t="s">
        <v>215</v>
      </c>
      <c r="H1410" s="4"/>
    </row>
    <row r="1411" s="1" customFormat="1" spans="1:8">
      <c r="A1411" s="4" t="s">
        <v>205</v>
      </c>
      <c r="B1411" s="4" t="s">
        <v>79</v>
      </c>
      <c r="C1411" s="4" t="s">
        <v>82</v>
      </c>
      <c r="D1411" s="11" t="s">
        <v>3001</v>
      </c>
      <c r="E1411" s="4">
        <v>3106804</v>
      </c>
      <c r="F1411" s="11" t="s">
        <v>3002</v>
      </c>
      <c r="G1411" s="4" t="s">
        <v>215</v>
      </c>
      <c r="H1411" s="4"/>
    </row>
    <row r="1412" s="1" customFormat="1" spans="1:8">
      <c r="A1412" s="4" t="s">
        <v>205</v>
      </c>
      <c r="B1412" s="4" t="s">
        <v>79</v>
      </c>
      <c r="C1412" s="4" t="s">
        <v>82</v>
      </c>
      <c r="D1412" s="11" t="s">
        <v>3003</v>
      </c>
      <c r="E1412" s="4">
        <v>3107000</v>
      </c>
      <c r="F1412" s="11" t="s">
        <v>3004</v>
      </c>
      <c r="G1412" s="4" t="s">
        <v>215</v>
      </c>
      <c r="H1412" s="4"/>
    </row>
    <row r="1413" s="1" customFormat="1" spans="1:8">
      <c r="A1413" s="4" t="s">
        <v>205</v>
      </c>
      <c r="B1413" s="4" t="s">
        <v>79</v>
      </c>
      <c r="C1413" s="4" t="s">
        <v>82</v>
      </c>
      <c r="D1413" s="11" t="s">
        <v>1973</v>
      </c>
      <c r="E1413" s="4">
        <v>3107109</v>
      </c>
      <c r="F1413" s="11" t="s">
        <v>3005</v>
      </c>
      <c r="G1413" s="4" t="s">
        <v>215</v>
      </c>
      <c r="H1413" s="4"/>
    </row>
    <row r="1414" s="1" customFormat="1" spans="1:8">
      <c r="A1414" s="4" t="s">
        <v>205</v>
      </c>
      <c r="B1414" s="4" t="s">
        <v>79</v>
      </c>
      <c r="C1414" s="4" t="s">
        <v>82</v>
      </c>
      <c r="D1414" s="11" t="s">
        <v>3006</v>
      </c>
      <c r="E1414" s="4">
        <v>3107406</v>
      </c>
      <c r="F1414" s="11" t="s">
        <v>3007</v>
      </c>
      <c r="G1414" s="4" t="s">
        <v>215</v>
      </c>
      <c r="H1414" s="4"/>
    </row>
    <row r="1415" s="1" customFormat="1" spans="1:8">
      <c r="A1415" s="4" t="s">
        <v>205</v>
      </c>
      <c r="B1415" s="4" t="s">
        <v>79</v>
      </c>
      <c r="C1415" s="4" t="s">
        <v>82</v>
      </c>
      <c r="D1415" s="11" t="s">
        <v>3008</v>
      </c>
      <c r="E1415" s="4">
        <v>3107703</v>
      </c>
      <c r="F1415" s="11" t="s">
        <v>3009</v>
      </c>
      <c r="G1415" s="4" t="s">
        <v>215</v>
      </c>
      <c r="H1415" s="4"/>
    </row>
    <row r="1416" s="1" customFormat="1" spans="1:8">
      <c r="A1416" s="4" t="s">
        <v>205</v>
      </c>
      <c r="B1416" s="4" t="s">
        <v>79</v>
      </c>
      <c r="C1416" s="4" t="s">
        <v>82</v>
      </c>
      <c r="D1416" s="11" t="s">
        <v>3010</v>
      </c>
      <c r="E1416" s="4">
        <v>3107802</v>
      </c>
      <c r="F1416" s="11" t="s">
        <v>3011</v>
      </c>
      <c r="G1416" s="4" t="s">
        <v>215</v>
      </c>
      <c r="H1416" s="4"/>
    </row>
    <row r="1417" s="1" customFormat="1" spans="1:8">
      <c r="A1417" s="4" t="s">
        <v>205</v>
      </c>
      <c r="B1417" s="4" t="s">
        <v>79</v>
      </c>
      <c r="C1417" s="4" t="s">
        <v>82</v>
      </c>
      <c r="D1417" s="11" t="s">
        <v>3012</v>
      </c>
      <c r="E1417" s="4">
        <v>3108008</v>
      </c>
      <c r="F1417" s="11" t="s">
        <v>3013</v>
      </c>
      <c r="G1417" s="4" t="s">
        <v>215</v>
      </c>
      <c r="H1417" s="4"/>
    </row>
    <row r="1418" s="1" customFormat="1" spans="1:8">
      <c r="A1418" s="4" t="s">
        <v>205</v>
      </c>
      <c r="B1418" s="4" t="s">
        <v>79</v>
      </c>
      <c r="C1418" s="4" t="s">
        <v>82</v>
      </c>
      <c r="D1418" s="11" t="s">
        <v>3014</v>
      </c>
      <c r="E1418" s="4">
        <v>3108107</v>
      </c>
      <c r="F1418" s="11" t="s">
        <v>3015</v>
      </c>
      <c r="G1418" s="4" t="s">
        <v>215</v>
      </c>
      <c r="H1418" s="4"/>
    </row>
    <row r="1419" s="1" customFormat="1" spans="1:8">
      <c r="A1419" s="4" t="s">
        <v>205</v>
      </c>
      <c r="B1419" s="4" t="s">
        <v>79</v>
      </c>
      <c r="C1419" s="4" t="s">
        <v>82</v>
      </c>
      <c r="D1419" s="11" t="s">
        <v>3016</v>
      </c>
      <c r="E1419" s="4">
        <v>3109006</v>
      </c>
      <c r="F1419" s="11" t="s">
        <v>3017</v>
      </c>
      <c r="G1419" s="4" t="s">
        <v>215</v>
      </c>
      <c r="H1419" s="4"/>
    </row>
    <row r="1420" s="1" customFormat="1" spans="1:8">
      <c r="A1420" s="4" t="s">
        <v>205</v>
      </c>
      <c r="B1420" s="4" t="s">
        <v>79</v>
      </c>
      <c r="C1420" s="4" t="s">
        <v>82</v>
      </c>
      <c r="D1420" s="11" t="s">
        <v>3018</v>
      </c>
      <c r="E1420" s="4">
        <v>3108701</v>
      </c>
      <c r="F1420" s="11" t="s">
        <v>3019</v>
      </c>
      <c r="G1420" s="4" t="s">
        <v>215</v>
      </c>
      <c r="H1420" s="4"/>
    </row>
    <row r="1421" s="1" customFormat="1" spans="1:8">
      <c r="A1421" s="4" t="s">
        <v>205</v>
      </c>
      <c r="B1421" s="4" t="s">
        <v>79</v>
      </c>
      <c r="C1421" s="4" t="s">
        <v>82</v>
      </c>
      <c r="D1421" s="11" t="s">
        <v>3020</v>
      </c>
      <c r="E1421" s="4">
        <v>3109204</v>
      </c>
      <c r="F1421" s="11" t="s">
        <v>3021</v>
      </c>
      <c r="G1421" s="4" t="s">
        <v>215</v>
      </c>
      <c r="H1421" s="4"/>
    </row>
    <row r="1422" s="1" customFormat="1" spans="1:8">
      <c r="A1422" s="4" t="s">
        <v>205</v>
      </c>
      <c r="B1422" s="4" t="s">
        <v>79</v>
      </c>
      <c r="C1422" s="4" t="s">
        <v>82</v>
      </c>
      <c r="D1422" s="11" t="s">
        <v>3022</v>
      </c>
      <c r="E1422" s="4">
        <v>3109253</v>
      </c>
      <c r="F1422" s="11" t="s">
        <v>3023</v>
      </c>
      <c r="G1422" s="4" t="s">
        <v>215</v>
      </c>
      <c r="H1422" s="4"/>
    </row>
    <row r="1423" s="1" customFormat="1" spans="1:8">
      <c r="A1423" s="4" t="s">
        <v>205</v>
      </c>
      <c r="B1423" s="4" t="s">
        <v>79</v>
      </c>
      <c r="C1423" s="4" t="s">
        <v>82</v>
      </c>
      <c r="D1423" s="11" t="s">
        <v>3024</v>
      </c>
      <c r="E1423" s="4">
        <v>3109600</v>
      </c>
      <c r="F1423" s="11" t="s">
        <v>3025</v>
      </c>
      <c r="G1423" s="4" t="s">
        <v>215</v>
      </c>
      <c r="H1423" s="4"/>
    </row>
    <row r="1424" s="1" customFormat="1" spans="1:8">
      <c r="A1424" s="4" t="s">
        <v>205</v>
      </c>
      <c r="B1424" s="4" t="s">
        <v>79</v>
      </c>
      <c r="C1424" s="4" t="s">
        <v>82</v>
      </c>
      <c r="D1424" s="11" t="s">
        <v>3026</v>
      </c>
      <c r="E1424" s="4">
        <v>3109907</v>
      </c>
      <c r="F1424" s="11" t="s">
        <v>3027</v>
      </c>
      <c r="G1424" s="4" t="s">
        <v>215</v>
      </c>
      <c r="H1424" s="4"/>
    </row>
    <row r="1425" s="1" customFormat="1" spans="1:8">
      <c r="A1425" s="4" t="s">
        <v>205</v>
      </c>
      <c r="B1425" s="4" t="s">
        <v>79</v>
      </c>
      <c r="C1425" s="4" t="s">
        <v>82</v>
      </c>
      <c r="D1425" s="11" t="s">
        <v>3028</v>
      </c>
      <c r="E1425" s="4">
        <v>3110004</v>
      </c>
      <c r="F1425" s="11" t="s">
        <v>3029</v>
      </c>
      <c r="G1425" s="4" t="s">
        <v>215</v>
      </c>
      <c r="H1425" s="4"/>
    </row>
    <row r="1426" s="1" customFormat="1" spans="1:8">
      <c r="A1426" s="4" t="s">
        <v>205</v>
      </c>
      <c r="B1426" s="4" t="s">
        <v>79</v>
      </c>
      <c r="C1426" s="4" t="s">
        <v>82</v>
      </c>
      <c r="D1426" s="11" t="s">
        <v>3030</v>
      </c>
      <c r="E1426" s="4">
        <v>3110202</v>
      </c>
      <c r="F1426" s="11" t="s">
        <v>3031</v>
      </c>
      <c r="G1426" s="4" t="s">
        <v>215</v>
      </c>
      <c r="H1426" s="4"/>
    </row>
    <row r="1427" s="1" customFormat="1" spans="1:8">
      <c r="A1427" s="4" t="s">
        <v>205</v>
      </c>
      <c r="B1427" s="4" t="s">
        <v>79</v>
      </c>
      <c r="C1427" s="4" t="s">
        <v>82</v>
      </c>
      <c r="D1427" s="11" t="s">
        <v>3032</v>
      </c>
      <c r="E1427" s="4">
        <v>3110400</v>
      </c>
      <c r="F1427" s="11" t="s">
        <v>3033</v>
      </c>
      <c r="G1427" s="4" t="s">
        <v>215</v>
      </c>
      <c r="H1427" s="4"/>
    </row>
    <row r="1428" s="1" customFormat="1" spans="1:8">
      <c r="A1428" s="4" t="s">
        <v>205</v>
      </c>
      <c r="B1428" s="4" t="s">
        <v>79</v>
      </c>
      <c r="C1428" s="4" t="s">
        <v>82</v>
      </c>
      <c r="D1428" s="11" t="s">
        <v>3034</v>
      </c>
      <c r="E1428" s="4">
        <v>3111200</v>
      </c>
      <c r="F1428" s="11" t="s">
        <v>3035</v>
      </c>
      <c r="G1428" s="4" t="s">
        <v>215</v>
      </c>
      <c r="H1428" s="4"/>
    </row>
    <row r="1429" s="1" customFormat="1" spans="1:8">
      <c r="A1429" s="4" t="s">
        <v>205</v>
      </c>
      <c r="B1429" s="4" t="s">
        <v>79</v>
      </c>
      <c r="C1429" s="4" t="s">
        <v>82</v>
      </c>
      <c r="D1429" s="11" t="s">
        <v>3036</v>
      </c>
      <c r="E1429" s="4">
        <v>3111507</v>
      </c>
      <c r="F1429" s="11" t="s">
        <v>3037</v>
      </c>
      <c r="G1429" s="4" t="s">
        <v>215</v>
      </c>
      <c r="H1429" s="4"/>
    </row>
    <row r="1430" s="1" customFormat="1" spans="1:8">
      <c r="A1430" s="4" t="s">
        <v>205</v>
      </c>
      <c r="B1430" s="4" t="s">
        <v>79</v>
      </c>
      <c r="C1430" s="4" t="s">
        <v>82</v>
      </c>
      <c r="D1430" s="11" t="s">
        <v>3038</v>
      </c>
      <c r="E1430" s="4">
        <v>3111903</v>
      </c>
      <c r="F1430" s="11" t="s">
        <v>3039</v>
      </c>
      <c r="G1430" s="4" t="s">
        <v>215</v>
      </c>
      <c r="H1430" s="4"/>
    </row>
    <row r="1431" s="1" customFormat="1" spans="1:8">
      <c r="A1431" s="4" t="s">
        <v>205</v>
      </c>
      <c r="B1431" s="4" t="s">
        <v>79</v>
      </c>
      <c r="C1431" s="4" t="s">
        <v>82</v>
      </c>
      <c r="D1431" s="11" t="s">
        <v>3040</v>
      </c>
      <c r="E1431" s="4">
        <v>3111705</v>
      </c>
      <c r="F1431" s="11" t="s">
        <v>3041</v>
      </c>
      <c r="G1431" s="4" t="s">
        <v>215</v>
      </c>
      <c r="H1431" s="4"/>
    </row>
    <row r="1432" s="1" customFormat="1" spans="1:8">
      <c r="A1432" s="4" t="s">
        <v>205</v>
      </c>
      <c r="B1432" s="4" t="s">
        <v>79</v>
      </c>
      <c r="C1432" s="4" t="s">
        <v>82</v>
      </c>
      <c r="D1432" s="11" t="s">
        <v>615</v>
      </c>
      <c r="E1432" s="4">
        <v>3112000</v>
      </c>
      <c r="F1432" s="11" t="s">
        <v>3042</v>
      </c>
      <c r="G1432" s="4" t="s">
        <v>215</v>
      </c>
      <c r="H1432" s="4"/>
    </row>
    <row r="1433" s="1" customFormat="1" spans="1:8">
      <c r="A1433" s="4" t="s">
        <v>205</v>
      </c>
      <c r="B1433" s="4" t="s">
        <v>79</v>
      </c>
      <c r="C1433" s="4" t="s">
        <v>82</v>
      </c>
      <c r="D1433" s="11" t="s">
        <v>3043</v>
      </c>
      <c r="E1433" s="4">
        <v>3112208</v>
      </c>
      <c r="F1433" s="11" t="s">
        <v>3044</v>
      </c>
      <c r="G1433" s="4" t="s">
        <v>215</v>
      </c>
      <c r="H1433" s="4"/>
    </row>
    <row r="1434" s="1" customFormat="1" spans="1:8">
      <c r="A1434" s="4" t="s">
        <v>205</v>
      </c>
      <c r="B1434" s="4" t="s">
        <v>79</v>
      </c>
      <c r="C1434" s="4" t="s">
        <v>82</v>
      </c>
      <c r="D1434" s="11" t="s">
        <v>3045</v>
      </c>
      <c r="E1434" s="4">
        <v>3112505</v>
      </c>
      <c r="F1434" s="11" t="s">
        <v>3046</v>
      </c>
      <c r="G1434" s="4" t="s">
        <v>215</v>
      </c>
      <c r="H1434" s="4"/>
    </row>
    <row r="1435" s="1" customFormat="1" spans="1:8">
      <c r="A1435" s="4" t="s">
        <v>205</v>
      </c>
      <c r="B1435" s="4" t="s">
        <v>79</v>
      </c>
      <c r="C1435" s="4" t="s">
        <v>82</v>
      </c>
      <c r="D1435" s="11" t="s">
        <v>3047</v>
      </c>
      <c r="E1435" s="4">
        <v>3112802</v>
      </c>
      <c r="F1435" s="11" t="s">
        <v>3048</v>
      </c>
      <c r="G1435" s="4" t="s">
        <v>215</v>
      </c>
      <c r="H1435" s="4"/>
    </row>
    <row r="1436" s="1" customFormat="1" spans="1:8">
      <c r="A1436" s="4" t="s">
        <v>205</v>
      </c>
      <c r="B1436" s="4" t="s">
        <v>79</v>
      </c>
      <c r="C1436" s="4" t="s">
        <v>82</v>
      </c>
      <c r="D1436" s="11" t="s">
        <v>3049</v>
      </c>
      <c r="E1436" s="4">
        <v>3112901</v>
      </c>
      <c r="F1436" s="11" t="s">
        <v>3050</v>
      </c>
      <c r="G1436" s="4" t="s">
        <v>215</v>
      </c>
      <c r="H1436" s="4"/>
    </row>
    <row r="1437" s="1" customFormat="1" spans="1:8">
      <c r="A1437" s="4" t="s">
        <v>205</v>
      </c>
      <c r="B1437" s="4" t="s">
        <v>79</v>
      </c>
      <c r="C1437" s="4" t="s">
        <v>82</v>
      </c>
      <c r="D1437" s="11" t="s">
        <v>3051</v>
      </c>
      <c r="E1437" s="4">
        <v>3113107</v>
      </c>
      <c r="F1437" s="11" t="s">
        <v>3052</v>
      </c>
      <c r="G1437" s="4" t="s">
        <v>215</v>
      </c>
      <c r="H1437" s="4"/>
    </row>
    <row r="1438" s="1" customFormat="1" spans="1:8">
      <c r="A1438" s="4" t="s">
        <v>205</v>
      </c>
      <c r="B1438" s="4" t="s">
        <v>79</v>
      </c>
      <c r="C1438" s="4" t="s">
        <v>82</v>
      </c>
      <c r="D1438" s="11" t="s">
        <v>3053</v>
      </c>
      <c r="E1438" s="4">
        <v>3113206</v>
      </c>
      <c r="F1438" s="11" t="s">
        <v>3054</v>
      </c>
      <c r="G1438" s="4" t="s">
        <v>215</v>
      </c>
      <c r="H1438" s="4"/>
    </row>
    <row r="1439" s="1" customFormat="1" spans="1:8">
      <c r="A1439" s="4" t="s">
        <v>205</v>
      </c>
      <c r="B1439" s="4" t="s">
        <v>79</v>
      </c>
      <c r="C1439" s="4" t="s">
        <v>82</v>
      </c>
      <c r="D1439" s="11" t="s">
        <v>3055</v>
      </c>
      <c r="E1439" s="4">
        <v>3113909</v>
      </c>
      <c r="F1439" s="11" t="s">
        <v>3056</v>
      </c>
      <c r="G1439" s="4" t="s">
        <v>215</v>
      </c>
      <c r="H1439" s="4"/>
    </row>
    <row r="1440" s="1" customFormat="1" spans="1:8">
      <c r="A1440" s="4" t="s">
        <v>205</v>
      </c>
      <c r="B1440" s="4" t="s">
        <v>79</v>
      </c>
      <c r="C1440" s="4" t="s">
        <v>82</v>
      </c>
      <c r="D1440" s="11" t="s">
        <v>3057</v>
      </c>
      <c r="E1440" s="4">
        <v>3114006</v>
      </c>
      <c r="F1440" s="11" t="s">
        <v>3058</v>
      </c>
      <c r="G1440" s="4" t="s">
        <v>215</v>
      </c>
      <c r="H1440" s="4"/>
    </row>
    <row r="1441" s="1" customFormat="1" spans="1:8">
      <c r="A1441" s="4" t="s">
        <v>205</v>
      </c>
      <c r="B1441" s="4" t="s">
        <v>79</v>
      </c>
      <c r="C1441" s="4" t="s">
        <v>82</v>
      </c>
      <c r="D1441" s="11" t="s">
        <v>3059</v>
      </c>
      <c r="E1441" s="4">
        <v>3114204</v>
      </c>
      <c r="F1441" s="11" t="s">
        <v>3060</v>
      </c>
      <c r="G1441" s="4" t="s">
        <v>215</v>
      </c>
      <c r="H1441" s="4"/>
    </row>
    <row r="1442" s="1" customFormat="1" spans="1:8">
      <c r="A1442" s="4" t="s">
        <v>205</v>
      </c>
      <c r="B1442" s="4" t="s">
        <v>79</v>
      </c>
      <c r="C1442" s="4" t="s">
        <v>82</v>
      </c>
      <c r="D1442" s="11" t="s">
        <v>3061</v>
      </c>
      <c r="E1442" s="4">
        <v>3113800</v>
      </c>
      <c r="F1442" s="11" t="s">
        <v>3062</v>
      </c>
      <c r="G1442" s="4" t="s">
        <v>215</v>
      </c>
      <c r="H1442" s="4"/>
    </row>
    <row r="1443" s="1" customFormat="1" spans="1:8">
      <c r="A1443" s="4" t="s">
        <v>205</v>
      </c>
      <c r="B1443" s="4" t="s">
        <v>79</v>
      </c>
      <c r="C1443" s="4" t="s">
        <v>82</v>
      </c>
      <c r="D1443" s="11" t="s">
        <v>3063</v>
      </c>
      <c r="E1443" s="4">
        <v>3114501</v>
      </c>
      <c r="F1443" s="11" t="s">
        <v>3064</v>
      </c>
      <c r="G1443" s="4" t="s">
        <v>215</v>
      </c>
      <c r="H1443" s="4"/>
    </row>
    <row r="1444" s="1" customFormat="1" spans="1:8">
      <c r="A1444" s="4" t="s">
        <v>205</v>
      </c>
      <c r="B1444" s="4" t="s">
        <v>79</v>
      </c>
      <c r="C1444" s="4" t="s">
        <v>82</v>
      </c>
      <c r="D1444" s="11" t="s">
        <v>3065</v>
      </c>
      <c r="E1444" s="4">
        <v>3114600</v>
      </c>
      <c r="F1444" s="11" t="s">
        <v>3066</v>
      </c>
      <c r="G1444" s="4" t="s">
        <v>215</v>
      </c>
      <c r="H1444" s="4"/>
    </row>
    <row r="1445" s="1" customFormat="1" spans="1:8">
      <c r="A1445" s="4" t="s">
        <v>205</v>
      </c>
      <c r="B1445" s="4" t="s">
        <v>79</v>
      </c>
      <c r="C1445" s="4" t="s">
        <v>82</v>
      </c>
      <c r="D1445" s="11" t="s">
        <v>3067</v>
      </c>
      <c r="E1445" s="4">
        <v>3114907</v>
      </c>
      <c r="F1445" s="11" t="s">
        <v>3068</v>
      </c>
      <c r="G1445" s="4" t="s">
        <v>215</v>
      </c>
      <c r="H1445" s="4"/>
    </row>
    <row r="1446" s="1" customFormat="1" spans="1:8">
      <c r="A1446" s="4" t="s">
        <v>205</v>
      </c>
      <c r="B1446" s="4" t="s">
        <v>79</v>
      </c>
      <c r="C1446" s="4" t="s">
        <v>82</v>
      </c>
      <c r="D1446" s="11" t="s">
        <v>3069</v>
      </c>
      <c r="E1446" s="4">
        <v>3115359</v>
      </c>
      <c r="F1446" s="11" t="s">
        <v>3070</v>
      </c>
      <c r="G1446" s="4" t="s">
        <v>215</v>
      </c>
      <c r="H1446" s="4"/>
    </row>
    <row r="1447" s="1" customFormat="1" spans="1:8">
      <c r="A1447" s="4" t="s">
        <v>205</v>
      </c>
      <c r="B1447" s="4" t="s">
        <v>79</v>
      </c>
      <c r="C1447" s="4" t="s">
        <v>82</v>
      </c>
      <c r="D1447" s="11" t="s">
        <v>3071</v>
      </c>
      <c r="E1447" s="4">
        <v>3115409</v>
      </c>
      <c r="F1447" s="11" t="s">
        <v>3072</v>
      </c>
      <c r="G1447" s="4" t="s">
        <v>215</v>
      </c>
      <c r="H1447" s="4"/>
    </row>
    <row r="1448" s="1" customFormat="1" spans="1:8">
      <c r="A1448" s="4" t="s">
        <v>205</v>
      </c>
      <c r="B1448" s="4" t="s">
        <v>79</v>
      </c>
      <c r="C1448" s="4" t="s">
        <v>82</v>
      </c>
      <c r="D1448" s="11" t="s">
        <v>3073</v>
      </c>
      <c r="E1448" s="4">
        <v>3115607</v>
      </c>
      <c r="F1448" s="11" t="s">
        <v>3074</v>
      </c>
      <c r="G1448" s="4" t="s">
        <v>215</v>
      </c>
      <c r="H1448" s="4"/>
    </row>
    <row r="1449" s="1" customFormat="1" spans="1:8">
      <c r="A1449" s="4" t="s">
        <v>205</v>
      </c>
      <c r="B1449" s="4" t="s">
        <v>79</v>
      </c>
      <c r="C1449" s="4" t="s">
        <v>82</v>
      </c>
      <c r="D1449" s="11" t="s">
        <v>3075</v>
      </c>
      <c r="E1449" s="4">
        <v>3115904</v>
      </c>
      <c r="F1449" s="11" t="s">
        <v>3076</v>
      </c>
      <c r="G1449" s="4" t="s">
        <v>215</v>
      </c>
      <c r="H1449" s="4"/>
    </row>
    <row r="1450" s="1" customFormat="1" spans="1:8">
      <c r="A1450" s="4" t="s">
        <v>205</v>
      </c>
      <c r="B1450" s="4" t="s">
        <v>79</v>
      </c>
      <c r="C1450" s="4" t="s">
        <v>82</v>
      </c>
      <c r="D1450" s="11" t="s">
        <v>3077</v>
      </c>
      <c r="E1450" s="4">
        <v>3116308</v>
      </c>
      <c r="F1450" s="11" t="s">
        <v>3078</v>
      </c>
      <c r="G1450" s="4" t="s">
        <v>215</v>
      </c>
      <c r="H1450" s="4"/>
    </row>
    <row r="1451" s="1" customFormat="1" spans="1:8">
      <c r="A1451" s="4" t="s">
        <v>205</v>
      </c>
      <c r="B1451" s="4" t="s">
        <v>79</v>
      </c>
      <c r="C1451" s="4" t="s">
        <v>82</v>
      </c>
      <c r="D1451" s="11" t="s">
        <v>3079</v>
      </c>
      <c r="E1451" s="4">
        <v>3116605</v>
      </c>
      <c r="F1451" s="11" t="s">
        <v>3080</v>
      </c>
      <c r="G1451" s="4" t="s">
        <v>215</v>
      </c>
      <c r="H1451" s="4"/>
    </row>
    <row r="1452" s="1" customFormat="1" spans="1:8">
      <c r="A1452" s="4" t="s">
        <v>205</v>
      </c>
      <c r="B1452" s="4" t="s">
        <v>79</v>
      </c>
      <c r="C1452" s="4" t="s">
        <v>82</v>
      </c>
      <c r="D1452" s="11" t="s">
        <v>3081</v>
      </c>
      <c r="E1452" s="4">
        <v>3116704</v>
      </c>
      <c r="F1452" s="11" t="s">
        <v>3082</v>
      </c>
      <c r="G1452" s="4" t="s">
        <v>215</v>
      </c>
      <c r="H1452" s="4"/>
    </row>
    <row r="1453" s="1" customFormat="1" spans="1:8">
      <c r="A1453" s="4" t="s">
        <v>205</v>
      </c>
      <c r="B1453" s="4" t="s">
        <v>79</v>
      </c>
      <c r="C1453" s="4" t="s">
        <v>82</v>
      </c>
      <c r="D1453" s="11" t="s">
        <v>3083</v>
      </c>
      <c r="E1453" s="4">
        <v>3115201</v>
      </c>
      <c r="F1453" s="11" t="s">
        <v>3084</v>
      </c>
      <c r="G1453" s="4" t="s">
        <v>215</v>
      </c>
      <c r="H1453" s="4"/>
    </row>
    <row r="1454" s="1" customFormat="1" spans="1:8">
      <c r="A1454" s="4" t="s">
        <v>205</v>
      </c>
      <c r="B1454" s="4" t="s">
        <v>79</v>
      </c>
      <c r="C1454" s="4" t="s">
        <v>82</v>
      </c>
      <c r="D1454" s="11" t="s">
        <v>3085</v>
      </c>
      <c r="E1454" s="4">
        <v>3117504</v>
      </c>
      <c r="F1454" s="11" t="s">
        <v>3086</v>
      </c>
      <c r="G1454" s="4" t="s">
        <v>215</v>
      </c>
      <c r="H1454" s="4"/>
    </row>
    <row r="1455" s="1" customFormat="1" spans="1:8">
      <c r="A1455" s="4" t="s">
        <v>205</v>
      </c>
      <c r="B1455" s="4" t="s">
        <v>79</v>
      </c>
      <c r="C1455" s="4" t="s">
        <v>82</v>
      </c>
      <c r="D1455" s="11" t="s">
        <v>3087</v>
      </c>
      <c r="E1455" s="4">
        <v>3117603</v>
      </c>
      <c r="F1455" s="11" t="s">
        <v>3088</v>
      </c>
      <c r="G1455" s="4" t="s">
        <v>215</v>
      </c>
      <c r="H1455" s="4"/>
    </row>
    <row r="1456" s="1" customFormat="1" spans="1:8">
      <c r="A1456" s="4" t="s">
        <v>205</v>
      </c>
      <c r="B1456" s="4" t="s">
        <v>79</v>
      </c>
      <c r="C1456" s="4" t="s">
        <v>82</v>
      </c>
      <c r="D1456" s="11" t="s">
        <v>3089</v>
      </c>
      <c r="E1456" s="4">
        <v>3118007</v>
      </c>
      <c r="F1456" s="11" t="s">
        <v>3090</v>
      </c>
      <c r="G1456" s="4" t="s">
        <v>215</v>
      </c>
      <c r="H1456" s="4"/>
    </row>
    <row r="1457" s="1" customFormat="1" spans="1:8">
      <c r="A1457" s="4" t="s">
        <v>205</v>
      </c>
      <c r="B1457" s="4" t="s">
        <v>79</v>
      </c>
      <c r="C1457" s="4" t="s">
        <v>82</v>
      </c>
      <c r="D1457" s="11" t="s">
        <v>3091</v>
      </c>
      <c r="E1457" s="4">
        <v>3118106</v>
      </c>
      <c r="F1457" s="11" t="s">
        <v>3092</v>
      </c>
      <c r="G1457" s="4" t="s">
        <v>215</v>
      </c>
      <c r="H1457" s="4"/>
    </row>
    <row r="1458" s="1" customFormat="1" spans="1:8">
      <c r="A1458" s="4" t="s">
        <v>205</v>
      </c>
      <c r="B1458" s="4" t="s">
        <v>79</v>
      </c>
      <c r="C1458" s="4" t="s">
        <v>82</v>
      </c>
      <c r="D1458" s="11" t="s">
        <v>3093</v>
      </c>
      <c r="E1458" s="4">
        <v>3118304</v>
      </c>
      <c r="F1458" s="11" t="s">
        <v>3094</v>
      </c>
      <c r="G1458" s="4" t="s">
        <v>215</v>
      </c>
      <c r="H1458" s="4"/>
    </row>
    <row r="1459" s="1" customFormat="1" spans="1:8">
      <c r="A1459" s="4" t="s">
        <v>205</v>
      </c>
      <c r="B1459" s="4" t="s">
        <v>79</v>
      </c>
      <c r="C1459" s="4" t="s">
        <v>82</v>
      </c>
      <c r="D1459" s="11" t="s">
        <v>3095</v>
      </c>
      <c r="E1459" s="4">
        <v>3118700</v>
      </c>
      <c r="F1459" s="11" t="s">
        <v>3096</v>
      </c>
      <c r="G1459" s="4" t="s">
        <v>215</v>
      </c>
      <c r="H1459" s="4"/>
    </row>
    <row r="1460" s="1" customFormat="1" spans="1:8">
      <c r="A1460" s="4" t="s">
        <v>205</v>
      </c>
      <c r="B1460" s="4" t="s">
        <v>79</v>
      </c>
      <c r="C1460" s="4" t="s">
        <v>82</v>
      </c>
      <c r="D1460" s="11" t="s">
        <v>3097</v>
      </c>
      <c r="E1460" s="4">
        <v>3118908</v>
      </c>
      <c r="F1460" s="11" t="s">
        <v>3098</v>
      </c>
      <c r="G1460" s="4" t="s">
        <v>215</v>
      </c>
      <c r="H1460" s="4"/>
    </row>
    <row r="1461" s="1" customFormat="1" spans="1:8">
      <c r="A1461" s="4" t="s">
        <v>205</v>
      </c>
      <c r="B1461" s="4" t="s">
        <v>79</v>
      </c>
      <c r="C1461" s="4" t="s">
        <v>82</v>
      </c>
      <c r="D1461" s="11" t="s">
        <v>3099</v>
      </c>
      <c r="E1461" s="4">
        <v>3119104</v>
      </c>
      <c r="F1461" s="11" t="s">
        <v>3100</v>
      </c>
      <c r="G1461" s="4" t="s">
        <v>215</v>
      </c>
      <c r="H1461" s="4"/>
    </row>
    <row r="1462" s="1" customFormat="1" spans="1:8">
      <c r="A1462" s="4" t="s">
        <v>205</v>
      </c>
      <c r="B1462" s="4" t="s">
        <v>79</v>
      </c>
      <c r="C1462" s="4" t="s">
        <v>82</v>
      </c>
      <c r="D1462" s="11" t="s">
        <v>3101</v>
      </c>
      <c r="E1462" s="4">
        <v>3119401</v>
      </c>
      <c r="F1462" s="11" t="s">
        <v>3102</v>
      </c>
      <c r="G1462" s="4" t="s">
        <v>215</v>
      </c>
      <c r="H1462" s="4"/>
    </row>
    <row r="1463" s="1" customFormat="1" spans="1:8">
      <c r="A1463" s="4" t="s">
        <v>205</v>
      </c>
      <c r="B1463" s="4" t="s">
        <v>79</v>
      </c>
      <c r="C1463" s="4" t="s">
        <v>82</v>
      </c>
      <c r="D1463" s="11" t="s">
        <v>3103</v>
      </c>
      <c r="E1463" s="4">
        <v>3119609</v>
      </c>
      <c r="F1463" s="11" t="s">
        <v>3104</v>
      </c>
      <c r="G1463" s="4" t="s">
        <v>215</v>
      </c>
      <c r="H1463" s="4"/>
    </row>
    <row r="1464" s="1" customFormat="1" spans="1:8">
      <c r="A1464" s="4" t="s">
        <v>205</v>
      </c>
      <c r="B1464" s="4" t="s">
        <v>79</v>
      </c>
      <c r="C1464" s="4" t="s">
        <v>82</v>
      </c>
      <c r="D1464" s="11" t="s">
        <v>3105</v>
      </c>
      <c r="E1464" s="4">
        <v>3119708</v>
      </c>
      <c r="F1464" s="11" t="s">
        <v>3106</v>
      </c>
      <c r="G1464" s="4" t="s">
        <v>215</v>
      </c>
      <c r="H1464" s="4"/>
    </row>
    <row r="1465" s="1" customFormat="1" spans="1:8">
      <c r="A1465" s="4" t="s">
        <v>205</v>
      </c>
      <c r="B1465" s="4" t="s">
        <v>79</v>
      </c>
      <c r="C1465" s="4" t="s">
        <v>82</v>
      </c>
      <c r="D1465" s="11" t="s">
        <v>3107</v>
      </c>
      <c r="E1465" s="4">
        <v>3120201</v>
      </c>
      <c r="F1465" s="11" t="s">
        <v>3108</v>
      </c>
      <c r="G1465" s="4" t="s">
        <v>215</v>
      </c>
      <c r="H1465" s="4"/>
    </row>
    <row r="1466" s="1" customFormat="1" spans="1:8">
      <c r="A1466" s="4" t="s">
        <v>205</v>
      </c>
      <c r="B1466" s="4" t="s">
        <v>79</v>
      </c>
      <c r="C1466" s="4" t="s">
        <v>82</v>
      </c>
      <c r="D1466" s="11" t="s">
        <v>3109</v>
      </c>
      <c r="E1466" s="4">
        <v>3120409</v>
      </c>
      <c r="F1466" s="11" t="s">
        <v>3110</v>
      </c>
      <c r="G1466" s="4" t="s">
        <v>215</v>
      </c>
      <c r="H1466" s="4"/>
    </row>
    <row r="1467" s="1" customFormat="1" spans="1:8">
      <c r="A1467" s="4" t="s">
        <v>205</v>
      </c>
      <c r="B1467" s="4" t="s">
        <v>79</v>
      </c>
      <c r="C1467" s="4" t="s">
        <v>82</v>
      </c>
      <c r="D1467" s="11" t="s">
        <v>3111</v>
      </c>
      <c r="E1467" s="4">
        <v>3120607</v>
      </c>
      <c r="F1467" s="11" t="s">
        <v>3112</v>
      </c>
      <c r="G1467" s="4" t="s">
        <v>215</v>
      </c>
      <c r="H1467" s="4"/>
    </row>
    <row r="1468" s="1" customFormat="1" spans="1:8">
      <c r="A1468" s="4" t="s">
        <v>205</v>
      </c>
      <c r="B1468" s="4" t="s">
        <v>79</v>
      </c>
      <c r="C1468" s="4" t="s">
        <v>82</v>
      </c>
      <c r="D1468" s="11" t="s">
        <v>3113</v>
      </c>
      <c r="E1468" s="4">
        <v>3120904</v>
      </c>
      <c r="F1468" s="11" t="s">
        <v>3114</v>
      </c>
      <c r="G1468" s="4" t="s">
        <v>215</v>
      </c>
      <c r="H1468" s="4"/>
    </row>
    <row r="1469" s="1" customFormat="1" spans="1:8">
      <c r="A1469" s="4" t="s">
        <v>205</v>
      </c>
      <c r="B1469" s="4" t="s">
        <v>79</v>
      </c>
      <c r="C1469" s="4" t="s">
        <v>82</v>
      </c>
      <c r="D1469" s="11" t="s">
        <v>3115</v>
      </c>
      <c r="E1469" s="4">
        <v>3119807</v>
      </c>
      <c r="F1469" s="11" t="s">
        <v>3116</v>
      </c>
      <c r="G1469" s="4" t="s">
        <v>215</v>
      </c>
      <c r="H1469" s="4"/>
    </row>
    <row r="1470" s="1" customFormat="1" spans="1:8">
      <c r="A1470" s="4" t="s">
        <v>205</v>
      </c>
      <c r="B1470" s="4" t="s">
        <v>79</v>
      </c>
      <c r="C1470" s="4" t="s">
        <v>82</v>
      </c>
      <c r="D1470" s="11" t="s">
        <v>3117</v>
      </c>
      <c r="E1470" s="4">
        <v>3119955</v>
      </c>
      <c r="F1470" s="11" t="s">
        <v>3118</v>
      </c>
      <c r="G1470" s="4" t="s">
        <v>215</v>
      </c>
      <c r="H1470" s="4"/>
    </row>
    <row r="1471" s="1" customFormat="1" spans="1:8">
      <c r="A1471" s="4" t="s">
        <v>205</v>
      </c>
      <c r="B1471" s="4" t="s">
        <v>79</v>
      </c>
      <c r="C1471" s="4" t="s">
        <v>82</v>
      </c>
      <c r="D1471" s="11" t="s">
        <v>3119</v>
      </c>
      <c r="E1471" s="4">
        <v>3120003</v>
      </c>
      <c r="F1471" s="11" t="s">
        <v>3120</v>
      </c>
      <c r="G1471" s="4" t="s">
        <v>215</v>
      </c>
      <c r="H1471" s="4"/>
    </row>
    <row r="1472" s="1" customFormat="1" spans="1:8">
      <c r="A1472" s="4" t="s">
        <v>205</v>
      </c>
      <c r="B1472" s="4" t="s">
        <v>79</v>
      </c>
      <c r="C1472" s="4" t="s">
        <v>82</v>
      </c>
      <c r="D1472" s="11" t="s">
        <v>3121</v>
      </c>
      <c r="E1472" s="4">
        <v>3121001</v>
      </c>
      <c r="F1472" s="11" t="s">
        <v>3122</v>
      </c>
      <c r="G1472" s="4" t="s">
        <v>215</v>
      </c>
      <c r="H1472" s="4"/>
    </row>
    <row r="1473" s="1" customFormat="1" spans="1:8">
      <c r="A1473" s="4" t="s">
        <v>205</v>
      </c>
      <c r="B1473" s="4" t="s">
        <v>79</v>
      </c>
      <c r="C1473" s="4" t="s">
        <v>82</v>
      </c>
      <c r="D1473" s="11" t="s">
        <v>3123</v>
      </c>
      <c r="E1473" s="4">
        <v>3121407</v>
      </c>
      <c r="F1473" s="11" t="s">
        <v>3124</v>
      </c>
      <c r="G1473" s="4" t="s">
        <v>215</v>
      </c>
      <c r="H1473" s="4"/>
    </row>
    <row r="1474" s="1" customFormat="1" spans="1:8">
      <c r="A1474" s="4" t="s">
        <v>205</v>
      </c>
      <c r="B1474" s="4" t="s">
        <v>79</v>
      </c>
      <c r="C1474" s="4" t="s">
        <v>82</v>
      </c>
      <c r="D1474" s="11" t="s">
        <v>3125</v>
      </c>
      <c r="E1474" s="4">
        <v>3121506</v>
      </c>
      <c r="F1474" s="11" t="s">
        <v>3126</v>
      </c>
      <c r="G1474" s="4" t="s">
        <v>215</v>
      </c>
      <c r="H1474" s="4"/>
    </row>
    <row r="1475" s="1" customFormat="1" spans="1:8">
      <c r="A1475" s="4" t="s">
        <v>205</v>
      </c>
      <c r="B1475" s="4" t="s">
        <v>79</v>
      </c>
      <c r="C1475" s="4" t="s">
        <v>82</v>
      </c>
      <c r="D1475" s="11" t="s">
        <v>3127</v>
      </c>
      <c r="E1475" s="4">
        <v>3121704</v>
      </c>
      <c r="F1475" s="11" t="s">
        <v>3128</v>
      </c>
      <c r="G1475" s="4" t="s">
        <v>215</v>
      </c>
      <c r="H1475" s="4"/>
    </row>
    <row r="1476" s="1" customFormat="1" spans="1:8">
      <c r="A1476" s="4" t="s">
        <v>205</v>
      </c>
      <c r="B1476" s="4" t="s">
        <v>79</v>
      </c>
      <c r="C1476" s="4" t="s">
        <v>82</v>
      </c>
      <c r="D1476" s="11" t="s">
        <v>3129</v>
      </c>
      <c r="E1476" s="4">
        <v>3121803</v>
      </c>
      <c r="F1476" s="11" t="s">
        <v>3130</v>
      </c>
      <c r="G1476" s="4" t="s">
        <v>215</v>
      </c>
      <c r="H1476" s="4"/>
    </row>
    <row r="1477" s="1" customFormat="1" spans="1:8">
      <c r="A1477" s="4" t="s">
        <v>205</v>
      </c>
      <c r="B1477" s="4" t="s">
        <v>79</v>
      </c>
      <c r="C1477" s="4" t="s">
        <v>82</v>
      </c>
      <c r="D1477" s="11" t="s">
        <v>3131</v>
      </c>
      <c r="E1477" s="4">
        <v>3122207</v>
      </c>
      <c r="F1477" s="11" t="s">
        <v>3132</v>
      </c>
      <c r="G1477" s="4" t="s">
        <v>215</v>
      </c>
      <c r="H1477" s="4"/>
    </row>
    <row r="1478" s="1" customFormat="1" spans="1:8">
      <c r="A1478" s="4" t="s">
        <v>205</v>
      </c>
      <c r="B1478" s="4" t="s">
        <v>79</v>
      </c>
      <c r="C1478" s="4" t="s">
        <v>82</v>
      </c>
      <c r="D1478" s="11" t="s">
        <v>3133</v>
      </c>
      <c r="E1478" s="4">
        <v>3121902</v>
      </c>
      <c r="F1478" s="11" t="s">
        <v>3134</v>
      </c>
      <c r="G1478" s="4" t="s">
        <v>215</v>
      </c>
      <c r="H1478" s="4"/>
    </row>
    <row r="1479" s="1" customFormat="1" spans="1:8">
      <c r="A1479" s="4" t="s">
        <v>205</v>
      </c>
      <c r="B1479" s="4" t="s">
        <v>79</v>
      </c>
      <c r="C1479" s="4" t="s">
        <v>82</v>
      </c>
      <c r="D1479" s="11" t="s">
        <v>3135</v>
      </c>
      <c r="E1479" s="4">
        <v>3122306</v>
      </c>
      <c r="F1479" s="11" t="s">
        <v>3136</v>
      </c>
      <c r="G1479" s="4" t="s">
        <v>215</v>
      </c>
      <c r="H1479" s="4"/>
    </row>
    <row r="1480" s="1" customFormat="1" spans="1:8">
      <c r="A1480" s="4" t="s">
        <v>205</v>
      </c>
      <c r="B1480" s="4" t="s">
        <v>79</v>
      </c>
      <c r="C1480" s="4" t="s">
        <v>82</v>
      </c>
      <c r="D1480" s="11" t="s">
        <v>3137</v>
      </c>
      <c r="E1480" s="4">
        <v>3122504</v>
      </c>
      <c r="F1480" s="11" t="s">
        <v>3138</v>
      </c>
      <c r="G1480" s="4" t="s">
        <v>215</v>
      </c>
      <c r="H1480" s="4"/>
    </row>
    <row r="1481" s="1" customFormat="1" spans="1:8">
      <c r="A1481" s="4" t="s">
        <v>205</v>
      </c>
      <c r="B1481" s="4" t="s">
        <v>79</v>
      </c>
      <c r="C1481" s="4" t="s">
        <v>82</v>
      </c>
      <c r="D1481" s="11" t="s">
        <v>3139</v>
      </c>
      <c r="E1481" s="4">
        <v>3122603</v>
      </c>
      <c r="F1481" s="11" t="s">
        <v>3140</v>
      </c>
      <c r="G1481" s="4" t="s">
        <v>215</v>
      </c>
      <c r="H1481" s="4"/>
    </row>
    <row r="1482" s="1" customFormat="1" spans="1:8">
      <c r="A1482" s="4" t="s">
        <v>205</v>
      </c>
      <c r="B1482" s="4" t="s">
        <v>79</v>
      </c>
      <c r="C1482" s="4" t="s">
        <v>82</v>
      </c>
      <c r="D1482" s="11" t="s">
        <v>3141</v>
      </c>
      <c r="E1482" s="4">
        <v>3122702</v>
      </c>
      <c r="F1482" s="11" t="s">
        <v>3142</v>
      </c>
      <c r="G1482" s="4" t="s">
        <v>215</v>
      </c>
      <c r="H1482" s="4"/>
    </row>
    <row r="1483" s="1" customFormat="1" spans="1:8">
      <c r="A1483" s="4" t="s">
        <v>205</v>
      </c>
      <c r="B1483" s="4" t="s">
        <v>79</v>
      </c>
      <c r="C1483" s="4" t="s">
        <v>82</v>
      </c>
      <c r="D1483" s="11" t="s">
        <v>3143</v>
      </c>
      <c r="E1483" s="4">
        <v>3122900</v>
      </c>
      <c r="F1483" s="11" t="s">
        <v>3144</v>
      </c>
      <c r="G1483" s="4" t="s">
        <v>215</v>
      </c>
      <c r="H1483" s="4"/>
    </row>
    <row r="1484" s="1" customFormat="1" spans="1:8">
      <c r="A1484" s="4" t="s">
        <v>205</v>
      </c>
      <c r="B1484" s="4" t="s">
        <v>79</v>
      </c>
      <c r="C1484" s="4" t="s">
        <v>82</v>
      </c>
      <c r="D1484" s="11" t="s">
        <v>3145</v>
      </c>
      <c r="E1484" s="4">
        <v>3123007</v>
      </c>
      <c r="F1484" s="11" t="s">
        <v>3146</v>
      </c>
      <c r="G1484" s="4" t="s">
        <v>215</v>
      </c>
      <c r="H1484" s="4"/>
    </row>
    <row r="1485" s="1" customFormat="1" spans="1:8">
      <c r="A1485" s="4" t="s">
        <v>205</v>
      </c>
      <c r="B1485" s="4" t="s">
        <v>79</v>
      </c>
      <c r="C1485" s="4" t="s">
        <v>82</v>
      </c>
      <c r="D1485" s="11" t="s">
        <v>3147</v>
      </c>
      <c r="E1485" s="4">
        <v>3123106</v>
      </c>
      <c r="F1485" s="11" t="s">
        <v>3148</v>
      </c>
      <c r="G1485" s="4" t="s">
        <v>215</v>
      </c>
      <c r="H1485" s="4"/>
    </row>
    <row r="1486" s="1" customFormat="1" spans="1:8">
      <c r="A1486" s="4" t="s">
        <v>205</v>
      </c>
      <c r="B1486" s="4" t="s">
        <v>79</v>
      </c>
      <c r="C1486" s="4" t="s">
        <v>82</v>
      </c>
      <c r="D1486" s="11" t="s">
        <v>3149</v>
      </c>
      <c r="E1486" s="4">
        <v>3123205</v>
      </c>
      <c r="F1486" s="11" t="s">
        <v>3150</v>
      </c>
      <c r="G1486" s="4" t="s">
        <v>215</v>
      </c>
      <c r="H1486" s="4"/>
    </row>
    <row r="1487" s="1" customFormat="1" spans="1:8">
      <c r="A1487" s="4" t="s">
        <v>205</v>
      </c>
      <c r="B1487" s="4" t="s">
        <v>79</v>
      </c>
      <c r="C1487" s="4" t="s">
        <v>82</v>
      </c>
      <c r="D1487" s="11" t="s">
        <v>3151</v>
      </c>
      <c r="E1487" s="4">
        <v>3123304</v>
      </c>
      <c r="F1487" s="11" t="s">
        <v>3152</v>
      </c>
      <c r="G1487" s="4" t="s">
        <v>215</v>
      </c>
      <c r="H1487" s="4"/>
    </row>
    <row r="1488" s="1" customFormat="1" spans="1:8">
      <c r="A1488" s="4" t="s">
        <v>205</v>
      </c>
      <c r="B1488" s="4" t="s">
        <v>79</v>
      </c>
      <c r="C1488" s="4" t="s">
        <v>82</v>
      </c>
      <c r="D1488" s="11" t="s">
        <v>3153</v>
      </c>
      <c r="E1488" s="4">
        <v>3123403</v>
      </c>
      <c r="F1488" s="11" t="s">
        <v>3154</v>
      </c>
      <c r="G1488" s="4" t="s">
        <v>215</v>
      </c>
      <c r="H1488" s="4"/>
    </row>
    <row r="1489" s="1" customFormat="1" spans="1:8">
      <c r="A1489" s="4" t="s">
        <v>205</v>
      </c>
      <c r="B1489" s="4" t="s">
        <v>79</v>
      </c>
      <c r="C1489" s="4" t="s">
        <v>82</v>
      </c>
      <c r="D1489" s="11" t="s">
        <v>3155</v>
      </c>
      <c r="E1489" s="4">
        <v>3123700</v>
      </c>
      <c r="F1489" s="11" t="s">
        <v>3156</v>
      </c>
      <c r="G1489" s="4" t="s">
        <v>215</v>
      </c>
      <c r="H1489" s="4"/>
    </row>
    <row r="1490" s="1" customFormat="1" spans="1:8">
      <c r="A1490" s="4" t="s">
        <v>205</v>
      </c>
      <c r="B1490" s="4" t="s">
        <v>79</v>
      </c>
      <c r="C1490" s="4" t="s">
        <v>82</v>
      </c>
      <c r="D1490" s="11" t="s">
        <v>3157</v>
      </c>
      <c r="E1490" s="4">
        <v>3123908</v>
      </c>
      <c r="F1490" s="11" t="s">
        <v>3158</v>
      </c>
      <c r="G1490" s="4" t="s">
        <v>215</v>
      </c>
      <c r="H1490" s="4"/>
    </row>
    <row r="1491" s="1" customFormat="1" spans="1:8">
      <c r="A1491" s="4" t="s">
        <v>205</v>
      </c>
      <c r="B1491" s="4" t="s">
        <v>79</v>
      </c>
      <c r="C1491" s="4" t="s">
        <v>82</v>
      </c>
      <c r="D1491" s="11" t="s">
        <v>3159</v>
      </c>
      <c r="E1491" s="4">
        <v>3124005</v>
      </c>
      <c r="F1491" s="11" t="s">
        <v>3160</v>
      </c>
      <c r="G1491" s="4" t="s">
        <v>215</v>
      </c>
      <c r="H1491" s="4"/>
    </row>
    <row r="1492" s="1" customFormat="1" spans="1:8">
      <c r="A1492" s="4" t="s">
        <v>205</v>
      </c>
      <c r="B1492" s="4" t="s">
        <v>79</v>
      </c>
      <c r="C1492" s="4" t="s">
        <v>82</v>
      </c>
      <c r="D1492" s="11" t="s">
        <v>3161</v>
      </c>
      <c r="E1492" s="4">
        <v>3124104</v>
      </c>
      <c r="F1492" s="11" t="s">
        <v>3162</v>
      </c>
      <c r="G1492" s="4" t="s">
        <v>215</v>
      </c>
      <c r="H1492" s="4"/>
    </row>
    <row r="1493" s="1" customFormat="1" spans="1:8">
      <c r="A1493" s="4" t="s">
        <v>205</v>
      </c>
      <c r="B1493" s="4" t="s">
        <v>79</v>
      </c>
      <c r="C1493" s="4" t="s">
        <v>82</v>
      </c>
      <c r="D1493" s="11" t="s">
        <v>3163</v>
      </c>
      <c r="E1493" s="4">
        <v>3124708</v>
      </c>
      <c r="F1493" s="11" t="s">
        <v>3164</v>
      </c>
      <c r="G1493" s="4" t="s">
        <v>215</v>
      </c>
      <c r="H1493" s="4"/>
    </row>
    <row r="1494" s="1" customFormat="1" spans="1:8">
      <c r="A1494" s="4" t="s">
        <v>205</v>
      </c>
      <c r="B1494" s="4" t="s">
        <v>79</v>
      </c>
      <c r="C1494" s="4" t="s">
        <v>82</v>
      </c>
      <c r="D1494" s="11" t="s">
        <v>3165</v>
      </c>
      <c r="E1494" s="4">
        <v>3125002</v>
      </c>
      <c r="F1494" s="11" t="s">
        <v>3166</v>
      </c>
      <c r="G1494" s="4" t="s">
        <v>215</v>
      </c>
      <c r="H1494" s="4"/>
    </row>
    <row r="1495" s="1" customFormat="1" spans="1:8">
      <c r="A1495" s="4" t="s">
        <v>205</v>
      </c>
      <c r="B1495" s="4" t="s">
        <v>79</v>
      </c>
      <c r="C1495" s="4" t="s">
        <v>82</v>
      </c>
      <c r="D1495" s="11" t="s">
        <v>3167</v>
      </c>
      <c r="E1495" s="4">
        <v>3125705</v>
      </c>
      <c r="F1495" s="11" t="s">
        <v>3168</v>
      </c>
      <c r="G1495" s="4" t="s">
        <v>215</v>
      </c>
      <c r="H1495" s="4"/>
    </row>
    <row r="1496" s="1" customFormat="1" spans="1:8">
      <c r="A1496" s="4" t="s">
        <v>205</v>
      </c>
      <c r="B1496" s="4" t="s">
        <v>79</v>
      </c>
      <c r="C1496" s="4" t="s">
        <v>82</v>
      </c>
      <c r="D1496" s="11" t="s">
        <v>3169</v>
      </c>
      <c r="E1496" s="4">
        <v>3125903</v>
      </c>
      <c r="F1496" s="11" t="s">
        <v>3170</v>
      </c>
      <c r="G1496" s="4" t="s">
        <v>215</v>
      </c>
      <c r="H1496" s="4"/>
    </row>
    <row r="1497" s="1" customFormat="1" spans="1:8">
      <c r="A1497" s="4" t="s">
        <v>205</v>
      </c>
      <c r="B1497" s="4" t="s">
        <v>79</v>
      </c>
      <c r="C1497" s="4" t="s">
        <v>82</v>
      </c>
      <c r="D1497" s="11" t="s">
        <v>3171</v>
      </c>
      <c r="E1497" s="4">
        <v>3126000</v>
      </c>
      <c r="F1497" s="11" t="s">
        <v>3172</v>
      </c>
      <c r="G1497" s="4" t="s">
        <v>215</v>
      </c>
      <c r="H1497" s="4"/>
    </row>
    <row r="1498" s="1" customFormat="1" spans="1:8">
      <c r="A1498" s="4" t="s">
        <v>205</v>
      </c>
      <c r="B1498" s="4" t="s">
        <v>79</v>
      </c>
      <c r="C1498" s="4" t="s">
        <v>82</v>
      </c>
      <c r="D1498" s="11" t="s">
        <v>3173</v>
      </c>
      <c r="E1498" s="4">
        <v>3126109</v>
      </c>
      <c r="F1498" s="11" t="s">
        <v>3174</v>
      </c>
      <c r="G1498" s="4" t="s">
        <v>215</v>
      </c>
      <c r="H1498" s="4"/>
    </row>
    <row r="1499" s="1" customFormat="1" spans="1:8">
      <c r="A1499" s="4" t="s">
        <v>205</v>
      </c>
      <c r="B1499" s="4" t="s">
        <v>79</v>
      </c>
      <c r="C1499" s="4" t="s">
        <v>82</v>
      </c>
      <c r="D1499" s="11" t="s">
        <v>3175</v>
      </c>
      <c r="E1499" s="4">
        <v>3126406</v>
      </c>
      <c r="F1499" s="11" t="s">
        <v>3176</v>
      </c>
      <c r="G1499" s="4" t="s">
        <v>215</v>
      </c>
      <c r="H1499" s="4"/>
    </row>
    <row r="1500" s="1" customFormat="1" spans="1:8">
      <c r="A1500" s="4" t="s">
        <v>205</v>
      </c>
      <c r="B1500" s="4" t="s">
        <v>79</v>
      </c>
      <c r="C1500" s="4" t="s">
        <v>82</v>
      </c>
      <c r="D1500" s="11" t="s">
        <v>3177</v>
      </c>
      <c r="E1500" s="4">
        <v>3127206</v>
      </c>
      <c r="F1500" s="11" t="s">
        <v>3178</v>
      </c>
      <c r="G1500" s="4" t="s">
        <v>215</v>
      </c>
      <c r="H1500" s="4"/>
    </row>
    <row r="1501" s="1" customFormat="1" spans="1:8">
      <c r="A1501" s="4" t="s">
        <v>205</v>
      </c>
      <c r="B1501" s="4" t="s">
        <v>79</v>
      </c>
      <c r="C1501" s="4" t="s">
        <v>82</v>
      </c>
      <c r="D1501" s="11" t="s">
        <v>3179</v>
      </c>
      <c r="E1501" s="4">
        <v>3127388</v>
      </c>
      <c r="F1501" s="11" t="s">
        <v>3180</v>
      </c>
      <c r="G1501" s="4" t="s">
        <v>215</v>
      </c>
      <c r="H1501" s="4"/>
    </row>
    <row r="1502" s="1" customFormat="1" spans="1:8">
      <c r="A1502" s="4" t="s">
        <v>205</v>
      </c>
      <c r="B1502" s="4" t="s">
        <v>79</v>
      </c>
      <c r="C1502" s="4" t="s">
        <v>82</v>
      </c>
      <c r="D1502" s="11" t="s">
        <v>3181</v>
      </c>
      <c r="E1502" s="4">
        <v>3127602</v>
      </c>
      <c r="F1502" s="11" t="s">
        <v>3182</v>
      </c>
      <c r="G1502" s="4" t="s">
        <v>215</v>
      </c>
      <c r="H1502" s="4"/>
    </row>
    <row r="1503" s="1" customFormat="1" spans="1:8">
      <c r="A1503" s="4" t="s">
        <v>205</v>
      </c>
      <c r="B1503" s="4" t="s">
        <v>79</v>
      </c>
      <c r="C1503" s="4" t="s">
        <v>82</v>
      </c>
      <c r="D1503" s="11" t="s">
        <v>3183</v>
      </c>
      <c r="E1503" s="4">
        <v>3128006</v>
      </c>
      <c r="F1503" s="11" t="s">
        <v>3184</v>
      </c>
      <c r="G1503" s="4" t="s">
        <v>215</v>
      </c>
      <c r="H1503" s="4"/>
    </row>
    <row r="1504" s="1" customFormat="1" spans="1:8">
      <c r="A1504" s="4" t="s">
        <v>205</v>
      </c>
      <c r="B1504" s="4" t="s">
        <v>79</v>
      </c>
      <c r="C1504" s="4" t="s">
        <v>82</v>
      </c>
      <c r="D1504" s="11" t="s">
        <v>3185</v>
      </c>
      <c r="E1504" s="4">
        <v>3128105</v>
      </c>
      <c r="F1504" s="11" t="s">
        <v>3186</v>
      </c>
      <c r="G1504" s="4" t="s">
        <v>215</v>
      </c>
      <c r="H1504" s="4"/>
    </row>
    <row r="1505" s="1" customFormat="1" spans="1:8">
      <c r="A1505" s="4" t="s">
        <v>205</v>
      </c>
      <c r="B1505" s="4" t="s">
        <v>79</v>
      </c>
      <c r="C1505" s="4" t="s">
        <v>82</v>
      </c>
      <c r="D1505" s="11" t="s">
        <v>3187</v>
      </c>
      <c r="E1505" s="4">
        <v>3128204</v>
      </c>
      <c r="F1505" s="11" t="s">
        <v>3188</v>
      </c>
      <c r="G1505" s="4" t="s">
        <v>215</v>
      </c>
      <c r="H1505" s="4"/>
    </row>
    <row r="1506" s="1" customFormat="1" spans="1:8">
      <c r="A1506" s="4" t="s">
        <v>205</v>
      </c>
      <c r="B1506" s="4" t="s">
        <v>79</v>
      </c>
      <c r="C1506" s="4" t="s">
        <v>82</v>
      </c>
      <c r="D1506" s="11" t="s">
        <v>3189</v>
      </c>
      <c r="E1506" s="4">
        <v>3128402</v>
      </c>
      <c r="F1506" s="11" t="s">
        <v>3190</v>
      </c>
      <c r="G1506" s="4" t="s">
        <v>215</v>
      </c>
      <c r="H1506" s="4"/>
    </row>
    <row r="1507" s="1" customFormat="1" spans="1:8">
      <c r="A1507" s="4" t="s">
        <v>205</v>
      </c>
      <c r="B1507" s="4" t="s">
        <v>79</v>
      </c>
      <c r="C1507" s="4" t="s">
        <v>82</v>
      </c>
      <c r="D1507" s="11" t="s">
        <v>3191</v>
      </c>
      <c r="E1507" s="4">
        <v>3129004</v>
      </c>
      <c r="F1507" s="11" t="s">
        <v>3192</v>
      </c>
      <c r="G1507" s="4" t="s">
        <v>215</v>
      </c>
      <c r="H1507" s="4"/>
    </row>
    <row r="1508" s="1" customFormat="1" spans="1:8">
      <c r="A1508" s="4" t="s">
        <v>205</v>
      </c>
      <c r="B1508" s="4" t="s">
        <v>79</v>
      </c>
      <c r="C1508" s="4" t="s">
        <v>82</v>
      </c>
      <c r="D1508" s="11" t="s">
        <v>3193</v>
      </c>
      <c r="E1508" s="4">
        <v>3129301</v>
      </c>
      <c r="F1508" s="11" t="s">
        <v>3194</v>
      </c>
      <c r="G1508" s="4" t="s">
        <v>215</v>
      </c>
      <c r="H1508" s="4"/>
    </row>
    <row r="1509" s="1" customFormat="1" spans="1:8">
      <c r="A1509" s="4" t="s">
        <v>205</v>
      </c>
      <c r="B1509" s="4" t="s">
        <v>79</v>
      </c>
      <c r="C1509" s="4" t="s">
        <v>82</v>
      </c>
      <c r="D1509" s="11" t="s">
        <v>3195</v>
      </c>
      <c r="E1509" s="4">
        <v>3129400</v>
      </c>
      <c r="F1509" s="11" t="s">
        <v>3196</v>
      </c>
      <c r="G1509" s="4" t="s">
        <v>215</v>
      </c>
      <c r="H1509" s="4"/>
    </row>
    <row r="1510" s="1" customFormat="1" spans="1:8">
      <c r="A1510" s="4" t="s">
        <v>205</v>
      </c>
      <c r="B1510" s="4" t="s">
        <v>79</v>
      </c>
      <c r="C1510" s="4" t="s">
        <v>82</v>
      </c>
      <c r="D1510" s="11" t="s">
        <v>3197</v>
      </c>
      <c r="E1510" s="4">
        <v>3130002</v>
      </c>
      <c r="F1510" s="11" t="s">
        <v>3198</v>
      </c>
      <c r="G1510" s="4" t="s">
        <v>215</v>
      </c>
      <c r="H1510" s="4"/>
    </row>
    <row r="1511" s="1" customFormat="1" spans="1:8">
      <c r="A1511" s="4" t="s">
        <v>205</v>
      </c>
      <c r="B1511" s="4" t="s">
        <v>79</v>
      </c>
      <c r="C1511" s="4" t="s">
        <v>82</v>
      </c>
      <c r="D1511" s="11" t="s">
        <v>3199</v>
      </c>
      <c r="E1511" s="4">
        <v>3130101</v>
      </c>
      <c r="F1511" s="11" t="s">
        <v>3200</v>
      </c>
      <c r="G1511" s="4" t="s">
        <v>215</v>
      </c>
      <c r="H1511" s="4"/>
    </row>
    <row r="1512" s="1" customFormat="1" spans="1:8">
      <c r="A1512" s="4" t="s">
        <v>205</v>
      </c>
      <c r="B1512" s="4" t="s">
        <v>79</v>
      </c>
      <c r="C1512" s="4" t="s">
        <v>82</v>
      </c>
      <c r="D1512" s="11" t="s">
        <v>3201</v>
      </c>
      <c r="E1512" s="4">
        <v>3130200</v>
      </c>
      <c r="F1512" s="11" t="s">
        <v>3202</v>
      </c>
      <c r="G1512" s="4" t="s">
        <v>215</v>
      </c>
      <c r="H1512" s="4"/>
    </row>
    <row r="1513" s="1" customFormat="1" spans="1:8">
      <c r="A1513" s="4" t="s">
        <v>205</v>
      </c>
      <c r="B1513" s="4" t="s">
        <v>79</v>
      </c>
      <c r="C1513" s="4" t="s">
        <v>82</v>
      </c>
      <c r="D1513" s="11" t="s">
        <v>3203</v>
      </c>
      <c r="E1513" s="4">
        <v>3130309</v>
      </c>
      <c r="F1513" s="11" t="s">
        <v>3204</v>
      </c>
      <c r="G1513" s="4" t="s">
        <v>215</v>
      </c>
      <c r="H1513" s="4"/>
    </row>
    <row r="1514" s="1" customFormat="1" spans="1:8">
      <c r="A1514" s="4" t="s">
        <v>205</v>
      </c>
      <c r="B1514" s="4" t="s">
        <v>79</v>
      </c>
      <c r="C1514" s="4" t="s">
        <v>82</v>
      </c>
      <c r="D1514" s="11" t="s">
        <v>3205</v>
      </c>
      <c r="E1514" s="4">
        <v>3130408</v>
      </c>
      <c r="F1514" s="11" t="s">
        <v>3206</v>
      </c>
      <c r="G1514" s="4" t="s">
        <v>215</v>
      </c>
      <c r="H1514" s="4"/>
    </row>
    <row r="1515" s="1" customFormat="1" spans="1:8">
      <c r="A1515" s="4" t="s">
        <v>205</v>
      </c>
      <c r="B1515" s="4" t="s">
        <v>79</v>
      </c>
      <c r="C1515" s="4" t="s">
        <v>82</v>
      </c>
      <c r="D1515" s="11" t="s">
        <v>3207</v>
      </c>
      <c r="E1515" s="4">
        <v>3130804</v>
      </c>
      <c r="F1515" s="11" t="s">
        <v>3208</v>
      </c>
      <c r="G1515" s="4" t="s">
        <v>215</v>
      </c>
      <c r="H1515" s="4"/>
    </row>
    <row r="1516" s="1" customFormat="1" spans="1:8">
      <c r="A1516" s="4" t="s">
        <v>205</v>
      </c>
      <c r="B1516" s="4" t="s">
        <v>79</v>
      </c>
      <c r="C1516" s="4" t="s">
        <v>82</v>
      </c>
      <c r="D1516" s="11" t="s">
        <v>3209</v>
      </c>
      <c r="E1516" s="4">
        <v>3130903</v>
      </c>
      <c r="F1516" s="11" t="s">
        <v>3210</v>
      </c>
      <c r="G1516" s="4" t="s">
        <v>215</v>
      </c>
      <c r="H1516" s="4"/>
    </row>
    <row r="1517" s="1" customFormat="1" spans="1:8">
      <c r="A1517" s="4" t="s">
        <v>205</v>
      </c>
      <c r="B1517" s="4" t="s">
        <v>79</v>
      </c>
      <c r="C1517" s="4" t="s">
        <v>82</v>
      </c>
      <c r="D1517" s="11" t="s">
        <v>3211</v>
      </c>
      <c r="E1517" s="4">
        <v>3131000</v>
      </c>
      <c r="F1517" s="11" t="s">
        <v>3212</v>
      </c>
      <c r="G1517" s="4" t="s">
        <v>215</v>
      </c>
      <c r="H1517" s="4"/>
    </row>
    <row r="1518" s="1" customFormat="1" spans="1:8">
      <c r="A1518" s="4" t="s">
        <v>205</v>
      </c>
      <c r="B1518" s="4" t="s">
        <v>79</v>
      </c>
      <c r="C1518" s="4" t="s">
        <v>82</v>
      </c>
      <c r="D1518" s="11" t="s">
        <v>3213</v>
      </c>
      <c r="E1518" s="4">
        <v>3131109</v>
      </c>
      <c r="F1518" s="11" t="s">
        <v>3214</v>
      </c>
      <c r="G1518" s="4" t="s">
        <v>215</v>
      </c>
      <c r="H1518" s="4"/>
    </row>
    <row r="1519" s="1" customFormat="1" spans="1:8">
      <c r="A1519" s="4" t="s">
        <v>205</v>
      </c>
      <c r="B1519" s="4" t="s">
        <v>79</v>
      </c>
      <c r="C1519" s="4" t="s">
        <v>82</v>
      </c>
      <c r="D1519" s="11" t="s">
        <v>3215</v>
      </c>
      <c r="E1519" s="4">
        <v>3131158</v>
      </c>
      <c r="F1519" s="11" t="s">
        <v>3216</v>
      </c>
      <c r="G1519" s="4" t="s">
        <v>215</v>
      </c>
      <c r="H1519" s="4"/>
    </row>
    <row r="1520" s="1" customFormat="1" spans="1:8">
      <c r="A1520" s="4" t="s">
        <v>205</v>
      </c>
      <c r="B1520" s="4" t="s">
        <v>79</v>
      </c>
      <c r="C1520" s="4" t="s">
        <v>82</v>
      </c>
      <c r="D1520" s="11" t="s">
        <v>3217</v>
      </c>
      <c r="E1520" s="4">
        <v>3131307</v>
      </c>
      <c r="F1520" s="11" t="s">
        <v>3218</v>
      </c>
      <c r="G1520" s="4" t="s">
        <v>215</v>
      </c>
      <c r="H1520" s="4"/>
    </row>
    <row r="1521" s="1" customFormat="1" spans="1:8">
      <c r="A1521" s="4" t="s">
        <v>205</v>
      </c>
      <c r="B1521" s="4" t="s">
        <v>79</v>
      </c>
      <c r="C1521" s="4" t="s">
        <v>82</v>
      </c>
      <c r="D1521" s="11" t="s">
        <v>3219</v>
      </c>
      <c r="E1521" s="4">
        <v>3131703</v>
      </c>
      <c r="F1521" s="11" t="s">
        <v>3220</v>
      </c>
      <c r="G1521" s="4" t="s">
        <v>215</v>
      </c>
      <c r="H1521" s="4"/>
    </row>
    <row r="1522" s="1" customFormat="1" spans="1:8">
      <c r="A1522" s="4" t="s">
        <v>205</v>
      </c>
      <c r="B1522" s="4" t="s">
        <v>79</v>
      </c>
      <c r="C1522" s="4" t="s">
        <v>82</v>
      </c>
      <c r="D1522" s="11" t="s">
        <v>3221</v>
      </c>
      <c r="E1522" s="4">
        <v>3131901</v>
      </c>
      <c r="F1522" s="11" t="s">
        <v>3222</v>
      </c>
      <c r="G1522" s="4" t="s">
        <v>215</v>
      </c>
      <c r="H1522" s="4"/>
    </row>
    <row r="1523" s="1" customFormat="1" spans="1:8">
      <c r="A1523" s="4" t="s">
        <v>205</v>
      </c>
      <c r="B1523" s="4" t="s">
        <v>79</v>
      </c>
      <c r="C1523" s="4" t="s">
        <v>82</v>
      </c>
      <c r="D1523" s="11" t="s">
        <v>3223</v>
      </c>
      <c r="E1523" s="4">
        <v>3132206</v>
      </c>
      <c r="F1523" s="11" t="s">
        <v>3224</v>
      </c>
      <c r="G1523" s="4" t="s">
        <v>215</v>
      </c>
      <c r="H1523" s="4"/>
    </row>
    <row r="1524" s="1" customFormat="1" spans="1:8">
      <c r="A1524" s="4" t="s">
        <v>205</v>
      </c>
      <c r="B1524" s="4" t="s">
        <v>79</v>
      </c>
      <c r="C1524" s="4" t="s">
        <v>82</v>
      </c>
      <c r="D1524" s="11" t="s">
        <v>3225</v>
      </c>
      <c r="E1524" s="4">
        <v>3132800</v>
      </c>
      <c r="F1524" s="11" t="s">
        <v>3226</v>
      </c>
      <c r="G1524" s="4" t="s">
        <v>215</v>
      </c>
      <c r="H1524" s="4"/>
    </row>
    <row r="1525" s="1" customFormat="1" spans="1:8">
      <c r="A1525" s="4" t="s">
        <v>205</v>
      </c>
      <c r="B1525" s="4" t="s">
        <v>79</v>
      </c>
      <c r="C1525" s="4" t="s">
        <v>82</v>
      </c>
      <c r="D1525" s="11" t="s">
        <v>3227</v>
      </c>
      <c r="E1525" s="4">
        <v>3133501</v>
      </c>
      <c r="F1525" s="11" t="s">
        <v>3228</v>
      </c>
      <c r="G1525" s="4" t="s">
        <v>215</v>
      </c>
      <c r="H1525" s="4"/>
    </row>
    <row r="1526" s="1" customFormat="1" spans="1:8">
      <c r="A1526" s="4" t="s">
        <v>205</v>
      </c>
      <c r="B1526" s="4" t="s">
        <v>79</v>
      </c>
      <c r="C1526" s="4" t="s">
        <v>82</v>
      </c>
      <c r="D1526" s="11" t="s">
        <v>3229</v>
      </c>
      <c r="E1526" s="4">
        <v>3133709</v>
      </c>
      <c r="F1526" s="11" t="s">
        <v>3230</v>
      </c>
      <c r="G1526" s="4" t="s">
        <v>215</v>
      </c>
      <c r="H1526" s="4"/>
    </row>
    <row r="1527" s="1" customFormat="1" spans="1:8">
      <c r="A1527" s="4" t="s">
        <v>205</v>
      </c>
      <c r="B1527" s="4" t="s">
        <v>79</v>
      </c>
      <c r="C1527" s="4" t="s">
        <v>82</v>
      </c>
      <c r="D1527" s="11" t="s">
        <v>3231</v>
      </c>
      <c r="E1527" s="4">
        <v>3133907</v>
      </c>
      <c r="F1527" s="11" t="s">
        <v>3232</v>
      </c>
      <c r="G1527" s="4" t="s">
        <v>215</v>
      </c>
      <c r="H1527" s="4"/>
    </row>
    <row r="1528" s="1" customFormat="1" spans="1:8">
      <c r="A1528" s="4" t="s">
        <v>205</v>
      </c>
      <c r="B1528" s="4" t="s">
        <v>79</v>
      </c>
      <c r="C1528" s="4" t="s">
        <v>82</v>
      </c>
      <c r="D1528" s="11" t="s">
        <v>3233</v>
      </c>
      <c r="E1528" s="4">
        <v>3133808</v>
      </c>
      <c r="F1528" s="11" t="s">
        <v>3234</v>
      </c>
      <c r="G1528" s="4" t="s">
        <v>215</v>
      </c>
      <c r="H1528" s="4"/>
    </row>
    <row r="1529" s="1" customFormat="1" spans="1:8">
      <c r="A1529" s="4" t="s">
        <v>205</v>
      </c>
      <c r="B1529" s="4" t="s">
        <v>79</v>
      </c>
      <c r="C1529" s="4" t="s">
        <v>82</v>
      </c>
      <c r="D1529" s="11" t="s">
        <v>3235</v>
      </c>
      <c r="E1529" s="4">
        <v>3134301</v>
      </c>
      <c r="F1529" s="11" t="s">
        <v>3236</v>
      </c>
      <c r="G1529" s="4" t="s">
        <v>215</v>
      </c>
      <c r="H1529" s="4"/>
    </row>
    <row r="1530" s="1" customFormat="1" spans="1:8">
      <c r="A1530" s="4" t="s">
        <v>205</v>
      </c>
      <c r="B1530" s="4" t="s">
        <v>79</v>
      </c>
      <c r="C1530" s="4" t="s">
        <v>82</v>
      </c>
      <c r="D1530" s="11" t="s">
        <v>3237</v>
      </c>
      <c r="E1530" s="4">
        <v>3134509</v>
      </c>
      <c r="F1530" s="11" t="s">
        <v>3238</v>
      </c>
      <c r="G1530" s="4" t="s">
        <v>215</v>
      </c>
      <c r="H1530" s="4"/>
    </row>
    <row r="1531" s="1" customFormat="1" spans="1:8">
      <c r="A1531" s="4" t="s">
        <v>205</v>
      </c>
      <c r="B1531" s="4" t="s">
        <v>79</v>
      </c>
      <c r="C1531" s="4" t="s">
        <v>82</v>
      </c>
      <c r="D1531" s="11" t="s">
        <v>3239</v>
      </c>
      <c r="E1531" s="4">
        <v>3134608</v>
      </c>
      <c r="F1531" s="11" t="s">
        <v>3240</v>
      </c>
      <c r="G1531" s="4" t="s">
        <v>215</v>
      </c>
      <c r="H1531" s="4"/>
    </row>
    <row r="1532" s="1" customFormat="1" spans="1:8">
      <c r="A1532" s="4" t="s">
        <v>205</v>
      </c>
      <c r="B1532" s="4" t="s">
        <v>79</v>
      </c>
      <c r="C1532" s="4" t="s">
        <v>82</v>
      </c>
      <c r="D1532" s="11" t="s">
        <v>3241</v>
      </c>
      <c r="E1532" s="4">
        <v>3135001</v>
      </c>
      <c r="F1532" s="11" t="s">
        <v>3242</v>
      </c>
      <c r="G1532" s="4" t="s">
        <v>215</v>
      </c>
      <c r="H1532" s="4"/>
    </row>
    <row r="1533" s="1" customFormat="1" spans="1:8">
      <c r="A1533" s="4" t="s">
        <v>205</v>
      </c>
      <c r="B1533" s="4" t="s">
        <v>79</v>
      </c>
      <c r="C1533" s="4" t="s">
        <v>82</v>
      </c>
      <c r="D1533" s="11" t="s">
        <v>3243</v>
      </c>
      <c r="E1533" s="4">
        <v>3135308</v>
      </c>
      <c r="F1533" s="11" t="s">
        <v>3244</v>
      </c>
      <c r="G1533" s="4" t="s">
        <v>215</v>
      </c>
      <c r="H1533" s="4"/>
    </row>
    <row r="1534" s="1" customFormat="1" spans="1:8">
      <c r="A1534" s="4" t="s">
        <v>205</v>
      </c>
      <c r="B1534" s="4" t="s">
        <v>79</v>
      </c>
      <c r="C1534" s="4" t="s">
        <v>82</v>
      </c>
      <c r="D1534" s="11" t="s">
        <v>3245</v>
      </c>
      <c r="E1534" s="4">
        <v>3135407</v>
      </c>
      <c r="F1534" s="11" t="s">
        <v>3246</v>
      </c>
      <c r="G1534" s="4" t="s">
        <v>215</v>
      </c>
      <c r="H1534" s="4"/>
    </row>
    <row r="1535" s="1" customFormat="1" spans="1:8">
      <c r="A1535" s="4" t="s">
        <v>205</v>
      </c>
      <c r="B1535" s="4" t="s">
        <v>79</v>
      </c>
      <c r="C1535" s="4" t="s">
        <v>82</v>
      </c>
      <c r="D1535" s="11" t="s">
        <v>3247</v>
      </c>
      <c r="E1535" s="4">
        <v>3135506</v>
      </c>
      <c r="F1535" s="11" t="s">
        <v>3248</v>
      </c>
      <c r="G1535" s="4" t="s">
        <v>215</v>
      </c>
      <c r="H1535" s="4"/>
    </row>
    <row r="1536" s="1" customFormat="1" spans="1:8">
      <c r="A1536" s="4" t="s">
        <v>205</v>
      </c>
      <c r="B1536" s="4" t="s">
        <v>79</v>
      </c>
      <c r="C1536" s="4" t="s">
        <v>82</v>
      </c>
      <c r="D1536" s="11" t="s">
        <v>3249</v>
      </c>
      <c r="E1536" s="4">
        <v>3135704</v>
      </c>
      <c r="F1536" s="11" t="s">
        <v>3250</v>
      </c>
      <c r="G1536" s="4" t="s">
        <v>215</v>
      </c>
      <c r="H1536" s="4"/>
    </row>
    <row r="1537" s="1" customFormat="1" spans="1:8">
      <c r="A1537" s="4" t="s">
        <v>205</v>
      </c>
      <c r="B1537" s="4" t="s">
        <v>79</v>
      </c>
      <c r="C1537" s="4" t="s">
        <v>82</v>
      </c>
      <c r="D1537" s="11" t="s">
        <v>3251</v>
      </c>
      <c r="E1537" s="4">
        <v>3136108</v>
      </c>
      <c r="F1537" s="11" t="s">
        <v>3252</v>
      </c>
      <c r="G1537" s="4" t="s">
        <v>215</v>
      </c>
      <c r="H1537" s="4"/>
    </row>
    <row r="1538" s="1" customFormat="1" spans="1:8">
      <c r="A1538" s="4" t="s">
        <v>205</v>
      </c>
      <c r="B1538" s="4" t="s">
        <v>79</v>
      </c>
      <c r="C1538" s="4" t="s">
        <v>82</v>
      </c>
      <c r="D1538" s="11" t="s">
        <v>3253</v>
      </c>
      <c r="E1538" s="4">
        <v>3136207</v>
      </c>
      <c r="F1538" s="11" t="s">
        <v>3254</v>
      </c>
      <c r="G1538" s="4" t="s">
        <v>215</v>
      </c>
      <c r="H1538" s="4"/>
    </row>
    <row r="1539" s="1" customFormat="1" spans="1:8">
      <c r="A1539" s="4" t="s">
        <v>205</v>
      </c>
      <c r="B1539" s="4" t="s">
        <v>79</v>
      </c>
      <c r="C1539" s="4" t="s">
        <v>82</v>
      </c>
      <c r="D1539" s="11" t="s">
        <v>3255</v>
      </c>
      <c r="E1539" s="4">
        <v>3136652</v>
      </c>
      <c r="F1539" s="11" t="s">
        <v>3256</v>
      </c>
      <c r="G1539" s="4" t="s">
        <v>215</v>
      </c>
      <c r="H1539" s="4"/>
    </row>
    <row r="1540" s="1" customFormat="1" spans="1:8">
      <c r="A1540" s="4" t="s">
        <v>205</v>
      </c>
      <c r="B1540" s="4" t="s">
        <v>79</v>
      </c>
      <c r="C1540" s="4" t="s">
        <v>82</v>
      </c>
      <c r="D1540" s="11" t="s">
        <v>3257</v>
      </c>
      <c r="E1540" s="4">
        <v>3136702</v>
      </c>
      <c r="F1540" s="11" t="s">
        <v>3258</v>
      </c>
      <c r="G1540" s="4" t="s">
        <v>215</v>
      </c>
      <c r="H1540" s="4"/>
    </row>
    <row r="1541" s="1" customFormat="1" spans="1:8">
      <c r="A1541" s="4" t="s">
        <v>205</v>
      </c>
      <c r="B1541" s="4" t="s">
        <v>79</v>
      </c>
      <c r="C1541" s="4" t="s">
        <v>82</v>
      </c>
      <c r="D1541" s="11" t="s">
        <v>3259</v>
      </c>
      <c r="E1541" s="4">
        <v>3137205</v>
      </c>
      <c r="F1541" s="11" t="s">
        <v>3260</v>
      </c>
      <c r="G1541" s="4" t="s">
        <v>215</v>
      </c>
      <c r="H1541" s="4"/>
    </row>
    <row r="1542" s="1" customFormat="1" spans="1:8">
      <c r="A1542" s="4" t="s">
        <v>205</v>
      </c>
      <c r="B1542" s="4" t="s">
        <v>79</v>
      </c>
      <c r="C1542" s="4" t="s">
        <v>82</v>
      </c>
      <c r="D1542" s="11" t="s">
        <v>3261</v>
      </c>
      <c r="E1542" s="4">
        <v>3137403</v>
      </c>
      <c r="F1542" s="11" t="s">
        <v>3262</v>
      </c>
      <c r="G1542" s="4" t="s">
        <v>215</v>
      </c>
      <c r="H1542" s="4"/>
    </row>
    <row r="1543" s="1" customFormat="1" spans="1:8">
      <c r="A1543" s="4" t="s">
        <v>205</v>
      </c>
      <c r="B1543" s="4" t="s">
        <v>79</v>
      </c>
      <c r="C1543" s="4" t="s">
        <v>82</v>
      </c>
      <c r="D1543" s="11" t="s">
        <v>3263</v>
      </c>
      <c r="E1543" s="4">
        <v>3137908</v>
      </c>
      <c r="F1543" s="11" t="s">
        <v>3264</v>
      </c>
      <c r="G1543" s="4" t="s">
        <v>215</v>
      </c>
      <c r="H1543" s="4"/>
    </row>
    <row r="1544" s="1" customFormat="1" spans="1:8">
      <c r="A1544" s="4" t="s">
        <v>205</v>
      </c>
      <c r="B1544" s="4" t="s">
        <v>79</v>
      </c>
      <c r="C1544" s="4" t="s">
        <v>82</v>
      </c>
      <c r="D1544" s="11" t="s">
        <v>3265</v>
      </c>
      <c r="E1544" s="4">
        <v>3138104</v>
      </c>
      <c r="F1544" s="11" t="s">
        <v>3266</v>
      </c>
      <c r="G1544" s="4" t="s">
        <v>215</v>
      </c>
      <c r="H1544" s="4"/>
    </row>
    <row r="1545" s="1" customFormat="1" spans="1:8">
      <c r="A1545" s="4" t="s">
        <v>205</v>
      </c>
      <c r="B1545" s="4" t="s">
        <v>79</v>
      </c>
      <c r="C1545" s="4" t="s">
        <v>82</v>
      </c>
      <c r="D1545" s="11" t="s">
        <v>3267</v>
      </c>
      <c r="E1545" s="4">
        <v>3138203</v>
      </c>
      <c r="F1545" s="11" t="s">
        <v>3268</v>
      </c>
      <c r="G1545" s="4" t="s">
        <v>215</v>
      </c>
      <c r="H1545" s="4"/>
    </row>
    <row r="1546" s="1" customFormat="1" spans="1:8">
      <c r="A1546" s="4" t="s">
        <v>205</v>
      </c>
      <c r="B1546" s="4" t="s">
        <v>79</v>
      </c>
      <c r="C1546" s="4" t="s">
        <v>82</v>
      </c>
      <c r="D1546" s="11" t="s">
        <v>3269</v>
      </c>
      <c r="E1546" s="4">
        <v>3138302</v>
      </c>
      <c r="F1546" s="11" t="s">
        <v>3270</v>
      </c>
      <c r="G1546" s="4" t="s">
        <v>215</v>
      </c>
      <c r="H1546" s="4"/>
    </row>
    <row r="1547" s="1" customFormat="1" spans="1:8">
      <c r="A1547" s="4" t="s">
        <v>205</v>
      </c>
      <c r="B1547" s="4" t="s">
        <v>79</v>
      </c>
      <c r="C1547" s="4" t="s">
        <v>82</v>
      </c>
      <c r="D1547" s="11" t="s">
        <v>3271</v>
      </c>
      <c r="E1547" s="4">
        <v>3138609</v>
      </c>
      <c r="F1547" s="11" t="s">
        <v>3272</v>
      </c>
      <c r="G1547" s="4" t="s">
        <v>215</v>
      </c>
      <c r="H1547" s="4"/>
    </row>
    <row r="1548" s="1" customFormat="1" spans="1:8">
      <c r="A1548" s="4" t="s">
        <v>205</v>
      </c>
      <c r="B1548" s="4" t="s">
        <v>79</v>
      </c>
      <c r="C1548" s="4" t="s">
        <v>82</v>
      </c>
      <c r="D1548" s="11" t="s">
        <v>3273</v>
      </c>
      <c r="E1548" s="4">
        <v>3138708</v>
      </c>
      <c r="F1548" s="11" t="s">
        <v>3274</v>
      </c>
      <c r="G1548" s="4" t="s">
        <v>215</v>
      </c>
      <c r="H1548" s="4"/>
    </row>
    <row r="1549" s="1" customFormat="1" spans="1:8">
      <c r="A1549" s="4" t="s">
        <v>205</v>
      </c>
      <c r="B1549" s="4" t="s">
        <v>79</v>
      </c>
      <c r="C1549" s="4" t="s">
        <v>82</v>
      </c>
      <c r="D1549" s="11" t="s">
        <v>3275</v>
      </c>
      <c r="E1549" s="4">
        <v>3138807</v>
      </c>
      <c r="F1549" s="11" t="s">
        <v>3276</v>
      </c>
      <c r="G1549" s="4" t="s">
        <v>215</v>
      </c>
      <c r="H1549" s="4"/>
    </row>
    <row r="1550" s="1" customFormat="1" spans="1:8">
      <c r="A1550" s="4" t="s">
        <v>205</v>
      </c>
      <c r="B1550" s="4" t="s">
        <v>79</v>
      </c>
      <c r="C1550" s="4" t="s">
        <v>82</v>
      </c>
      <c r="D1550" s="11" t="s">
        <v>3277</v>
      </c>
      <c r="E1550" s="4">
        <v>3139102</v>
      </c>
      <c r="F1550" s="11" t="s">
        <v>3278</v>
      </c>
      <c r="G1550" s="4" t="s">
        <v>215</v>
      </c>
      <c r="H1550" s="4"/>
    </row>
    <row r="1551" s="1" customFormat="1" spans="1:8">
      <c r="A1551" s="4" t="s">
        <v>205</v>
      </c>
      <c r="B1551" s="4" t="s">
        <v>79</v>
      </c>
      <c r="C1551" s="4" t="s">
        <v>82</v>
      </c>
      <c r="D1551" s="11" t="s">
        <v>3279</v>
      </c>
      <c r="E1551" s="4">
        <v>3139409</v>
      </c>
      <c r="F1551" s="11" t="s">
        <v>3280</v>
      </c>
      <c r="G1551" s="4" t="s">
        <v>215</v>
      </c>
      <c r="H1551" s="4"/>
    </row>
    <row r="1552" s="1" customFormat="1" spans="1:8">
      <c r="A1552" s="4" t="s">
        <v>205</v>
      </c>
      <c r="B1552" s="4" t="s">
        <v>79</v>
      </c>
      <c r="C1552" s="4" t="s">
        <v>82</v>
      </c>
      <c r="D1552" s="11" t="s">
        <v>3281</v>
      </c>
      <c r="E1552" s="4">
        <v>3139706</v>
      </c>
      <c r="F1552" s="11" t="s">
        <v>3282</v>
      </c>
      <c r="G1552" s="4" t="s">
        <v>215</v>
      </c>
      <c r="H1552" s="4"/>
    </row>
    <row r="1553" s="1" customFormat="1" spans="1:8">
      <c r="A1553" s="4" t="s">
        <v>205</v>
      </c>
      <c r="B1553" s="4" t="s">
        <v>79</v>
      </c>
      <c r="C1553" s="4" t="s">
        <v>82</v>
      </c>
      <c r="D1553" s="11" t="s">
        <v>3283</v>
      </c>
      <c r="E1553" s="4">
        <v>3140001</v>
      </c>
      <c r="F1553" s="11" t="s">
        <v>3284</v>
      </c>
      <c r="G1553" s="4" t="s">
        <v>215</v>
      </c>
      <c r="H1553" s="4"/>
    </row>
    <row r="1554" s="1" customFormat="1" spans="1:8">
      <c r="A1554" s="4" t="s">
        <v>205</v>
      </c>
      <c r="B1554" s="4" t="s">
        <v>79</v>
      </c>
      <c r="C1554" s="4" t="s">
        <v>82</v>
      </c>
      <c r="D1554" s="11" t="s">
        <v>3285</v>
      </c>
      <c r="E1554" s="4">
        <v>3140308</v>
      </c>
      <c r="F1554" s="11" t="s">
        <v>3286</v>
      </c>
      <c r="G1554" s="4" t="s">
        <v>215</v>
      </c>
      <c r="H1554" s="4"/>
    </row>
    <row r="1555" s="1" customFormat="1" spans="1:8">
      <c r="A1555" s="4" t="s">
        <v>205</v>
      </c>
      <c r="B1555" s="4" t="s">
        <v>79</v>
      </c>
      <c r="C1555" s="4" t="s">
        <v>82</v>
      </c>
      <c r="D1555" s="11" t="s">
        <v>3287</v>
      </c>
      <c r="E1555" s="4">
        <v>3140506</v>
      </c>
      <c r="F1555" s="11" t="s">
        <v>3288</v>
      </c>
      <c r="G1555" s="4" t="s">
        <v>215</v>
      </c>
      <c r="H1555" s="4"/>
    </row>
    <row r="1556" s="1" customFormat="1" spans="1:8">
      <c r="A1556" s="4" t="s">
        <v>205</v>
      </c>
      <c r="B1556" s="4" t="s">
        <v>79</v>
      </c>
      <c r="C1556" s="4" t="s">
        <v>82</v>
      </c>
      <c r="D1556" s="11" t="s">
        <v>3289</v>
      </c>
      <c r="E1556" s="4">
        <v>3140704</v>
      </c>
      <c r="F1556" s="11" t="s">
        <v>3290</v>
      </c>
      <c r="G1556" s="4" t="s">
        <v>215</v>
      </c>
      <c r="H1556" s="4"/>
    </row>
    <row r="1557" s="1" customFormat="1" spans="1:8">
      <c r="A1557" s="4" t="s">
        <v>205</v>
      </c>
      <c r="B1557" s="4" t="s">
        <v>79</v>
      </c>
      <c r="C1557" s="4" t="s">
        <v>82</v>
      </c>
      <c r="D1557" s="11" t="s">
        <v>3291</v>
      </c>
      <c r="E1557" s="4">
        <v>3140803</v>
      </c>
      <c r="F1557" s="11" t="s">
        <v>3292</v>
      </c>
      <c r="G1557" s="4" t="s">
        <v>215</v>
      </c>
      <c r="H1557" s="4"/>
    </row>
    <row r="1558" s="1" customFormat="1" spans="1:8">
      <c r="A1558" s="4" t="s">
        <v>205</v>
      </c>
      <c r="B1558" s="4" t="s">
        <v>79</v>
      </c>
      <c r="C1558" s="4" t="s">
        <v>82</v>
      </c>
      <c r="D1558" s="11" t="s">
        <v>3293</v>
      </c>
      <c r="E1558" s="4">
        <v>3140902</v>
      </c>
      <c r="F1558" s="11" t="s">
        <v>3294</v>
      </c>
      <c r="G1558" s="4" t="s">
        <v>215</v>
      </c>
      <c r="H1558" s="4"/>
    </row>
    <row r="1559" s="1" customFormat="1" spans="1:8">
      <c r="A1559" s="4" t="s">
        <v>205</v>
      </c>
      <c r="B1559" s="4" t="s">
        <v>79</v>
      </c>
      <c r="C1559" s="4" t="s">
        <v>82</v>
      </c>
      <c r="D1559" s="11" t="s">
        <v>3295</v>
      </c>
      <c r="E1559" s="4">
        <v>3141108</v>
      </c>
      <c r="F1559" s="11" t="s">
        <v>3296</v>
      </c>
      <c r="G1559" s="4" t="s">
        <v>215</v>
      </c>
      <c r="H1559" s="4"/>
    </row>
    <row r="1560" s="1" customFormat="1" spans="1:8">
      <c r="A1560" s="4" t="s">
        <v>205</v>
      </c>
      <c r="B1560" s="4" t="s">
        <v>79</v>
      </c>
      <c r="C1560" s="4" t="s">
        <v>82</v>
      </c>
      <c r="D1560" s="11" t="s">
        <v>3297</v>
      </c>
      <c r="E1560" s="4">
        <v>3141603</v>
      </c>
      <c r="F1560" s="11" t="s">
        <v>3298</v>
      </c>
      <c r="G1560" s="4" t="s">
        <v>215</v>
      </c>
      <c r="H1560" s="4"/>
    </row>
    <row r="1561" s="1" customFormat="1" spans="1:8">
      <c r="A1561" s="4" t="s">
        <v>205</v>
      </c>
      <c r="B1561" s="4" t="s">
        <v>79</v>
      </c>
      <c r="C1561" s="4" t="s">
        <v>82</v>
      </c>
      <c r="D1561" s="11" t="s">
        <v>3299</v>
      </c>
      <c r="E1561" s="4">
        <v>3141702</v>
      </c>
      <c r="F1561" s="11" t="s">
        <v>3300</v>
      </c>
      <c r="G1561" s="4" t="s">
        <v>215</v>
      </c>
      <c r="H1561" s="4"/>
    </row>
    <row r="1562" s="1" customFormat="1" spans="1:8">
      <c r="A1562" s="4" t="s">
        <v>205</v>
      </c>
      <c r="B1562" s="4" t="s">
        <v>79</v>
      </c>
      <c r="C1562" s="4" t="s">
        <v>82</v>
      </c>
      <c r="D1562" s="11" t="s">
        <v>3301</v>
      </c>
      <c r="E1562" s="4">
        <v>3142304</v>
      </c>
      <c r="F1562" s="11" t="s">
        <v>3302</v>
      </c>
      <c r="G1562" s="4" t="s">
        <v>215</v>
      </c>
      <c r="H1562" s="4"/>
    </row>
    <row r="1563" s="1" customFormat="1" spans="1:8">
      <c r="A1563" s="4" t="s">
        <v>205</v>
      </c>
      <c r="B1563" s="4" t="s">
        <v>79</v>
      </c>
      <c r="C1563" s="4" t="s">
        <v>82</v>
      </c>
      <c r="D1563" s="11" t="s">
        <v>3303</v>
      </c>
      <c r="E1563" s="4">
        <v>3142403</v>
      </c>
      <c r="F1563" s="11" t="s">
        <v>3304</v>
      </c>
      <c r="G1563" s="4" t="s">
        <v>215</v>
      </c>
      <c r="H1563" s="4"/>
    </row>
    <row r="1564" s="1" customFormat="1" spans="1:8">
      <c r="A1564" s="4" t="s">
        <v>205</v>
      </c>
      <c r="B1564" s="4" t="s">
        <v>79</v>
      </c>
      <c r="C1564" s="4" t="s">
        <v>82</v>
      </c>
      <c r="D1564" s="11" t="s">
        <v>3305</v>
      </c>
      <c r="E1564" s="4">
        <v>3142502</v>
      </c>
      <c r="F1564" s="11" t="s">
        <v>3306</v>
      </c>
      <c r="G1564" s="4" t="s">
        <v>215</v>
      </c>
      <c r="H1564" s="4"/>
    </row>
    <row r="1565" s="1" customFormat="1" spans="1:8">
      <c r="A1565" s="4" t="s">
        <v>205</v>
      </c>
      <c r="B1565" s="4" t="s">
        <v>79</v>
      </c>
      <c r="C1565" s="4" t="s">
        <v>82</v>
      </c>
      <c r="D1565" s="11" t="s">
        <v>3307</v>
      </c>
      <c r="E1565" s="4">
        <v>3143500</v>
      </c>
      <c r="F1565" s="11" t="s">
        <v>3308</v>
      </c>
      <c r="G1565" s="4" t="s">
        <v>215</v>
      </c>
      <c r="H1565" s="4"/>
    </row>
    <row r="1566" s="1" customFormat="1" spans="1:8">
      <c r="A1566" s="4" t="s">
        <v>205</v>
      </c>
      <c r="B1566" s="4" t="s">
        <v>79</v>
      </c>
      <c r="C1566" s="4" t="s">
        <v>82</v>
      </c>
      <c r="D1566" s="11" t="s">
        <v>3309</v>
      </c>
      <c r="E1566" s="4">
        <v>3143609</v>
      </c>
      <c r="F1566" s="11" t="s">
        <v>3310</v>
      </c>
      <c r="G1566" s="4" t="s">
        <v>215</v>
      </c>
      <c r="H1566" s="4"/>
    </row>
    <row r="1567" s="1" customFormat="1" spans="1:8">
      <c r="A1567" s="4" t="s">
        <v>205</v>
      </c>
      <c r="B1567" s="4" t="s">
        <v>79</v>
      </c>
      <c r="C1567" s="4" t="s">
        <v>82</v>
      </c>
      <c r="D1567" s="11" t="s">
        <v>3311</v>
      </c>
      <c r="E1567" s="4">
        <v>3143708</v>
      </c>
      <c r="F1567" s="11" t="s">
        <v>3312</v>
      </c>
      <c r="G1567" s="4" t="s">
        <v>215</v>
      </c>
      <c r="H1567" s="4"/>
    </row>
    <row r="1568" s="1" customFormat="1" spans="1:8">
      <c r="A1568" s="4" t="s">
        <v>205</v>
      </c>
      <c r="B1568" s="4" t="s">
        <v>79</v>
      </c>
      <c r="C1568" s="4" t="s">
        <v>82</v>
      </c>
      <c r="D1568" s="11" t="s">
        <v>3313</v>
      </c>
      <c r="E1568" s="4">
        <v>3140159</v>
      </c>
      <c r="F1568" s="11" t="s">
        <v>3314</v>
      </c>
      <c r="G1568" s="4" t="s">
        <v>215</v>
      </c>
      <c r="H1568" s="4"/>
    </row>
    <row r="1569" s="1" customFormat="1" spans="1:8">
      <c r="A1569" s="4" t="s">
        <v>205</v>
      </c>
      <c r="B1569" s="4" t="s">
        <v>79</v>
      </c>
      <c r="C1569" s="4" t="s">
        <v>82</v>
      </c>
      <c r="D1569" s="11" t="s">
        <v>3315</v>
      </c>
      <c r="E1569" s="4">
        <v>3144359</v>
      </c>
      <c r="F1569" s="11" t="s">
        <v>3316</v>
      </c>
      <c r="G1569" s="4" t="s">
        <v>215</v>
      </c>
      <c r="H1569" s="4"/>
    </row>
    <row r="1570" s="1" customFormat="1" spans="1:8">
      <c r="A1570" s="4" t="s">
        <v>205</v>
      </c>
      <c r="B1570" s="4" t="s">
        <v>79</v>
      </c>
      <c r="C1570" s="4" t="s">
        <v>82</v>
      </c>
      <c r="D1570" s="11" t="s">
        <v>3317</v>
      </c>
      <c r="E1570" s="4">
        <v>3144508</v>
      </c>
      <c r="F1570" s="11" t="s">
        <v>3318</v>
      </c>
      <c r="G1570" s="4" t="s">
        <v>215</v>
      </c>
      <c r="H1570" s="4"/>
    </row>
    <row r="1571" s="1" customFormat="1" spans="1:8">
      <c r="A1571" s="4" t="s">
        <v>205</v>
      </c>
      <c r="B1571" s="4" t="s">
        <v>79</v>
      </c>
      <c r="C1571" s="4" t="s">
        <v>82</v>
      </c>
      <c r="D1571" s="11" t="s">
        <v>3319</v>
      </c>
      <c r="E1571" s="4">
        <v>3144607</v>
      </c>
      <c r="F1571" s="11" t="s">
        <v>3320</v>
      </c>
      <c r="G1571" s="4" t="s">
        <v>215</v>
      </c>
      <c r="H1571" s="4"/>
    </row>
    <row r="1572" s="1" customFormat="1" spans="1:8">
      <c r="A1572" s="4" t="s">
        <v>205</v>
      </c>
      <c r="B1572" s="4" t="s">
        <v>79</v>
      </c>
      <c r="C1572" s="4" t="s">
        <v>82</v>
      </c>
      <c r="D1572" s="11" t="s">
        <v>3321</v>
      </c>
      <c r="E1572" s="4">
        <v>3144706</v>
      </c>
      <c r="F1572" s="11" t="s">
        <v>3322</v>
      </c>
      <c r="G1572" s="4" t="s">
        <v>215</v>
      </c>
      <c r="H1572" s="4"/>
    </row>
    <row r="1573" s="1" customFormat="1" spans="1:8">
      <c r="A1573" s="4" t="s">
        <v>205</v>
      </c>
      <c r="B1573" s="4" t="s">
        <v>79</v>
      </c>
      <c r="C1573" s="4" t="s">
        <v>82</v>
      </c>
      <c r="D1573" s="11" t="s">
        <v>3323</v>
      </c>
      <c r="E1573" s="4">
        <v>3145208</v>
      </c>
      <c r="F1573" s="11" t="s">
        <v>3324</v>
      </c>
      <c r="G1573" s="4" t="s">
        <v>215</v>
      </c>
      <c r="H1573" s="4"/>
    </row>
    <row r="1574" s="1" customFormat="1" spans="1:8">
      <c r="A1574" s="4" t="s">
        <v>205</v>
      </c>
      <c r="B1574" s="4" t="s">
        <v>79</v>
      </c>
      <c r="C1574" s="4" t="s">
        <v>82</v>
      </c>
      <c r="D1574" s="11" t="s">
        <v>3325</v>
      </c>
      <c r="E1574" s="4">
        <v>3136603</v>
      </c>
      <c r="F1574" s="11" t="s">
        <v>3326</v>
      </c>
      <c r="G1574" s="4" t="s">
        <v>215</v>
      </c>
      <c r="H1574" s="4"/>
    </row>
    <row r="1575" s="1" customFormat="1" spans="1:8">
      <c r="A1575" s="4" t="s">
        <v>205</v>
      </c>
      <c r="B1575" s="4" t="s">
        <v>79</v>
      </c>
      <c r="C1575" s="4" t="s">
        <v>82</v>
      </c>
      <c r="D1575" s="11" t="s">
        <v>3327</v>
      </c>
      <c r="E1575" s="4">
        <v>3145604</v>
      </c>
      <c r="F1575" s="11" t="s">
        <v>3328</v>
      </c>
      <c r="G1575" s="4" t="s">
        <v>215</v>
      </c>
      <c r="H1575" s="4"/>
    </row>
    <row r="1576" s="1" customFormat="1" spans="1:8">
      <c r="A1576" s="4" t="s">
        <v>205</v>
      </c>
      <c r="B1576" s="4" t="s">
        <v>79</v>
      </c>
      <c r="C1576" s="4" t="s">
        <v>82</v>
      </c>
      <c r="D1576" s="11" t="s">
        <v>3329</v>
      </c>
      <c r="E1576" s="4">
        <v>3145703</v>
      </c>
      <c r="F1576" s="11" t="s">
        <v>3330</v>
      </c>
      <c r="G1576" s="4" t="s">
        <v>215</v>
      </c>
      <c r="H1576" s="4"/>
    </row>
    <row r="1577" s="1" customFormat="1" spans="1:8">
      <c r="A1577" s="4" t="s">
        <v>205</v>
      </c>
      <c r="B1577" s="4" t="s">
        <v>79</v>
      </c>
      <c r="C1577" s="4" t="s">
        <v>82</v>
      </c>
      <c r="D1577" s="11" t="s">
        <v>3331</v>
      </c>
      <c r="E1577" s="4">
        <v>3145802</v>
      </c>
      <c r="F1577" s="11" t="s">
        <v>3332</v>
      </c>
      <c r="G1577" s="4" t="s">
        <v>215</v>
      </c>
      <c r="H1577" s="4"/>
    </row>
    <row r="1578" s="1" customFormat="1" spans="1:8">
      <c r="A1578" s="4" t="s">
        <v>205</v>
      </c>
      <c r="B1578" s="4" t="s">
        <v>79</v>
      </c>
      <c r="C1578" s="4" t="s">
        <v>82</v>
      </c>
      <c r="D1578" s="11" t="s">
        <v>3333</v>
      </c>
      <c r="E1578" s="4">
        <v>3145851</v>
      </c>
      <c r="F1578" s="11" t="s">
        <v>3334</v>
      </c>
      <c r="G1578" s="4" t="s">
        <v>215</v>
      </c>
      <c r="H1578" s="4"/>
    </row>
    <row r="1579" s="1" customFormat="1" spans="1:8">
      <c r="A1579" s="4" t="s">
        <v>205</v>
      </c>
      <c r="B1579" s="4" t="s">
        <v>79</v>
      </c>
      <c r="C1579" s="4" t="s">
        <v>82</v>
      </c>
      <c r="D1579" s="11" t="s">
        <v>433</v>
      </c>
      <c r="E1579" s="4">
        <v>3145901</v>
      </c>
      <c r="F1579" s="11" t="s">
        <v>3335</v>
      </c>
      <c r="G1579" s="4" t="s">
        <v>215</v>
      </c>
      <c r="H1579" s="4"/>
    </row>
    <row r="1580" s="1" customFormat="1" spans="1:8">
      <c r="A1580" s="4" t="s">
        <v>205</v>
      </c>
      <c r="B1580" s="4" t="s">
        <v>79</v>
      </c>
      <c r="C1580" s="4" t="s">
        <v>82</v>
      </c>
      <c r="D1580" s="11" t="s">
        <v>3336</v>
      </c>
      <c r="E1580" s="4">
        <v>3146107</v>
      </c>
      <c r="F1580" s="11" t="s">
        <v>3337</v>
      </c>
      <c r="G1580" s="4" t="s">
        <v>215</v>
      </c>
      <c r="H1580" s="4"/>
    </row>
    <row r="1581" s="1" customFormat="1" spans="1:8">
      <c r="A1581" s="4" t="s">
        <v>205</v>
      </c>
      <c r="B1581" s="4" t="s">
        <v>79</v>
      </c>
      <c r="C1581" s="4" t="s">
        <v>82</v>
      </c>
      <c r="D1581" s="11" t="s">
        <v>3338</v>
      </c>
      <c r="E1581" s="4">
        <v>3146404</v>
      </c>
      <c r="F1581" s="11" t="s">
        <v>3339</v>
      </c>
      <c r="G1581" s="4" t="s">
        <v>215</v>
      </c>
      <c r="H1581" s="4"/>
    </row>
    <row r="1582" s="1" customFormat="1" spans="1:8">
      <c r="A1582" s="4" t="s">
        <v>205</v>
      </c>
      <c r="B1582" s="4" t="s">
        <v>79</v>
      </c>
      <c r="C1582" s="4" t="s">
        <v>82</v>
      </c>
      <c r="D1582" s="11" t="s">
        <v>3340</v>
      </c>
      <c r="E1582" s="4">
        <v>3146503</v>
      </c>
      <c r="F1582" s="11" t="s">
        <v>3341</v>
      </c>
      <c r="G1582" s="4" t="s">
        <v>215</v>
      </c>
      <c r="H1582" s="4"/>
    </row>
    <row r="1583" s="1" customFormat="1" spans="1:8">
      <c r="A1583" s="4" t="s">
        <v>205</v>
      </c>
      <c r="B1583" s="4" t="s">
        <v>79</v>
      </c>
      <c r="C1583" s="4" t="s">
        <v>82</v>
      </c>
      <c r="D1583" s="11" t="s">
        <v>3342</v>
      </c>
      <c r="E1583" s="4">
        <v>3146602</v>
      </c>
      <c r="F1583" s="11" t="s">
        <v>3343</v>
      </c>
      <c r="G1583" s="4" t="s">
        <v>215</v>
      </c>
      <c r="H1583" s="4"/>
    </row>
    <row r="1584" s="1" customFormat="1" spans="1:8">
      <c r="A1584" s="4" t="s">
        <v>205</v>
      </c>
      <c r="B1584" s="4" t="s">
        <v>79</v>
      </c>
      <c r="C1584" s="4" t="s">
        <v>82</v>
      </c>
      <c r="D1584" s="11" t="s">
        <v>3344</v>
      </c>
      <c r="E1584" s="4">
        <v>3146909</v>
      </c>
      <c r="F1584" s="11" t="s">
        <v>3345</v>
      </c>
      <c r="G1584" s="4" t="s">
        <v>215</v>
      </c>
      <c r="H1584" s="4"/>
    </row>
    <row r="1585" s="1" customFormat="1" spans="1:8">
      <c r="A1585" s="4" t="s">
        <v>205</v>
      </c>
      <c r="B1585" s="4" t="s">
        <v>79</v>
      </c>
      <c r="C1585" s="4" t="s">
        <v>82</v>
      </c>
      <c r="D1585" s="11" t="s">
        <v>3346</v>
      </c>
      <c r="E1585" s="4">
        <v>3147402</v>
      </c>
      <c r="F1585" s="11" t="s">
        <v>3347</v>
      </c>
      <c r="G1585" s="4" t="s">
        <v>215</v>
      </c>
      <c r="H1585" s="4"/>
    </row>
    <row r="1586" s="1" customFormat="1" spans="1:8">
      <c r="A1586" s="4" t="s">
        <v>205</v>
      </c>
      <c r="B1586" s="4" t="s">
        <v>79</v>
      </c>
      <c r="C1586" s="4" t="s">
        <v>82</v>
      </c>
      <c r="D1586" s="11" t="s">
        <v>3348</v>
      </c>
      <c r="E1586" s="4">
        <v>3147105</v>
      </c>
      <c r="F1586" s="11" t="s">
        <v>3349</v>
      </c>
      <c r="G1586" s="4" t="s">
        <v>215</v>
      </c>
      <c r="H1586" s="4"/>
    </row>
    <row r="1587" s="1" customFormat="1" spans="1:8">
      <c r="A1587" s="4" t="s">
        <v>205</v>
      </c>
      <c r="B1587" s="4" t="s">
        <v>79</v>
      </c>
      <c r="C1587" s="4" t="s">
        <v>82</v>
      </c>
      <c r="D1587" s="11" t="s">
        <v>3350</v>
      </c>
      <c r="E1587" s="4">
        <v>3147709</v>
      </c>
      <c r="F1587" s="11" t="s">
        <v>3351</v>
      </c>
      <c r="G1587" s="4" t="s">
        <v>215</v>
      </c>
      <c r="H1587" s="4"/>
    </row>
    <row r="1588" s="1" customFormat="1" spans="1:8">
      <c r="A1588" s="4" t="s">
        <v>205</v>
      </c>
      <c r="B1588" s="4" t="s">
        <v>79</v>
      </c>
      <c r="C1588" s="4" t="s">
        <v>82</v>
      </c>
      <c r="D1588" s="11" t="s">
        <v>3352</v>
      </c>
      <c r="E1588" s="4">
        <v>3147501</v>
      </c>
      <c r="F1588" s="11" t="s">
        <v>3353</v>
      </c>
      <c r="G1588" s="4" t="s">
        <v>215</v>
      </c>
      <c r="H1588" s="4"/>
    </row>
    <row r="1589" s="1" customFormat="1" spans="1:8">
      <c r="A1589" s="4" t="s">
        <v>205</v>
      </c>
      <c r="B1589" s="4" t="s">
        <v>79</v>
      </c>
      <c r="C1589" s="4" t="s">
        <v>82</v>
      </c>
      <c r="D1589" s="11" t="s">
        <v>3354</v>
      </c>
      <c r="E1589" s="4">
        <v>3148301</v>
      </c>
      <c r="F1589" s="11" t="s">
        <v>3355</v>
      </c>
      <c r="G1589" s="4" t="s">
        <v>215</v>
      </c>
      <c r="H1589" s="4"/>
    </row>
    <row r="1590" s="1" customFormat="1" spans="1:8">
      <c r="A1590" s="4" t="s">
        <v>205</v>
      </c>
      <c r="B1590" s="4" t="s">
        <v>79</v>
      </c>
      <c r="C1590" s="4" t="s">
        <v>82</v>
      </c>
      <c r="D1590" s="11" t="s">
        <v>3356</v>
      </c>
      <c r="E1590" s="4">
        <v>3148756</v>
      </c>
      <c r="F1590" s="11" t="s">
        <v>3357</v>
      </c>
      <c r="G1590" s="4" t="s">
        <v>215</v>
      </c>
      <c r="H1590" s="4"/>
    </row>
    <row r="1591" s="1" customFormat="1" spans="1:8">
      <c r="A1591" s="4" t="s">
        <v>205</v>
      </c>
      <c r="B1591" s="4" t="s">
        <v>79</v>
      </c>
      <c r="C1591" s="4" t="s">
        <v>82</v>
      </c>
      <c r="D1591" s="11" t="s">
        <v>3358</v>
      </c>
      <c r="E1591" s="4">
        <v>3148806</v>
      </c>
      <c r="F1591" s="11" t="s">
        <v>3359</v>
      </c>
      <c r="G1591" s="4" t="s">
        <v>215</v>
      </c>
      <c r="H1591" s="4"/>
    </row>
    <row r="1592" s="1" customFormat="1" spans="1:8">
      <c r="A1592" s="4" t="s">
        <v>205</v>
      </c>
      <c r="B1592" s="4" t="s">
        <v>79</v>
      </c>
      <c r="C1592" s="4" t="s">
        <v>82</v>
      </c>
      <c r="D1592" s="11" t="s">
        <v>3360</v>
      </c>
      <c r="E1592" s="4">
        <v>3148905</v>
      </c>
      <c r="F1592" s="11" t="s">
        <v>3361</v>
      </c>
      <c r="G1592" s="4" t="s">
        <v>215</v>
      </c>
      <c r="H1592" s="4"/>
    </row>
    <row r="1593" s="1" customFormat="1" spans="1:8">
      <c r="A1593" s="4" t="s">
        <v>205</v>
      </c>
      <c r="B1593" s="4" t="s">
        <v>79</v>
      </c>
      <c r="C1593" s="4" t="s">
        <v>82</v>
      </c>
      <c r="D1593" s="11" t="s">
        <v>3362</v>
      </c>
      <c r="E1593" s="4">
        <v>3149309</v>
      </c>
      <c r="F1593" s="11" t="s">
        <v>3363</v>
      </c>
      <c r="G1593" s="4" t="s">
        <v>215</v>
      </c>
      <c r="H1593" s="4"/>
    </row>
    <row r="1594" s="1" customFormat="1" spans="1:8">
      <c r="A1594" s="4" t="s">
        <v>205</v>
      </c>
      <c r="B1594" s="4" t="s">
        <v>79</v>
      </c>
      <c r="C1594" s="4" t="s">
        <v>82</v>
      </c>
      <c r="D1594" s="11" t="s">
        <v>3364</v>
      </c>
      <c r="E1594" s="4">
        <v>3149408</v>
      </c>
      <c r="F1594" s="11" t="s">
        <v>3365</v>
      </c>
      <c r="G1594" s="4" t="s">
        <v>215</v>
      </c>
      <c r="H1594" s="4"/>
    </row>
    <row r="1595" s="1" customFormat="1" spans="1:8">
      <c r="A1595" s="4" t="s">
        <v>205</v>
      </c>
      <c r="B1595" s="4" t="s">
        <v>79</v>
      </c>
      <c r="C1595" s="4" t="s">
        <v>82</v>
      </c>
      <c r="D1595" s="11" t="s">
        <v>3366</v>
      </c>
      <c r="E1595" s="4">
        <v>3149606</v>
      </c>
      <c r="F1595" s="11" t="s">
        <v>3367</v>
      </c>
      <c r="G1595" s="4" t="s">
        <v>215</v>
      </c>
      <c r="H1595" s="4"/>
    </row>
    <row r="1596" s="1" customFormat="1" spans="1:8">
      <c r="A1596" s="4" t="s">
        <v>205</v>
      </c>
      <c r="B1596" s="4" t="s">
        <v>79</v>
      </c>
      <c r="C1596" s="4" t="s">
        <v>82</v>
      </c>
      <c r="D1596" s="11" t="s">
        <v>3368</v>
      </c>
      <c r="E1596" s="4">
        <v>3149705</v>
      </c>
      <c r="F1596" s="11" t="s">
        <v>3369</v>
      </c>
      <c r="G1596" s="4" t="s">
        <v>215</v>
      </c>
      <c r="H1596" s="4"/>
    </row>
    <row r="1597" s="1" customFormat="1" spans="1:8">
      <c r="A1597" s="4" t="s">
        <v>205</v>
      </c>
      <c r="B1597" s="4" t="s">
        <v>79</v>
      </c>
      <c r="C1597" s="4" t="s">
        <v>82</v>
      </c>
      <c r="D1597" s="11" t="s">
        <v>3370</v>
      </c>
      <c r="E1597" s="4">
        <v>3149903</v>
      </c>
      <c r="F1597" s="11" t="s">
        <v>3371</v>
      </c>
      <c r="G1597" s="4" t="s">
        <v>215</v>
      </c>
      <c r="H1597" s="4"/>
    </row>
    <row r="1598" s="1" customFormat="1" spans="1:8">
      <c r="A1598" s="4" t="s">
        <v>205</v>
      </c>
      <c r="B1598" s="4" t="s">
        <v>79</v>
      </c>
      <c r="C1598" s="4" t="s">
        <v>82</v>
      </c>
      <c r="D1598" s="11" t="s">
        <v>3372</v>
      </c>
      <c r="E1598" s="4">
        <v>3149952</v>
      </c>
      <c r="F1598" s="11" t="s">
        <v>3373</v>
      </c>
      <c r="G1598" s="4" t="s">
        <v>215</v>
      </c>
      <c r="H1598" s="4"/>
    </row>
    <row r="1599" s="1" customFormat="1" spans="1:8">
      <c r="A1599" s="4" t="s">
        <v>205</v>
      </c>
      <c r="B1599" s="4" t="s">
        <v>79</v>
      </c>
      <c r="C1599" s="4" t="s">
        <v>82</v>
      </c>
      <c r="D1599" s="11" t="s">
        <v>3374</v>
      </c>
      <c r="E1599" s="4">
        <v>3150109</v>
      </c>
      <c r="F1599" s="11" t="s">
        <v>3375</v>
      </c>
      <c r="G1599" s="4" t="s">
        <v>215</v>
      </c>
      <c r="H1599" s="4"/>
    </row>
    <row r="1600" s="1" customFormat="1" spans="1:8">
      <c r="A1600" s="4" t="s">
        <v>205</v>
      </c>
      <c r="B1600" s="4" t="s">
        <v>79</v>
      </c>
      <c r="C1600" s="4" t="s">
        <v>82</v>
      </c>
      <c r="D1600" s="11" t="s">
        <v>3376</v>
      </c>
      <c r="E1600" s="4">
        <v>3150208</v>
      </c>
      <c r="F1600" s="11" t="s">
        <v>3377</v>
      </c>
      <c r="G1600" s="4" t="s">
        <v>215</v>
      </c>
      <c r="H1600" s="4"/>
    </row>
    <row r="1601" s="1" customFormat="1" spans="1:8">
      <c r="A1601" s="4" t="s">
        <v>205</v>
      </c>
      <c r="B1601" s="4" t="s">
        <v>79</v>
      </c>
      <c r="C1601" s="4" t="s">
        <v>82</v>
      </c>
      <c r="D1601" s="11" t="s">
        <v>3378</v>
      </c>
      <c r="E1601" s="4">
        <v>3150307</v>
      </c>
      <c r="F1601" s="11" t="s">
        <v>3379</v>
      </c>
      <c r="G1601" s="4" t="s">
        <v>215</v>
      </c>
      <c r="H1601" s="4"/>
    </row>
    <row r="1602" s="1" customFormat="1" spans="1:8">
      <c r="A1602" s="4" t="s">
        <v>205</v>
      </c>
      <c r="B1602" s="4" t="s">
        <v>79</v>
      </c>
      <c r="C1602" s="4" t="s">
        <v>82</v>
      </c>
      <c r="D1602" s="11" t="s">
        <v>3380</v>
      </c>
      <c r="E1602" s="4">
        <v>3150406</v>
      </c>
      <c r="F1602" s="11" t="s">
        <v>3381</v>
      </c>
      <c r="G1602" s="4" t="s">
        <v>215</v>
      </c>
      <c r="H1602" s="4"/>
    </row>
    <row r="1603" s="1" customFormat="1" spans="1:8">
      <c r="A1603" s="4" t="s">
        <v>205</v>
      </c>
      <c r="B1603" s="4" t="s">
        <v>79</v>
      </c>
      <c r="C1603" s="4" t="s">
        <v>82</v>
      </c>
      <c r="D1603" s="11" t="s">
        <v>3382</v>
      </c>
      <c r="E1603" s="4">
        <v>3150505</v>
      </c>
      <c r="F1603" s="11" t="s">
        <v>3383</v>
      </c>
      <c r="G1603" s="4" t="s">
        <v>215</v>
      </c>
      <c r="H1603" s="4"/>
    </row>
    <row r="1604" s="1" customFormat="1" spans="1:8">
      <c r="A1604" s="4" t="s">
        <v>205</v>
      </c>
      <c r="B1604" s="4" t="s">
        <v>79</v>
      </c>
      <c r="C1604" s="4" t="s">
        <v>82</v>
      </c>
      <c r="D1604" s="11" t="s">
        <v>3384</v>
      </c>
      <c r="E1604" s="4">
        <v>3150539</v>
      </c>
      <c r="F1604" s="11" t="s">
        <v>3385</v>
      </c>
      <c r="G1604" s="4" t="s">
        <v>215</v>
      </c>
      <c r="H1604" s="4"/>
    </row>
    <row r="1605" s="1" customFormat="1" spans="1:8">
      <c r="A1605" s="4" t="s">
        <v>205</v>
      </c>
      <c r="B1605" s="4" t="s">
        <v>79</v>
      </c>
      <c r="C1605" s="4" t="s">
        <v>82</v>
      </c>
      <c r="D1605" s="11" t="s">
        <v>3386</v>
      </c>
      <c r="E1605" s="4">
        <v>3150604</v>
      </c>
      <c r="F1605" s="11" t="s">
        <v>3387</v>
      </c>
      <c r="G1605" s="4" t="s">
        <v>215</v>
      </c>
      <c r="H1605" s="4"/>
    </row>
    <row r="1606" s="1" customFormat="1" spans="1:8">
      <c r="A1606" s="4" t="s">
        <v>205</v>
      </c>
      <c r="B1606" s="4" t="s">
        <v>79</v>
      </c>
      <c r="C1606" s="4" t="s">
        <v>82</v>
      </c>
      <c r="D1606" s="11" t="s">
        <v>3388</v>
      </c>
      <c r="E1606" s="4">
        <v>3150802</v>
      </c>
      <c r="F1606" s="11" t="s">
        <v>3389</v>
      </c>
      <c r="G1606" s="4" t="s">
        <v>215</v>
      </c>
      <c r="H1606" s="4"/>
    </row>
    <row r="1607" s="1" customFormat="1" spans="1:8">
      <c r="A1607" s="4" t="s">
        <v>205</v>
      </c>
      <c r="B1607" s="4" t="s">
        <v>79</v>
      </c>
      <c r="C1607" s="4" t="s">
        <v>82</v>
      </c>
      <c r="D1607" s="11" t="s">
        <v>3390</v>
      </c>
      <c r="E1607" s="4">
        <v>3151305</v>
      </c>
      <c r="F1607" s="11" t="s">
        <v>3391</v>
      </c>
      <c r="G1607" s="4" t="s">
        <v>215</v>
      </c>
      <c r="H1607" s="4"/>
    </row>
    <row r="1608" s="1" customFormat="1" spans="1:8">
      <c r="A1608" s="4" t="s">
        <v>205</v>
      </c>
      <c r="B1608" s="4" t="s">
        <v>79</v>
      </c>
      <c r="C1608" s="4" t="s">
        <v>82</v>
      </c>
      <c r="D1608" s="11" t="s">
        <v>3392</v>
      </c>
      <c r="E1608" s="4">
        <v>3151404</v>
      </c>
      <c r="F1608" s="11" t="s">
        <v>3393</v>
      </c>
      <c r="G1608" s="4" t="s">
        <v>215</v>
      </c>
      <c r="H1608" s="4"/>
    </row>
    <row r="1609" s="1" customFormat="1" spans="1:8">
      <c r="A1609" s="4" t="s">
        <v>205</v>
      </c>
      <c r="B1609" s="4" t="s">
        <v>79</v>
      </c>
      <c r="C1609" s="4" t="s">
        <v>82</v>
      </c>
      <c r="D1609" s="11" t="s">
        <v>3394</v>
      </c>
      <c r="E1609" s="4">
        <v>3151503</v>
      </c>
      <c r="F1609" s="11" t="s">
        <v>3395</v>
      </c>
      <c r="G1609" s="4" t="s">
        <v>215</v>
      </c>
      <c r="H1609" s="4"/>
    </row>
    <row r="1610" s="1" customFormat="1" spans="1:8">
      <c r="A1610" s="4" t="s">
        <v>205</v>
      </c>
      <c r="B1610" s="4" t="s">
        <v>79</v>
      </c>
      <c r="C1610" s="4" t="s">
        <v>82</v>
      </c>
      <c r="D1610" s="11" t="s">
        <v>3396</v>
      </c>
      <c r="E1610" s="4">
        <v>3152006</v>
      </c>
      <c r="F1610" s="11" t="s">
        <v>3397</v>
      </c>
      <c r="G1610" s="4" t="s">
        <v>215</v>
      </c>
      <c r="H1610" s="4"/>
    </row>
    <row r="1611" s="1" customFormat="1" spans="1:8">
      <c r="A1611" s="4" t="s">
        <v>205</v>
      </c>
      <c r="B1611" s="4" t="s">
        <v>79</v>
      </c>
      <c r="C1611" s="4" t="s">
        <v>82</v>
      </c>
      <c r="D1611" s="11" t="s">
        <v>3398</v>
      </c>
      <c r="E1611" s="4">
        <v>3152105</v>
      </c>
      <c r="F1611" s="11" t="s">
        <v>3399</v>
      </c>
      <c r="G1611" s="4" t="s">
        <v>215</v>
      </c>
      <c r="H1611" s="4"/>
    </row>
    <row r="1612" s="1" customFormat="1" spans="1:8">
      <c r="A1612" s="4" t="s">
        <v>205</v>
      </c>
      <c r="B1612" s="4" t="s">
        <v>79</v>
      </c>
      <c r="C1612" s="4" t="s">
        <v>82</v>
      </c>
      <c r="D1612" s="11" t="s">
        <v>3400</v>
      </c>
      <c r="E1612" s="4">
        <v>3152303</v>
      </c>
      <c r="F1612" s="11" t="s">
        <v>3401</v>
      </c>
      <c r="G1612" s="4" t="s">
        <v>215</v>
      </c>
      <c r="H1612" s="4"/>
    </row>
    <row r="1613" s="1" customFormat="1" spans="1:8">
      <c r="A1613" s="4" t="s">
        <v>205</v>
      </c>
      <c r="B1613" s="4" t="s">
        <v>79</v>
      </c>
      <c r="C1613" s="4" t="s">
        <v>82</v>
      </c>
      <c r="D1613" s="11" t="s">
        <v>3402</v>
      </c>
      <c r="E1613" s="4">
        <v>3152709</v>
      </c>
      <c r="F1613" s="11" t="s">
        <v>3403</v>
      </c>
      <c r="G1613" s="4" t="s">
        <v>215</v>
      </c>
      <c r="H1613" s="4"/>
    </row>
    <row r="1614" s="1" customFormat="1" spans="1:8">
      <c r="A1614" s="4" t="s">
        <v>205</v>
      </c>
      <c r="B1614" s="4" t="s">
        <v>79</v>
      </c>
      <c r="C1614" s="4" t="s">
        <v>82</v>
      </c>
      <c r="D1614" s="11" t="s">
        <v>3404</v>
      </c>
      <c r="E1614" s="4">
        <v>3153103</v>
      </c>
      <c r="F1614" s="11" t="s">
        <v>3405</v>
      </c>
      <c r="G1614" s="4" t="s">
        <v>215</v>
      </c>
      <c r="H1614" s="4"/>
    </row>
    <row r="1615" s="1" customFormat="1" spans="1:8">
      <c r="A1615" s="4" t="s">
        <v>205</v>
      </c>
      <c r="B1615" s="4" t="s">
        <v>79</v>
      </c>
      <c r="C1615" s="4" t="s">
        <v>82</v>
      </c>
      <c r="D1615" s="11" t="s">
        <v>2537</v>
      </c>
      <c r="E1615" s="4">
        <v>3153202</v>
      </c>
      <c r="F1615" s="11" t="s">
        <v>3406</v>
      </c>
      <c r="G1615" s="4" t="s">
        <v>215</v>
      </c>
      <c r="H1615" s="4"/>
    </row>
    <row r="1616" s="1" customFormat="1" spans="1:8">
      <c r="A1616" s="4" t="s">
        <v>205</v>
      </c>
      <c r="B1616" s="4" t="s">
        <v>79</v>
      </c>
      <c r="C1616" s="4" t="s">
        <v>82</v>
      </c>
      <c r="D1616" s="11" t="s">
        <v>3407</v>
      </c>
      <c r="E1616" s="4">
        <v>3153608</v>
      </c>
      <c r="F1616" s="11" t="s">
        <v>3408</v>
      </c>
      <c r="G1616" s="4" t="s">
        <v>215</v>
      </c>
      <c r="H1616" s="4"/>
    </row>
    <row r="1617" s="1" customFormat="1" spans="1:8">
      <c r="A1617" s="4" t="s">
        <v>205</v>
      </c>
      <c r="B1617" s="4" t="s">
        <v>79</v>
      </c>
      <c r="C1617" s="4" t="s">
        <v>82</v>
      </c>
      <c r="D1617" s="11" t="s">
        <v>3409</v>
      </c>
      <c r="E1617" s="4">
        <v>3153707</v>
      </c>
      <c r="F1617" s="11" t="s">
        <v>3410</v>
      </c>
      <c r="G1617" s="4" t="s">
        <v>215</v>
      </c>
      <c r="H1617" s="4"/>
    </row>
    <row r="1618" s="1" customFormat="1" spans="1:8">
      <c r="A1618" s="4" t="s">
        <v>205</v>
      </c>
      <c r="B1618" s="4" t="s">
        <v>79</v>
      </c>
      <c r="C1618" s="4" t="s">
        <v>82</v>
      </c>
      <c r="D1618" s="11" t="s">
        <v>3411</v>
      </c>
      <c r="E1618" s="4">
        <v>3153806</v>
      </c>
      <c r="F1618" s="11" t="s">
        <v>3412</v>
      </c>
      <c r="G1618" s="4" t="s">
        <v>215</v>
      </c>
      <c r="H1618" s="4"/>
    </row>
    <row r="1619" s="1" customFormat="1" spans="1:8">
      <c r="A1619" s="4" t="s">
        <v>205</v>
      </c>
      <c r="B1619" s="4" t="s">
        <v>79</v>
      </c>
      <c r="C1619" s="4" t="s">
        <v>82</v>
      </c>
      <c r="D1619" s="11" t="s">
        <v>3413</v>
      </c>
      <c r="E1619" s="4">
        <v>3154002</v>
      </c>
      <c r="F1619" s="11" t="s">
        <v>3414</v>
      </c>
      <c r="G1619" s="4" t="s">
        <v>215</v>
      </c>
      <c r="H1619" s="4"/>
    </row>
    <row r="1620" s="1" customFormat="1" spans="1:8">
      <c r="A1620" s="4" t="s">
        <v>205</v>
      </c>
      <c r="B1620" s="4" t="s">
        <v>79</v>
      </c>
      <c r="C1620" s="4" t="s">
        <v>82</v>
      </c>
      <c r="D1620" s="11" t="s">
        <v>3415</v>
      </c>
      <c r="E1620" s="4">
        <v>3154150</v>
      </c>
      <c r="F1620" s="11" t="s">
        <v>3416</v>
      </c>
      <c r="G1620" s="4" t="s">
        <v>215</v>
      </c>
      <c r="H1620" s="4"/>
    </row>
    <row r="1621" s="1" customFormat="1" spans="1:8">
      <c r="A1621" s="4" t="s">
        <v>205</v>
      </c>
      <c r="B1621" s="4" t="s">
        <v>79</v>
      </c>
      <c r="C1621" s="4" t="s">
        <v>82</v>
      </c>
      <c r="D1621" s="11" t="s">
        <v>3417</v>
      </c>
      <c r="E1621" s="4">
        <v>3154200</v>
      </c>
      <c r="F1621" s="11" t="s">
        <v>3418</v>
      </c>
      <c r="G1621" s="4" t="s">
        <v>215</v>
      </c>
      <c r="H1621" s="4"/>
    </row>
    <row r="1622" s="1" customFormat="1" spans="1:8">
      <c r="A1622" s="4" t="s">
        <v>205</v>
      </c>
      <c r="B1622" s="4" t="s">
        <v>79</v>
      </c>
      <c r="C1622" s="4" t="s">
        <v>82</v>
      </c>
      <c r="D1622" s="11" t="s">
        <v>3419</v>
      </c>
      <c r="E1622" s="4">
        <v>3154408</v>
      </c>
      <c r="F1622" s="11" t="s">
        <v>3420</v>
      </c>
      <c r="G1622" s="4" t="s">
        <v>215</v>
      </c>
      <c r="H1622" s="4"/>
    </row>
    <row r="1623" s="1" customFormat="1" spans="1:8">
      <c r="A1623" s="4" t="s">
        <v>205</v>
      </c>
      <c r="B1623" s="4" t="s">
        <v>79</v>
      </c>
      <c r="C1623" s="4" t="s">
        <v>82</v>
      </c>
      <c r="D1623" s="11" t="s">
        <v>3421</v>
      </c>
      <c r="E1623" s="4">
        <v>3154705</v>
      </c>
      <c r="F1623" s="11" t="s">
        <v>3422</v>
      </c>
      <c r="G1623" s="4" t="s">
        <v>215</v>
      </c>
      <c r="H1623" s="4"/>
    </row>
    <row r="1624" s="1" customFormat="1" spans="1:8">
      <c r="A1624" s="4" t="s">
        <v>205</v>
      </c>
      <c r="B1624" s="4" t="s">
        <v>79</v>
      </c>
      <c r="C1624" s="4" t="s">
        <v>82</v>
      </c>
      <c r="D1624" s="11" t="s">
        <v>3423</v>
      </c>
      <c r="E1624" s="4">
        <v>3154903</v>
      </c>
      <c r="F1624" s="11" t="s">
        <v>3424</v>
      </c>
      <c r="G1624" s="4" t="s">
        <v>215</v>
      </c>
      <c r="H1624" s="4"/>
    </row>
    <row r="1625" s="1" customFormat="1" spans="1:8">
      <c r="A1625" s="4" t="s">
        <v>205</v>
      </c>
      <c r="B1625" s="4" t="s">
        <v>79</v>
      </c>
      <c r="C1625" s="4" t="s">
        <v>82</v>
      </c>
      <c r="D1625" s="11" t="s">
        <v>3425</v>
      </c>
      <c r="E1625" s="4">
        <v>3155009</v>
      </c>
      <c r="F1625" s="11" t="s">
        <v>3426</v>
      </c>
      <c r="G1625" s="4" t="s">
        <v>215</v>
      </c>
      <c r="H1625" s="4"/>
    </row>
    <row r="1626" s="1" customFormat="1" spans="1:8">
      <c r="A1626" s="4" t="s">
        <v>205</v>
      </c>
      <c r="B1626" s="4" t="s">
        <v>79</v>
      </c>
      <c r="C1626" s="4" t="s">
        <v>82</v>
      </c>
      <c r="D1626" s="11" t="s">
        <v>3427</v>
      </c>
      <c r="E1626" s="4">
        <v>3155207</v>
      </c>
      <c r="F1626" s="11" t="s">
        <v>3428</v>
      </c>
      <c r="G1626" s="4" t="s">
        <v>215</v>
      </c>
      <c r="H1626" s="4"/>
    </row>
    <row r="1627" s="1" customFormat="1" spans="1:8">
      <c r="A1627" s="4" t="s">
        <v>205</v>
      </c>
      <c r="B1627" s="4" t="s">
        <v>79</v>
      </c>
      <c r="C1627" s="4" t="s">
        <v>82</v>
      </c>
      <c r="D1627" s="11" t="s">
        <v>3429</v>
      </c>
      <c r="E1627" s="4">
        <v>3155306</v>
      </c>
      <c r="F1627" s="11" t="s">
        <v>3430</v>
      </c>
      <c r="G1627" s="4" t="s">
        <v>215</v>
      </c>
      <c r="H1627" s="4"/>
    </row>
    <row r="1628" s="1" customFormat="1" spans="1:8">
      <c r="A1628" s="4" t="s">
        <v>205</v>
      </c>
      <c r="B1628" s="4" t="s">
        <v>79</v>
      </c>
      <c r="C1628" s="4" t="s">
        <v>82</v>
      </c>
      <c r="D1628" s="11" t="s">
        <v>3431</v>
      </c>
      <c r="E1628" s="4">
        <v>3155405</v>
      </c>
      <c r="F1628" s="11" t="s">
        <v>3432</v>
      </c>
      <c r="G1628" s="4" t="s">
        <v>215</v>
      </c>
      <c r="H1628" s="4"/>
    </row>
    <row r="1629" s="1" customFormat="1" spans="1:8">
      <c r="A1629" s="4" t="s">
        <v>205</v>
      </c>
      <c r="B1629" s="4" t="s">
        <v>79</v>
      </c>
      <c r="C1629" s="4" t="s">
        <v>82</v>
      </c>
      <c r="D1629" s="11" t="s">
        <v>3433</v>
      </c>
      <c r="E1629" s="4">
        <v>3155702</v>
      </c>
      <c r="F1629" s="11" t="s">
        <v>3434</v>
      </c>
      <c r="G1629" s="4" t="s">
        <v>215</v>
      </c>
      <c r="H1629" s="4"/>
    </row>
    <row r="1630" s="1" customFormat="1" spans="1:8">
      <c r="A1630" s="4" t="s">
        <v>205</v>
      </c>
      <c r="B1630" s="4" t="s">
        <v>79</v>
      </c>
      <c r="C1630" s="4" t="s">
        <v>82</v>
      </c>
      <c r="D1630" s="11" t="s">
        <v>3435</v>
      </c>
      <c r="E1630" s="4">
        <v>3155801</v>
      </c>
      <c r="F1630" s="11" t="s">
        <v>3436</v>
      </c>
      <c r="G1630" s="4" t="s">
        <v>215</v>
      </c>
      <c r="H1630" s="4"/>
    </row>
    <row r="1631" s="1" customFormat="1" spans="1:8">
      <c r="A1631" s="4" t="s">
        <v>205</v>
      </c>
      <c r="B1631" s="4" t="s">
        <v>79</v>
      </c>
      <c r="C1631" s="4" t="s">
        <v>82</v>
      </c>
      <c r="D1631" s="11" t="s">
        <v>3437</v>
      </c>
      <c r="E1631" s="4">
        <v>3156106</v>
      </c>
      <c r="F1631" s="11" t="s">
        <v>3438</v>
      </c>
      <c r="G1631" s="4" t="s">
        <v>215</v>
      </c>
      <c r="H1631" s="4"/>
    </row>
    <row r="1632" s="1" customFormat="1" spans="1:8">
      <c r="A1632" s="4" t="s">
        <v>205</v>
      </c>
      <c r="B1632" s="4" t="s">
        <v>79</v>
      </c>
      <c r="C1632" s="4" t="s">
        <v>82</v>
      </c>
      <c r="D1632" s="11" t="s">
        <v>3439</v>
      </c>
      <c r="E1632" s="4">
        <v>3156304</v>
      </c>
      <c r="F1632" s="11" t="s">
        <v>3440</v>
      </c>
      <c r="G1632" s="4" t="s">
        <v>215</v>
      </c>
      <c r="H1632" s="4"/>
    </row>
    <row r="1633" s="1" customFormat="1" spans="1:8">
      <c r="A1633" s="4" t="s">
        <v>205</v>
      </c>
      <c r="B1633" s="4" t="s">
        <v>79</v>
      </c>
      <c r="C1633" s="4" t="s">
        <v>82</v>
      </c>
      <c r="D1633" s="11" t="s">
        <v>3441</v>
      </c>
      <c r="E1633" s="4">
        <v>3156452</v>
      </c>
      <c r="F1633" s="11" t="s">
        <v>3442</v>
      </c>
      <c r="G1633" s="4" t="s">
        <v>215</v>
      </c>
      <c r="H1633" s="4"/>
    </row>
    <row r="1634" s="1" customFormat="1" spans="1:8">
      <c r="A1634" s="4" t="s">
        <v>205</v>
      </c>
      <c r="B1634" s="4" t="s">
        <v>79</v>
      </c>
      <c r="C1634" s="4" t="s">
        <v>82</v>
      </c>
      <c r="D1634" s="11" t="s">
        <v>3443</v>
      </c>
      <c r="E1634" s="4">
        <v>3156809</v>
      </c>
      <c r="F1634" s="11" t="s">
        <v>3444</v>
      </c>
      <c r="G1634" s="4" t="s">
        <v>215</v>
      </c>
      <c r="H1634" s="4"/>
    </row>
    <row r="1635" s="1" customFormat="1" spans="1:8">
      <c r="A1635" s="4" t="s">
        <v>205</v>
      </c>
      <c r="B1635" s="4" t="s">
        <v>79</v>
      </c>
      <c r="C1635" s="4" t="s">
        <v>82</v>
      </c>
      <c r="D1635" s="11" t="s">
        <v>823</v>
      </c>
      <c r="E1635" s="4">
        <v>3157203</v>
      </c>
      <c r="F1635" s="11" t="s">
        <v>3445</v>
      </c>
      <c r="G1635" s="4" t="s">
        <v>215</v>
      </c>
      <c r="H1635" s="4"/>
    </row>
    <row r="1636" s="1" customFormat="1" spans="1:8">
      <c r="A1636" s="4" t="s">
        <v>205</v>
      </c>
      <c r="B1636" s="4" t="s">
        <v>79</v>
      </c>
      <c r="C1636" s="4" t="s">
        <v>82</v>
      </c>
      <c r="D1636" s="11" t="s">
        <v>3446</v>
      </c>
      <c r="E1636" s="4">
        <v>3157302</v>
      </c>
      <c r="F1636" s="11" t="s">
        <v>3447</v>
      </c>
      <c r="G1636" s="4" t="s">
        <v>215</v>
      </c>
      <c r="H1636" s="4"/>
    </row>
    <row r="1637" s="1" customFormat="1" spans="1:8">
      <c r="A1637" s="4" t="s">
        <v>205</v>
      </c>
      <c r="B1637" s="4" t="s">
        <v>79</v>
      </c>
      <c r="C1637" s="4" t="s">
        <v>82</v>
      </c>
      <c r="D1637" s="11" t="s">
        <v>3448</v>
      </c>
      <c r="E1637" s="4">
        <v>3157336</v>
      </c>
      <c r="F1637" s="11" t="s">
        <v>3449</v>
      </c>
      <c r="G1637" s="4" t="s">
        <v>215</v>
      </c>
      <c r="H1637" s="4"/>
    </row>
    <row r="1638" s="1" customFormat="1" spans="1:8">
      <c r="A1638" s="4" t="s">
        <v>205</v>
      </c>
      <c r="B1638" s="4" t="s">
        <v>79</v>
      </c>
      <c r="C1638" s="4" t="s">
        <v>82</v>
      </c>
      <c r="D1638" s="11" t="s">
        <v>3450</v>
      </c>
      <c r="E1638" s="4">
        <v>3157401</v>
      </c>
      <c r="F1638" s="11" t="s">
        <v>3451</v>
      </c>
      <c r="G1638" s="4" t="s">
        <v>215</v>
      </c>
      <c r="H1638" s="4"/>
    </row>
    <row r="1639" s="1" customFormat="1" spans="1:8">
      <c r="A1639" s="4" t="s">
        <v>205</v>
      </c>
      <c r="B1639" s="4" t="s">
        <v>79</v>
      </c>
      <c r="C1639" s="4" t="s">
        <v>82</v>
      </c>
      <c r="D1639" s="11" t="s">
        <v>3452</v>
      </c>
      <c r="E1639" s="4">
        <v>3157906</v>
      </c>
      <c r="F1639" s="11" t="s">
        <v>3453</v>
      </c>
      <c r="G1639" s="4" t="s">
        <v>215</v>
      </c>
      <c r="H1639" s="4"/>
    </row>
    <row r="1640" s="1" customFormat="1" spans="1:8">
      <c r="A1640" s="4" t="s">
        <v>205</v>
      </c>
      <c r="B1640" s="4" t="s">
        <v>79</v>
      </c>
      <c r="C1640" s="4" t="s">
        <v>82</v>
      </c>
      <c r="D1640" s="11" t="s">
        <v>3454</v>
      </c>
      <c r="E1640" s="4">
        <v>3158003</v>
      </c>
      <c r="F1640" s="11" t="s">
        <v>3455</v>
      </c>
      <c r="G1640" s="4" t="s">
        <v>215</v>
      </c>
      <c r="H1640" s="4"/>
    </row>
    <row r="1641" s="1" customFormat="1" spans="1:8">
      <c r="A1641" s="4" t="s">
        <v>205</v>
      </c>
      <c r="B1641" s="4" t="s">
        <v>79</v>
      </c>
      <c r="C1641" s="4" t="s">
        <v>82</v>
      </c>
      <c r="D1641" s="11" t="s">
        <v>3456</v>
      </c>
      <c r="E1641" s="4">
        <v>3159407</v>
      </c>
      <c r="F1641" s="11" t="s">
        <v>3457</v>
      </c>
      <c r="G1641" s="4" t="s">
        <v>215</v>
      </c>
      <c r="H1641" s="4"/>
    </row>
    <row r="1642" s="1" customFormat="1" spans="1:8">
      <c r="A1642" s="4" t="s">
        <v>205</v>
      </c>
      <c r="B1642" s="4" t="s">
        <v>79</v>
      </c>
      <c r="C1642" s="4" t="s">
        <v>82</v>
      </c>
      <c r="D1642" s="11" t="s">
        <v>3458</v>
      </c>
      <c r="E1642" s="4">
        <v>3159704</v>
      </c>
      <c r="F1642" s="11" t="s">
        <v>3459</v>
      </c>
      <c r="G1642" s="4" t="s">
        <v>215</v>
      </c>
      <c r="H1642" s="4"/>
    </row>
    <row r="1643" s="1" customFormat="1" spans="1:8">
      <c r="A1643" s="4" t="s">
        <v>205</v>
      </c>
      <c r="B1643" s="4" t="s">
        <v>79</v>
      </c>
      <c r="C1643" s="4" t="s">
        <v>82</v>
      </c>
      <c r="D1643" s="11" t="s">
        <v>3460</v>
      </c>
      <c r="E1643" s="4">
        <v>3158300</v>
      </c>
      <c r="F1643" s="11" t="s">
        <v>3461</v>
      </c>
      <c r="G1643" s="4" t="s">
        <v>215</v>
      </c>
      <c r="H1643" s="4"/>
    </row>
    <row r="1644" s="1" customFormat="1" spans="1:8">
      <c r="A1644" s="4" t="s">
        <v>205</v>
      </c>
      <c r="B1644" s="4" t="s">
        <v>79</v>
      </c>
      <c r="C1644" s="4" t="s">
        <v>82</v>
      </c>
      <c r="D1644" s="11" t="s">
        <v>3462</v>
      </c>
      <c r="E1644" s="4">
        <v>3158508</v>
      </c>
      <c r="F1644" s="11" t="s">
        <v>3463</v>
      </c>
      <c r="G1644" s="4" t="s">
        <v>215</v>
      </c>
      <c r="H1644" s="4"/>
    </row>
    <row r="1645" s="1" customFormat="1" spans="1:8">
      <c r="A1645" s="4" t="s">
        <v>205</v>
      </c>
      <c r="B1645" s="4" t="s">
        <v>79</v>
      </c>
      <c r="C1645" s="4" t="s">
        <v>82</v>
      </c>
      <c r="D1645" s="11" t="s">
        <v>3464</v>
      </c>
      <c r="E1645" s="4">
        <v>3158706</v>
      </c>
      <c r="F1645" s="11" t="s">
        <v>3465</v>
      </c>
      <c r="G1645" s="4" t="s">
        <v>215</v>
      </c>
      <c r="H1645" s="4"/>
    </row>
    <row r="1646" s="1" customFormat="1" spans="1:8">
      <c r="A1646" s="4" t="s">
        <v>205</v>
      </c>
      <c r="B1646" s="4" t="s">
        <v>79</v>
      </c>
      <c r="C1646" s="4" t="s">
        <v>82</v>
      </c>
      <c r="D1646" s="11" t="s">
        <v>3466</v>
      </c>
      <c r="E1646" s="4">
        <v>3158805</v>
      </c>
      <c r="F1646" s="11" t="s">
        <v>3467</v>
      </c>
      <c r="G1646" s="4" t="s">
        <v>215</v>
      </c>
      <c r="H1646" s="4"/>
    </row>
    <row r="1647" s="1" customFormat="1" spans="1:8">
      <c r="A1647" s="4" t="s">
        <v>205</v>
      </c>
      <c r="B1647" s="4" t="s">
        <v>79</v>
      </c>
      <c r="C1647" s="4" t="s">
        <v>82</v>
      </c>
      <c r="D1647" s="11" t="s">
        <v>3468</v>
      </c>
      <c r="E1647" s="4">
        <v>3158953</v>
      </c>
      <c r="F1647" s="11" t="s">
        <v>3469</v>
      </c>
      <c r="G1647" s="4" t="s">
        <v>215</v>
      </c>
      <c r="H1647" s="4"/>
    </row>
    <row r="1648" s="1" customFormat="1" spans="1:8">
      <c r="A1648" s="4" t="s">
        <v>205</v>
      </c>
      <c r="B1648" s="4" t="s">
        <v>79</v>
      </c>
      <c r="C1648" s="4" t="s">
        <v>82</v>
      </c>
      <c r="D1648" s="11" t="s">
        <v>3470</v>
      </c>
      <c r="E1648" s="4">
        <v>3159001</v>
      </c>
      <c r="F1648" s="11" t="s">
        <v>3471</v>
      </c>
      <c r="G1648" s="4" t="s">
        <v>215</v>
      </c>
      <c r="H1648" s="4"/>
    </row>
    <row r="1649" s="1" customFormat="1" spans="1:8">
      <c r="A1649" s="4" t="s">
        <v>205</v>
      </c>
      <c r="B1649" s="4" t="s">
        <v>79</v>
      </c>
      <c r="C1649" s="4" t="s">
        <v>82</v>
      </c>
      <c r="D1649" s="11" t="s">
        <v>3472</v>
      </c>
      <c r="E1649" s="4">
        <v>3159100</v>
      </c>
      <c r="F1649" s="11" t="s">
        <v>3473</v>
      </c>
      <c r="G1649" s="4" t="s">
        <v>215</v>
      </c>
      <c r="H1649" s="4"/>
    </row>
    <row r="1650" s="1" customFormat="1" spans="1:8">
      <c r="A1650" s="4" t="s">
        <v>205</v>
      </c>
      <c r="B1650" s="4" t="s">
        <v>79</v>
      </c>
      <c r="C1650" s="4" t="s">
        <v>82</v>
      </c>
      <c r="D1650" s="11" t="s">
        <v>3474</v>
      </c>
      <c r="E1650" s="4">
        <v>3159902</v>
      </c>
      <c r="F1650" s="11" t="s">
        <v>3475</v>
      </c>
      <c r="G1650" s="4" t="s">
        <v>215</v>
      </c>
      <c r="H1650" s="4"/>
    </row>
    <row r="1651" s="1" customFormat="1" spans="1:8">
      <c r="A1651" s="4" t="s">
        <v>205</v>
      </c>
      <c r="B1651" s="4" t="s">
        <v>79</v>
      </c>
      <c r="C1651" s="4" t="s">
        <v>82</v>
      </c>
      <c r="D1651" s="11" t="s">
        <v>3476</v>
      </c>
      <c r="E1651" s="4">
        <v>3160108</v>
      </c>
      <c r="F1651" s="11" t="s">
        <v>3477</v>
      </c>
      <c r="G1651" s="4" t="s">
        <v>215</v>
      </c>
      <c r="H1651" s="4"/>
    </row>
    <row r="1652" s="1" customFormat="1" spans="1:8">
      <c r="A1652" s="4" t="s">
        <v>205</v>
      </c>
      <c r="B1652" s="4" t="s">
        <v>79</v>
      </c>
      <c r="C1652" s="4" t="s">
        <v>82</v>
      </c>
      <c r="D1652" s="11" t="s">
        <v>3478</v>
      </c>
      <c r="E1652" s="4">
        <v>3160207</v>
      </c>
      <c r="F1652" s="11" t="s">
        <v>3479</v>
      </c>
      <c r="G1652" s="4" t="s">
        <v>215</v>
      </c>
      <c r="H1652" s="4"/>
    </row>
    <row r="1653" s="1" customFormat="1" spans="1:8">
      <c r="A1653" s="4" t="s">
        <v>205</v>
      </c>
      <c r="B1653" s="4" t="s">
        <v>79</v>
      </c>
      <c r="C1653" s="4" t="s">
        <v>82</v>
      </c>
      <c r="D1653" s="11" t="s">
        <v>3480</v>
      </c>
      <c r="E1653" s="4">
        <v>3160405</v>
      </c>
      <c r="F1653" s="11" t="s">
        <v>3481</v>
      </c>
      <c r="G1653" s="4" t="s">
        <v>215</v>
      </c>
      <c r="H1653" s="4"/>
    </row>
    <row r="1654" s="1" customFormat="1" spans="1:8">
      <c r="A1654" s="4" t="s">
        <v>205</v>
      </c>
      <c r="B1654" s="4" t="s">
        <v>79</v>
      </c>
      <c r="C1654" s="4" t="s">
        <v>82</v>
      </c>
      <c r="D1654" s="11" t="s">
        <v>3482</v>
      </c>
      <c r="E1654" s="4">
        <v>3160504</v>
      </c>
      <c r="F1654" s="11" t="s">
        <v>3483</v>
      </c>
      <c r="G1654" s="4" t="s">
        <v>215</v>
      </c>
      <c r="H1654" s="4"/>
    </row>
    <row r="1655" s="1" customFormat="1" spans="1:8">
      <c r="A1655" s="4" t="s">
        <v>205</v>
      </c>
      <c r="B1655" s="4" t="s">
        <v>79</v>
      </c>
      <c r="C1655" s="4" t="s">
        <v>82</v>
      </c>
      <c r="D1655" s="11" t="s">
        <v>3484</v>
      </c>
      <c r="E1655" s="4">
        <v>3160603</v>
      </c>
      <c r="F1655" s="11" t="s">
        <v>3485</v>
      </c>
      <c r="G1655" s="4" t="s">
        <v>215</v>
      </c>
      <c r="H1655" s="4"/>
    </row>
    <row r="1656" s="1" customFormat="1" spans="1:8">
      <c r="A1656" s="4" t="s">
        <v>205</v>
      </c>
      <c r="B1656" s="4" t="s">
        <v>79</v>
      </c>
      <c r="C1656" s="4" t="s">
        <v>82</v>
      </c>
      <c r="D1656" s="11" t="s">
        <v>3486</v>
      </c>
      <c r="E1656" s="4">
        <v>3160702</v>
      </c>
      <c r="F1656" s="11" t="s">
        <v>3487</v>
      </c>
      <c r="G1656" s="4" t="s">
        <v>215</v>
      </c>
      <c r="H1656" s="4"/>
    </row>
    <row r="1657" s="1" customFormat="1" spans="1:8">
      <c r="A1657" s="4" t="s">
        <v>205</v>
      </c>
      <c r="B1657" s="4" t="s">
        <v>79</v>
      </c>
      <c r="C1657" s="4" t="s">
        <v>82</v>
      </c>
      <c r="D1657" s="11" t="s">
        <v>3488</v>
      </c>
      <c r="E1657" s="4">
        <v>3165560</v>
      </c>
      <c r="F1657" s="11" t="s">
        <v>3489</v>
      </c>
      <c r="G1657" s="4" t="s">
        <v>215</v>
      </c>
      <c r="H1657" s="4"/>
    </row>
    <row r="1658" s="1" customFormat="1" spans="1:8">
      <c r="A1658" s="4" t="s">
        <v>205</v>
      </c>
      <c r="B1658" s="4" t="s">
        <v>79</v>
      </c>
      <c r="C1658" s="4" t="s">
        <v>82</v>
      </c>
      <c r="D1658" s="11" t="s">
        <v>3490</v>
      </c>
      <c r="E1658" s="4">
        <v>3165701</v>
      </c>
      <c r="F1658" s="11" t="s">
        <v>3491</v>
      </c>
      <c r="G1658" s="4" t="s">
        <v>215</v>
      </c>
      <c r="H1658" s="4"/>
    </row>
    <row r="1659" s="1" customFormat="1" spans="1:8">
      <c r="A1659" s="4" t="s">
        <v>205</v>
      </c>
      <c r="B1659" s="4" t="s">
        <v>79</v>
      </c>
      <c r="C1659" s="4" t="s">
        <v>82</v>
      </c>
      <c r="D1659" s="11" t="s">
        <v>3492</v>
      </c>
      <c r="E1659" s="4">
        <v>3166006</v>
      </c>
      <c r="F1659" s="11" t="s">
        <v>3493</v>
      </c>
      <c r="G1659" s="4" t="s">
        <v>215</v>
      </c>
      <c r="H1659" s="4"/>
    </row>
    <row r="1660" s="1" customFormat="1" spans="1:8">
      <c r="A1660" s="4" t="s">
        <v>205</v>
      </c>
      <c r="B1660" s="4" t="s">
        <v>79</v>
      </c>
      <c r="C1660" s="4" t="s">
        <v>82</v>
      </c>
      <c r="D1660" s="11" t="s">
        <v>3494</v>
      </c>
      <c r="E1660" s="4">
        <v>3166105</v>
      </c>
      <c r="F1660" s="11" t="s">
        <v>3495</v>
      </c>
      <c r="G1660" s="4" t="s">
        <v>215</v>
      </c>
      <c r="H1660" s="4"/>
    </row>
    <row r="1661" s="1" customFormat="1" spans="1:8">
      <c r="A1661" s="4" t="s">
        <v>205</v>
      </c>
      <c r="B1661" s="4" t="s">
        <v>79</v>
      </c>
      <c r="C1661" s="4" t="s">
        <v>82</v>
      </c>
      <c r="D1661" s="11" t="s">
        <v>3496</v>
      </c>
      <c r="E1661" s="4">
        <v>3166204</v>
      </c>
      <c r="F1661" s="11" t="s">
        <v>3497</v>
      </c>
      <c r="G1661" s="4" t="s">
        <v>215</v>
      </c>
      <c r="H1661" s="4"/>
    </row>
    <row r="1662" s="1" customFormat="1" spans="1:8">
      <c r="A1662" s="4" t="s">
        <v>205</v>
      </c>
      <c r="B1662" s="4" t="s">
        <v>79</v>
      </c>
      <c r="C1662" s="4" t="s">
        <v>82</v>
      </c>
      <c r="D1662" s="11" t="s">
        <v>3498</v>
      </c>
      <c r="E1662" s="4">
        <v>3166303</v>
      </c>
      <c r="F1662" s="11" t="s">
        <v>3499</v>
      </c>
      <c r="G1662" s="4" t="s">
        <v>215</v>
      </c>
      <c r="H1662" s="4"/>
    </row>
    <row r="1663" s="1" customFormat="1" spans="1:8">
      <c r="A1663" s="4" t="s">
        <v>205</v>
      </c>
      <c r="B1663" s="4" t="s">
        <v>79</v>
      </c>
      <c r="C1663" s="4" t="s">
        <v>82</v>
      </c>
      <c r="D1663" s="11" t="s">
        <v>3500</v>
      </c>
      <c r="E1663" s="4">
        <v>3166501</v>
      </c>
      <c r="F1663" s="11" t="s">
        <v>3501</v>
      </c>
      <c r="G1663" s="4" t="s">
        <v>215</v>
      </c>
      <c r="H1663" s="4"/>
    </row>
    <row r="1664" s="1" customFormat="1" spans="1:8">
      <c r="A1664" s="4" t="s">
        <v>205</v>
      </c>
      <c r="B1664" s="4" t="s">
        <v>79</v>
      </c>
      <c r="C1664" s="4" t="s">
        <v>82</v>
      </c>
      <c r="D1664" s="11" t="s">
        <v>3502</v>
      </c>
      <c r="E1664" s="4">
        <v>3166600</v>
      </c>
      <c r="F1664" s="11" t="s">
        <v>3503</v>
      </c>
      <c r="G1664" s="4" t="s">
        <v>215</v>
      </c>
      <c r="H1664" s="4"/>
    </row>
    <row r="1665" s="1" customFormat="1" spans="1:8">
      <c r="A1665" s="4" t="s">
        <v>205</v>
      </c>
      <c r="B1665" s="4" t="s">
        <v>79</v>
      </c>
      <c r="C1665" s="4" t="s">
        <v>82</v>
      </c>
      <c r="D1665" s="11" t="s">
        <v>3504</v>
      </c>
      <c r="E1665" s="4">
        <v>3167103</v>
      </c>
      <c r="F1665" s="11" t="s">
        <v>3505</v>
      </c>
      <c r="G1665" s="4" t="s">
        <v>215</v>
      </c>
      <c r="H1665" s="4"/>
    </row>
    <row r="1666" s="1" customFormat="1" spans="1:8">
      <c r="A1666" s="4" t="s">
        <v>205</v>
      </c>
      <c r="B1666" s="4" t="s">
        <v>79</v>
      </c>
      <c r="C1666" s="4" t="s">
        <v>82</v>
      </c>
      <c r="D1666" s="11" t="s">
        <v>3506</v>
      </c>
      <c r="E1666" s="4">
        <v>3167202</v>
      </c>
      <c r="F1666" s="11" t="s">
        <v>3507</v>
      </c>
      <c r="G1666" s="4" t="s">
        <v>215</v>
      </c>
      <c r="H1666" s="4"/>
    </row>
    <row r="1667" s="1" customFormat="1" spans="1:8">
      <c r="A1667" s="4" t="s">
        <v>205</v>
      </c>
      <c r="B1667" s="4" t="s">
        <v>79</v>
      </c>
      <c r="C1667" s="4" t="s">
        <v>82</v>
      </c>
      <c r="D1667" s="11" t="s">
        <v>3508</v>
      </c>
      <c r="E1667" s="4">
        <v>3167301</v>
      </c>
      <c r="F1667" s="11" t="s">
        <v>3509</v>
      </c>
      <c r="G1667" s="4" t="s">
        <v>215</v>
      </c>
      <c r="H1667" s="4"/>
    </row>
    <row r="1668" s="1" customFormat="1" spans="1:8">
      <c r="A1668" s="4" t="s">
        <v>205</v>
      </c>
      <c r="B1668" s="4" t="s">
        <v>79</v>
      </c>
      <c r="C1668" s="4" t="s">
        <v>82</v>
      </c>
      <c r="D1668" s="11" t="s">
        <v>3510</v>
      </c>
      <c r="E1668" s="4">
        <v>3167509</v>
      </c>
      <c r="F1668" s="11" t="s">
        <v>3511</v>
      </c>
      <c r="G1668" s="4" t="s">
        <v>215</v>
      </c>
      <c r="H1668" s="4"/>
    </row>
    <row r="1669" s="1" customFormat="1" spans="1:8">
      <c r="A1669" s="4" t="s">
        <v>205</v>
      </c>
      <c r="B1669" s="4" t="s">
        <v>79</v>
      </c>
      <c r="C1669" s="4" t="s">
        <v>82</v>
      </c>
      <c r="D1669" s="11" t="s">
        <v>3512</v>
      </c>
      <c r="E1669" s="4">
        <v>3160801</v>
      </c>
      <c r="F1669" s="11" t="s">
        <v>3513</v>
      </c>
      <c r="G1669" s="4" t="s">
        <v>215</v>
      </c>
      <c r="H1669" s="4"/>
    </row>
    <row r="1670" s="1" customFormat="1" spans="1:8">
      <c r="A1670" s="4" t="s">
        <v>205</v>
      </c>
      <c r="B1670" s="4" t="s">
        <v>79</v>
      </c>
      <c r="C1670" s="4" t="s">
        <v>82</v>
      </c>
      <c r="D1670" s="11" t="s">
        <v>3514</v>
      </c>
      <c r="E1670" s="4">
        <v>3160900</v>
      </c>
      <c r="F1670" s="11" t="s">
        <v>3515</v>
      </c>
      <c r="G1670" s="4" t="s">
        <v>215</v>
      </c>
      <c r="H1670" s="4"/>
    </row>
    <row r="1671" s="1" customFormat="1" spans="1:8">
      <c r="A1671" s="4" t="s">
        <v>205</v>
      </c>
      <c r="B1671" s="4" t="s">
        <v>79</v>
      </c>
      <c r="C1671" s="4" t="s">
        <v>82</v>
      </c>
      <c r="D1671" s="11" t="s">
        <v>3516</v>
      </c>
      <c r="E1671" s="4">
        <v>3160959</v>
      </c>
      <c r="F1671" s="11" t="s">
        <v>3517</v>
      </c>
      <c r="G1671" s="4" t="s">
        <v>215</v>
      </c>
      <c r="H1671" s="4"/>
    </row>
    <row r="1672" s="1" customFormat="1" spans="1:8">
      <c r="A1672" s="4" t="s">
        <v>205</v>
      </c>
      <c r="B1672" s="4" t="s">
        <v>79</v>
      </c>
      <c r="C1672" s="4" t="s">
        <v>82</v>
      </c>
      <c r="D1672" s="11" t="s">
        <v>3518</v>
      </c>
      <c r="E1672" s="4">
        <v>3161007</v>
      </c>
      <c r="F1672" s="11" t="s">
        <v>3519</v>
      </c>
      <c r="G1672" s="4" t="s">
        <v>215</v>
      </c>
      <c r="H1672" s="4"/>
    </row>
    <row r="1673" s="1" customFormat="1" spans="1:8">
      <c r="A1673" s="4" t="s">
        <v>205</v>
      </c>
      <c r="B1673" s="4" t="s">
        <v>79</v>
      </c>
      <c r="C1673" s="4" t="s">
        <v>82</v>
      </c>
      <c r="D1673" s="11" t="s">
        <v>3520</v>
      </c>
      <c r="E1673" s="4">
        <v>3161205</v>
      </c>
      <c r="F1673" s="11" t="s">
        <v>3521</v>
      </c>
      <c r="G1673" s="4" t="s">
        <v>215</v>
      </c>
      <c r="H1673" s="4"/>
    </row>
    <row r="1674" s="1" customFormat="1" spans="1:8">
      <c r="A1674" s="4" t="s">
        <v>205</v>
      </c>
      <c r="B1674" s="4" t="s">
        <v>79</v>
      </c>
      <c r="C1674" s="4" t="s">
        <v>82</v>
      </c>
      <c r="D1674" s="11" t="s">
        <v>3522</v>
      </c>
      <c r="E1674" s="4">
        <v>3161502</v>
      </c>
      <c r="F1674" s="11" t="s">
        <v>3523</v>
      </c>
      <c r="G1674" s="4" t="s">
        <v>215</v>
      </c>
      <c r="H1674" s="4"/>
    </row>
    <row r="1675" s="1" customFormat="1" spans="1:8">
      <c r="A1675" s="4" t="s">
        <v>205</v>
      </c>
      <c r="B1675" s="4" t="s">
        <v>79</v>
      </c>
      <c r="C1675" s="4" t="s">
        <v>82</v>
      </c>
      <c r="D1675" s="11" t="s">
        <v>3524</v>
      </c>
      <c r="E1675" s="4">
        <v>3161809</v>
      </c>
      <c r="F1675" s="11" t="s">
        <v>3525</v>
      </c>
      <c r="G1675" s="4" t="s">
        <v>215</v>
      </c>
      <c r="H1675" s="4"/>
    </row>
    <row r="1676" s="1" customFormat="1" spans="1:8">
      <c r="A1676" s="4" t="s">
        <v>205</v>
      </c>
      <c r="B1676" s="4" t="s">
        <v>79</v>
      </c>
      <c r="C1676" s="4" t="s">
        <v>82</v>
      </c>
      <c r="D1676" s="11" t="s">
        <v>3526</v>
      </c>
      <c r="E1676" s="4">
        <v>3161908</v>
      </c>
      <c r="F1676" s="11" t="s">
        <v>3527</v>
      </c>
      <c r="G1676" s="4" t="s">
        <v>215</v>
      </c>
      <c r="H1676" s="4"/>
    </row>
    <row r="1677" s="1" customFormat="1" spans="1:8">
      <c r="A1677" s="4" t="s">
        <v>205</v>
      </c>
      <c r="B1677" s="4" t="s">
        <v>79</v>
      </c>
      <c r="C1677" s="4" t="s">
        <v>82</v>
      </c>
      <c r="D1677" s="11" t="s">
        <v>3528</v>
      </c>
      <c r="E1677" s="4">
        <v>3162922</v>
      </c>
      <c r="F1677" s="11" t="s">
        <v>3529</v>
      </c>
      <c r="G1677" s="4" t="s">
        <v>215</v>
      </c>
      <c r="H1677" s="4"/>
    </row>
    <row r="1678" s="1" customFormat="1" spans="1:8">
      <c r="A1678" s="4" t="s">
        <v>205</v>
      </c>
      <c r="B1678" s="4" t="s">
        <v>79</v>
      </c>
      <c r="C1678" s="4" t="s">
        <v>82</v>
      </c>
      <c r="D1678" s="11" t="s">
        <v>3530</v>
      </c>
      <c r="E1678" s="4">
        <v>3163102</v>
      </c>
      <c r="F1678" s="11" t="s">
        <v>3531</v>
      </c>
      <c r="G1678" s="4" t="s">
        <v>215</v>
      </c>
      <c r="H1678" s="4"/>
    </row>
    <row r="1679" s="1" customFormat="1" spans="1:8">
      <c r="A1679" s="4" t="s">
        <v>205</v>
      </c>
      <c r="B1679" s="4" t="s">
        <v>79</v>
      </c>
      <c r="C1679" s="4" t="s">
        <v>82</v>
      </c>
      <c r="D1679" s="11" t="s">
        <v>3532</v>
      </c>
      <c r="E1679" s="4">
        <v>3163409</v>
      </c>
      <c r="F1679" s="11" t="s">
        <v>3533</v>
      </c>
      <c r="G1679" s="4" t="s">
        <v>215</v>
      </c>
      <c r="H1679" s="4"/>
    </row>
    <row r="1680" s="1" customFormat="1" spans="1:8">
      <c r="A1680" s="4" t="s">
        <v>205</v>
      </c>
      <c r="B1680" s="4" t="s">
        <v>79</v>
      </c>
      <c r="C1680" s="4" t="s">
        <v>82</v>
      </c>
      <c r="D1680" s="11" t="s">
        <v>3534</v>
      </c>
      <c r="E1680" s="4">
        <v>3162500</v>
      </c>
      <c r="F1680" s="11" t="s">
        <v>3535</v>
      </c>
      <c r="G1680" s="4" t="s">
        <v>215</v>
      </c>
      <c r="H1680" s="4"/>
    </row>
    <row r="1681" s="1" customFormat="1" spans="1:8">
      <c r="A1681" s="4" t="s">
        <v>205</v>
      </c>
      <c r="B1681" s="4" t="s">
        <v>79</v>
      </c>
      <c r="C1681" s="4" t="s">
        <v>82</v>
      </c>
      <c r="D1681" s="11" t="s">
        <v>3536</v>
      </c>
      <c r="E1681" s="4">
        <v>3162559</v>
      </c>
      <c r="F1681" s="11" t="s">
        <v>3537</v>
      </c>
      <c r="G1681" s="4" t="s">
        <v>215</v>
      </c>
      <c r="H1681" s="4"/>
    </row>
    <row r="1682" s="1" customFormat="1" spans="1:8">
      <c r="A1682" s="4" t="s">
        <v>205</v>
      </c>
      <c r="B1682" s="4" t="s">
        <v>79</v>
      </c>
      <c r="C1682" s="4" t="s">
        <v>82</v>
      </c>
      <c r="D1682" s="11" t="s">
        <v>3538</v>
      </c>
      <c r="E1682" s="4">
        <v>3162609</v>
      </c>
      <c r="F1682" s="11" t="s">
        <v>3539</v>
      </c>
      <c r="G1682" s="4" t="s">
        <v>215</v>
      </c>
      <c r="H1682" s="4"/>
    </row>
    <row r="1683" s="1" customFormat="1" spans="1:8">
      <c r="A1683" s="4" t="s">
        <v>205</v>
      </c>
      <c r="B1683" s="4" t="s">
        <v>79</v>
      </c>
      <c r="C1683" s="4" t="s">
        <v>82</v>
      </c>
      <c r="D1683" s="11" t="s">
        <v>3540</v>
      </c>
      <c r="E1683" s="4">
        <v>3162807</v>
      </c>
      <c r="F1683" s="11" t="s">
        <v>3541</v>
      </c>
      <c r="G1683" s="4" t="s">
        <v>215</v>
      </c>
      <c r="H1683" s="4"/>
    </row>
    <row r="1684" s="1" customFormat="1" spans="1:8">
      <c r="A1684" s="4" t="s">
        <v>205</v>
      </c>
      <c r="B1684" s="4" t="s">
        <v>79</v>
      </c>
      <c r="C1684" s="4" t="s">
        <v>82</v>
      </c>
      <c r="D1684" s="11" t="s">
        <v>3542</v>
      </c>
      <c r="E1684" s="4">
        <v>3163805</v>
      </c>
      <c r="F1684" s="11" t="s">
        <v>3543</v>
      </c>
      <c r="G1684" s="4" t="s">
        <v>215</v>
      </c>
      <c r="H1684" s="4"/>
    </row>
    <row r="1685" s="1" customFormat="1" spans="1:8">
      <c r="A1685" s="4" t="s">
        <v>205</v>
      </c>
      <c r="B1685" s="4" t="s">
        <v>79</v>
      </c>
      <c r="C1685" s="4" t="s">
        <v>82</v>
      </c>
      <c r="D1685" s="11" t="s">
        <v>3544</v>
      </c>
      <c r="E1685" s="4">
        <v>3164001</v>
      </c>
      <c r="F1685" s="11" t="s">
        <v>3545</v>
      </c>
      <c r="G1685" s="4" t="s">
        <v>215</v>
      </c>
      <c r="H1685" s="4"/>
    </row>
    <row r="1686" s="1" customFormat="1" spans="1:8">
      <c r="A1686" s="4" t="s">
        <v>205</v>
      </c>
      <c r="B1686" s="4" t="s">
        <v>79</v>
      </c>
      <c r="C1686" s="4" t="s">
        <v>82</v>
      </c>
      <c r="D1686" s="11" t="s">
        <v>3546</v>
      </c>
      <c r="E1686" s="4">
        <v>3164605</v>
      </c>
      <c r="F1686" s="11" t="s">
        <v>3547</v>
      </c>
      <c r="G1686" s="4" t="s">
        <v>215</v>
      </c>
      <c r="H1686" s="4"/>
    </row>
    <row r="1687" s="1" customFormat="1" spans="1:8">
      <c r="A1687" s="4" t="s">
        <v>205</v>
      </c>
      <c r="B1687" s="4" t="s">
        <v>79</v>
      </c>
      <c r="C1687" s="4" t="s">
        <v>82</v>
      </c>
      <c r="D1687" s="11" t="s">
        <v>3548</v>
      </c>
      <c r="E1687" s="4">
        <v>3164803</v>
      </c>
      <c r="F1687" s="11" t="s">
        <v>3549</v>
      </c>
      <c r="G1687" s="4" t="s">
        <v>215</v>
      </c>
      <c r="H1687" s="4"/>
    </row>
    <row r="1688" s="1" customFormat="1" spans="1:8">
      <c r="A1688" s="4" t="s">
        <v>205</v>
      </c>
      <c r="B1688" s="4" t="s">
        <v>79</v>
      </c>
      <c r="C1688" s="4" t="s">
        <v>82</v>
      </c>
      <c r="D1688" s="11" t="s">
        <v>3550</v>
      </c>
      <c r="E1688" s="4">
        <v>3165008</v>
      </c>
      <c r="F1688" s="11" t="s">
        <v>3551</v>
      </c>
      <c r="G1688" s="4" t="s">
        <v>215</v>
      </c>
      <c r="H1688" s="4"/>
    </row>
    <row r="1689" s="1" customFormat="1" spans="1:8">
      <c r="A1689" s="4" t="s">
        <v>205</v>
      </c>
      <c r="B1689" s="4" t="s">
        <v>79</v>
      </c>
      <c r="C1689" s="4" t="s">
        <v>82</v>
      </c>
      <c r="D1689" s="11" t="s">
        <v>3552</v>
      </c>
      <c r="E1689" s="4">
        <v>3165305</v>
      </c>
      <c r="F1689" s="11" t="s">
        <v>3553</v>
      </c>
      <c r="G1689" s="4" t="s">
        <v>215</v>
      </c>
      <c r="H1689" s="4"/>
    </row>
    <row r="1690" s="1" customFormat="1" spans="1:8">
      <c r="A1690" s="4" t="s">
        <v>205</v>
      </c>
      <c r="B1690" s="4" t="s">
        <v>79</v>
      </c>
      <c r="C1690" s="4" t="s">
        <v>82</v>
      </c>
      <c r="D1690" s="11" t="s">
        <v>3554</v>
      </c>
      <c r="E1690" s="4">
        <v>3167905</v>
      </c>
      <c r="F1690" s="11" t="s">
        <v>3555</v>
      </c>
      <c r="G1690" s="4" t="s">
        <v>215</v>
      </c>
      <c r="H1690" s="4"/>
    </row>
    <row r="1691" s="1" customFormat="1" spans="1:8">
      <c r="A1691" s="4" t="s">
        <v>205</v>
      </c>
      <c r="B1691" s="4" t="s">
        <v>79</v>
      </c>
      <c r="C1691" s="4" t="s">
        <v>82</v>
      </c>
      <c r="D1691" s="11" t="s">
        <v>3556</v>
      </c>
      <c r="E1691" s="4">
        <v>3168200</v>
      </c>
      <c r="F1691" s="11" t="s">
        <v>3557</v>
      </c>
      <c r="G1691" s="4" t="s">
        <v>215</v>
      </c>
      <c r="H1691" s="4"/>
    </row>
    <row r="1692" s="1" customFormat="1" spans="1:8">
      <c r="A1692" s="4" t="s">
        <v>205</v>
      </c>
      <c r="B1692" s="4" t="s">
        <v>79</v>
      </c>
      <c r="C1692" s="4" t="s">
        <v>82</v>
      </c>
      <c r="D1692" s="11" t="s">
        <v>3558</v>
      </c>
      <c r="E1692" s="4">
        <v>3168309</v>
      </c>
      <c r="F1692" s="11" t="s">
        <v>3559</v>
      </c>
      <c r="G1692" s="4" t="s">
        <v>215</v>
      </c>
      <c r="H1692" s="4"/>
    </row>
    <row r="1693" s="1" customFormat="1" spans="1:8">
      <c r="A1693" s="4" t="s">
        <v>205</v>
      </c>
      <c r="B1693" s="4" t="s">
        <v>79</v>
      </c>
      <c r="C1693" s="4" t="s">
        <v>82</v>
      </c>
      <c r="D1693" s="11" t="s">
        <v>3560</v>
      </c>
      <c r="E1693" s="4">
        <v>3168408</v>
      </c>
      <c r="F1693" s="11" t="s">
        <v>3561</v>
      </c>
      <c r="G1693" s="4" t="s">
        <v>215</v>
      </c>
      <c r="H1693" s="4"/>
    </row>
    <row r="1694" s="1" customFormat="1" spans="1:8">
      <c r="A1694" s="4" t="s">
        <v>205</v>
      </c>
      <c r="B1694" s="4" t="s">
        <v>79</v>
      </c>
      <c r="C1694" s="4" t="s">
        <v>82</v>
      </c>
      <c r="D1694" s="11" t="s">
        <v>3562</v>
      </c>
      <c r="E1694" s="4">
        <v>3168507</v>
      </c>
      <c r="F1694" s="11" t="s">
        <v>3563</v>
      </c>
      <c r="G1694" s="4" t="s">
        <v>215</v>
      </c>
      <c r="H1694" s="4"/>
    </row>
    <row r="1695" s="1" customFormat="1" spans="1:8">
      <c r="A1695" s="4" t="s">
        <v>205</v>
      </c>
      <c r="B1695" s="4" t="s">
        <v>79</v>
      </c>
      <c r="C1695" s="4" t="s">
        <v>82</v>
      </c>
      <c r="D1695" s="11" t="s">
        <v>3564</v>
      </c>
      <c r="E1695" s="4">
        <v>3168705</v>
      </c>
      <c r="F1695" s="11" t="s">
        <v>3565</v>
      </c>
      <c r="G1695" s="4" t="s">
        <v>215</v>
      </c>
      <c r="H1695" s="4"/>
    </row>
    <row r="1696" s="1" customFormat="1" spans="1:8">
      <c r="A1696" s="4" t="s">
        <v>205</v>
      </c>
      <c r="B1696" s="4" t="s">
        <v>79</v>
      </c>
      <c r="C1696" s="4" t="s">
        <v>82</v>
      </c>
      <c r="D1696" s="11" t="s">
        <v>3566</v>
      </c>
      <c r="E1696" s="4">
        <v>3168804</v>
      </c>
      <c r="F1696" s="11" t="s">
        <v>3567</v>
      </c>
      <c r="G1696" s="4" t="s">
        <v>215</v>
      </c>
      <c r="H1696" s="4"/>
    </row>
    <row r="1697" s="1" customFormat="1" spans="1:8">
      <c r="A1697" s="4" t="s">
        <v>205</v>
      </c>
      <c r="B1697" s="4" t="s">
        <v>79</v>
      </c>
      <c r="C1697" s="4" t="s">
        <v>82</v>
      </c>
      <c r="D1697" s="11" t="s">
        <v>3568</v>
      </c>
      <c r="E1697" s="4">
        <v>3169000</v>
      </c>
      <c r="F1697" s="11" t="s">
        <v>3569</v>
      </c>
      <c r="G1697" s="4" t="s">
        <v>215</v>
      </c>
      <c r="H1697" s="4"/>
    </row>
    <row r="1698" s="1" customFormat="1" spans="1:8">
      <c r="A1698" s="4" t="s">
        <v>205</v>
      </c>
      <c r="B1698" s="4" t="s">
        <v>79</v>
      </c>
      <c r="C1698" s="4" t="s">
        <v>82</v>
      </c>
      <c r="D1698" s="11" t="s">
        <v>3570</v>
      </c>
      <c r="E1698" s="4">
        <v>3169356</v>
      </c>
      <c r="F1698" s="11" t="s">
        <v>3571</v>
      </c>
      <c r="G1698" s="4" t="s">
        <v>215</v>
      </c>
      <c r="H1698" s="4"/>
    </row>
    <row r="1699" s="1" customFormat="1" spans="1:8">
      <c r="A1699" s="4" t="s">
        <v>205</v>
      </c>
      <c r="B1699" s="4" t="s">
        <v>79</v>
      </c>
      <c r="C1699" s="4" t="s">
        <v>82</v>
      </c>
      <c r="D1699" s="11" t="s">
        <v>3572</v>
      </c>
      <c r="E1699" s="4">
        <v>3169406</v>
      </c>
      <c r="F1699" s="11" t="s">
        <v>3573</v>
      </c>
      <c r="G1699" s="4" t="s">
        <v>215</v>
      </c>
      <c r="H1699" s="4"/>
    </row>
    <row r="1700" s="1" customFormat="1" spans="1:8">
      <c r="A1700" s="4" t="s">
        <v>205</v>
      </c>
      <c r="B1700" s="4" t="s">
        <v>79</v>
      </c>
      <c r="C1700" s="4" t="s">
        <v>82</v>
      </c>
      <c r="D1700" s="11" t="s">
        <v>3574</v>
      </c>
      <c r="E1700" s="4">
        <v>3170057</v>
      </c>
      <c r="F1700" s="11" t="s">
        <v>3575</v>
      </c>
      <c r="G1700" s="4" t="s">
        <v>215</v>
      </c>
      <c r="H1700" s="4"/>
    </row>
    <row r="1701" s="1" customFormat="1" spans="1:8">
      <c r="A1701" s="4" t="s">
        <v>205</v>
      </c>
      <c r="B1701" s="4" t="s">
        <v>79</v>
      </c>
      <c r="C1701" s="4" t="s">
        <v>82</v>
      </c>
      <c r="D1701" s="11" t="s">
        <v>3576</v>
      </c>
      <c r="E1701" s="4">
        <v>3169901</v>
      </c>
      <c r="F1701" s="11" t="s">
        <v>3577</v>
      </c>
      <c r="G1701" s="4" t="s">
        <v>215</v>
      </c>
      <c r="H1701" s="4"/>
    </row>
    <row r="1702" s="1" customFormat="1" spans="1:8">
      <c r="A1702" s="4" t="s">
        <v>205</v>
      </c>
      <c r="B1702" s="4" t="s">
        <v>79</v>
      </c>
      <c r="C1702" s="4" t="s">
        <v>82</v>
      </c>
      <c r="D1702" s="11" t="s">
        <v>3578</v>
      </c>
      <c r="E1702" s="4">
        <v>3170503</v>
      </c>
      <c r="F1702" s="11" t="s">
        <v>3579</v>
      </c>
      <c r="G1702" s="4" t="s">
        <v>215</v>
      </c>
      <c r="H1702" s="4"/>
    </row>
    <row r="1703" s="1" customFormat="1" spans="1:8">
      <c r="A1703" s="4" t="s">
        <v>205</v>
      </c>
      <c r="B1703" s="4" t="s">
        <v>79</v>
      </c>
      <c r="C1703" s="4" t="s">
        <v>82</v>
      </c>
      <c r="D1703" s="11" t="s">
        <v>3580</v>
      </c>
      <c r="E1703" s="4">
        <v>3170578</v>
      </c>
      <c r="F1703" s="11" t="s">
        <v>3581</v>
      </c>
      <c r="G1703" s="4" t="s">
        <v>215</v>
      </c>
      <c r="H1703" s="4"/>
    </row>
    <row r="1704" s="1" customFormat="1" spans="1:8">
      <c r="A1704" s="4" t="s">
        <v>205</v>
      </c>
      <c r="B1704" s="4" t="s">
        <v>79</v>
      </c>
      <c r="C1704" s="4" t="s">
        <v>82</v>
      </c>
      <c r="D1704" s="11" t="s">
        <v>3582</v>
      </c>
      <c r="E1704" s="4">
        <v>3171154</v>
      </c>
      <c r="F1704" s="11" t="s">
        <v>3583</v>
      </c>
      <c r="G1704" s="4" t="s">
        <v>215</v>
      </c>
      <c r="H1704" s="4"/>
    </row>
    <row r="1705" s="1" customFormat="1" spans="1:8">
      <c r="A1705" s="4" t="s">
        <v>205</v>
      </c>
      <c r="B1705" s="4" t="s">
        <v>79</v>
      </c>
      <c r="C1705" s="4" t="s">
        <v>82</v>
      </c>
      <c r="D1705" s="11" t="s">
        <v>3584</v>
      </c>
      <c r="E1705" s="4">
        <v>3171808</v>
      </c>
      <c r="F1705" s="11" t="s">
        <v>3585</v>
      </c>
      <c r="G1705" s="4" t="s">
        <v>215</v>
      </c>
      <c r="H1705" s="4"/>
    </row>
    <row r="1706" s="1" customFormat="1" spans="1:8">
      <c r="A1706" s="4" t="s">
        <v>205</v>
      </c>
      <c r="B1706" s="4" t="s">
        <v>79</v>
      </c>
      <c r="C1706" s="4" t="s">
        <v>82</v>
      </c>
      <c r="D1706" s="11" t="s">
        <v>3586</v>
      </c>
      <c r="E1706" s="4">
        <v>3172004</v>
      </c>
      <c r="F1706" s="11" t="s">
        <v>3587</v>
      </c>
      <c r="G1706" s="4" t="s">
        <v>215</v>
      </c>
      <c r="H1706" s="4"/>
    </row>
    <row r="1707" s="1" customFormat="1" spans="1:8">
      <c r="A1707" s="4" t="s">
        <v>205</v>
      </c>
      <c r="B1707" s="4" t="s">
        <v>79</v>
      </c>
      <c r="C1707" s="4" t="s">
        <v>82</v>
      </c>
      <c r="D1707" s="11" t="s">
        <v>321</v>
      </c>
      <c r="E1707" s="4">
        <v>3171303</v>
      </c>
      <c r="F1707" s="11" t="s">
        <v>3588</v>
      </c>
      <c r="G1707" s="4" t="s">
        <v>215</v>
      </c>
      <c r="H1707" s="4"/>
    </row>
    <row r="1708" s="1" customFormat="1" spans="1:8">
      <c r="A1708" s="4" t="s">
        <v>205</v>
      </c>
      <c r="B1708" s="4" t="s">
        <v>79</v>
      </c>
      <c r="C1708" s="4" t="s">
        <v>82</v>
      </c>
      <c r="D1708" s="11" t="s">
        <v>3589</v>
      </c>
      <c r="E1708" s="4">
        <v>3100104</v>
      </c>
      <c r="F1708" s="11" t="s">
        <v>3590</v>
      </c>
      <c r="G1708" s="4" t="s">
        <v>232</v>
      </c>
      <c r="H1708" s="4"/>
    </row>
    <row r="1709" s="1" customFormat="1" spans="1:8">
      <c r="A1709" s="4" t="s">
        <v>205</v>
      </c>
      <c r="B1709" s="4" t="s">
        <v>79</v>
      </c>
      <c r="C1709" s="4" t="s">
        <v>82</v>
      </c>
      <c r="D1709" s="11" t="s">
        <v>3591</v>
      </c>
      <c r="E1709" s="4">
        <v>3101102</v>
      </c>
      <c r="F1709" s="11" t="s">
        <v>3592</v>
      </c>
      <c r="G1709" s="4" t="s">
        <v>232</v>
      </c>
      <c r="H1709" s="4"/>
    </row>
    <row r="1710" s="1" customFormat="1" spans="1:8">
      <c r="A1710" s="4" t="s">
        <v>205</v>
      </c>
      <c r="B1710" s="4" t="s">
        <v>79</v>
      </c>
      <c r="C1710" s="4" t="s">
        <v>82</v>
      </c>
      <c r="D1710" s="11" t="s">
        <v>3593</v>
      </c>
      <c r="E1710" s="4">
        <v>3101201</v>
      </c>
      <c r="F1710" s="11" t="s">
        <v>3594</v>
      </c>
      <c r="G1710" s="4" t="s">
        <v>232</v>
      </c>
      <c r="H1710" s="4"/>
    </row>
    <row r="1711" s="1" customFormat="1" spans="1:8">
      <c r="A1711" s="4" t="s">
        <v>205</v>
      </c>
      <c r="B1711" s="4" t="s">
        <v>79</v>
      </c>
      <c r="C1711" s="4" t="s">
        <v>82</v>
      </c>
      <c r="D1711" s="11" t="s">
        <v>3595</v>
      </c>
      <c r="E1711" s="4">
        <v>3101300</v>
      </c>
      <c r="F1711" s="11" t="s">
        <v>3596</v>
      </c>
      <c r="G1711" s="4" t="s">
        <v>232</v>
      </c>
      <c r="H1711" s="4"/>
    </row>
    <row r="1712" s="1" customFormat="1" spans="1:8">
      <c r="A1712" s="4" t="s">
        <v>205</v>
      </c>
      <c r="B1712" s="4" t="s">
        <v>79</v>
      </c>
      <c r="C1712" s="4" t="s">
        <v>82</v>
      </c>
      <c r="D1712" s="11" t="s">
        <v>3597</v>
      </c>
      <c r="E1712" s="4">
        <v>3101409</v>
      </c>
      <c r="F1712" s="11" t="s">
        <v>3598</v>
      </c>
      <c r="G1712" s="4" t="s">
        <v>232</v>
      </c>
      <c r="H1712" s="4"/>
    </row>
    <row r="1713" s="1" customFormat="1" spans="1:8">
      <c r="A1713" s="4" t="s">
        <v>205</v>
      </c>
      <c r="B1713" s="4" t="s">
        <v>79</v>
      </c>
      <c r="C1713" s="4" t="s">
        <v>82</v>
      </c>
      <c r="D1713" s="11" t="s">
        <v>3599</v>
      </c>
      <c r="E1713" s="4">
        <v>3101607</v>
      </c>
      <c r="F1713" s="11" t="s">
        <v>3600</v>
      </c>
      <c r="G1713" s="4" t="s">
        <v>232</v>
      </c>
      <c r="H1713" s="4"/>
    </row>
    <row r="1714" s="1" customFormat="1" spans="1:8">
      <c r="A1714" s="4" t="s">
        <v>205</v>
      </c>
      <c r="B1714" s="4" t="s">
        <v>79</v>
      </c>
      <c r="C1714" s="4" t="s">
        <v>82</v>
      </c>
      <c r="D1714" s="11" t="s">
        <v>3601</v>
      </c>
      <c r="E1714" s="4">
        <v>3101805</v>
      </c>
      <c r="F1714" s="11" t="s">
        <v>3602</v>
      </c>
      <c r="G1714" s="4" t="s">
        <v>232</v>
      </c>
      <c r="H1714" s="4"/>
    </row>
    <row r="1715" s="1" customFormat="1" spans="1:8">
      <c r="A1715" s="4" t="s">
        <v>205</v>
      </c>
      <c r="B1715" s="4" t="s">
        <v>79</v>
      </c>
      <c r="C1715" s="4" t="s">
        <v>82</v>
      </c>
      <c r="D1715" s="11" t="s">
        <v>3603</v>
      </c>
      <c r="E1715" s="4">
        <v>3101904</v>
      </c>
      <c r="F1715" s="11" t="s">
        <v>3604</v>
      </c>
      <c r="G1715" s="4" t="s">
        <v>232</v>
      </c>
      <c r="H1715" s="4"/>
    </row>
    <row r="1716" s="1" customFormat="1" spans="1:8">
      <c r="A1716" s="4" t="s">
        <v>205</v>
      </c>
      <c r="B1716" s="4" t="s">
        <v>79</v>
      </c>
      <c r="C1716" s="4" t="s">
        <v>82</v>
      </c>
      <c r="D1716" s="11" t="s">
        <v>3605</v>
      </c>
      <c r="E1716" s="4">
        <v>3102001</v>
      </c>
      <c r="F1716" s="11" t="s">
        <v>3606</v>
      </c>
      <c r="G1716" s="4" t="s">
        <v>232</v>
      </c>
      <c r="H1716" s="4"/>
    </row>
    <row r="1717" s="1" customFormat="1" spans="1:8">
      <c r="A1717" s="4" t="s">
        <v>205</v>
      </c>
      <c r="B1717" s="4" t="s">
        <v>79</v>
      </c>
      <c r="C1717" s="4" t="s">
        <v>82</v>
      </c>
      <c r="D1717" s="11" t="s">
        <v>3607</v>
      </c>
      <c r="E1717" s="4">
        <v>3102050</v>
      </c>
      <c r="F1717" s="11" t="s">
        <v>3608</v>
      </c>
      <c r="G1717" s="4" t="s">
        <v>232</v>
      </c>
      <c r="H1717" s="4"/>
    </row>
    <row r="1718" s="1" customFormat="1" spans="1:8">
      <c r="A1718" s="4" t="s">
        <v>205</v>
      </c>
      <c r="B1718" s="4" t="s">
        <v>79</v>
      </c>
      <c r="C1718" s="4" t="s">
        <v>82</v>
      </c>
      <c r="D1718" s="11" t="s">
        <v>3609</v>
      </c>
      <c r="E1718" s="4">
        <v>3153509</v>
      </c>
      <c r="F1718" s="11" t="s">
        <v>3610</v>
      </c>
      <c r="G1718" s="4" t="s">
        <v>232</v>
      </c>
      <c r="H1718" s="4"/>
    </row>
    <row r="1719" s="1" customFormat="1" spans="1:8">
      <c r="A1719" s="4" t="s">
        <v>205</v>
      </c>
      <c r="B1719" s="4" t="s">
        <v>79</v>
      </c>
      <c r="C1719" s="4" t="s">
        <v>82</v>
      </c>
      <c r="D1719" s="11" t="s">
        <v>3611</v>
      </c>
      <c r="E1719" s="4">
        <v>3102209</v>
      </c>
      <c r="F1719" s="11" t="s">
        <v>3612</v>
      </c>
      <c r="G1719" s="4" t="s">
        <v>232</v>
      </c>
      <c r="H1719" s="4"/>
    </row>
    <row r="1720" s="1" customFormat="1" spans="1:8">
      <c r="A1720" s="4" t="s">
        <v>205</v>
      </c>
      <c r="B1720" s="4" t="s">
        <v>79</v>
      </c>
      <c r="C1720" s="4" t="s">
        <v>82</v>
      </c>
      <c r="D1720" s="11" t="s">
        <v>3613</v>
      </c>
      <c r="E1720" s="4">
        <v>3101508</v>
      </c>
      <c r="F1720" s="11" t="s">
        <v>3614</v>
      </c>
      <c r="G1720" s="4" t="s">
        <v>232</v>
      </c>
      <c r="H1720" s="4"/>
    </row>
    <row r="1721" s="1" customFormat="1" spans="1:8">
      <c r="A1721" s="4" t="s">
        <v>205</v>
      </c>
      <c r="B1721" s="4" t="s">
        <v>79</v>
      </c>
      <c r="C1721" s="4" t="s">
        <v>82</v>
      </c>
      <c r="D1721" s="11" t="s">
        <v>3615</v>
      </c>
      <c r="E1721" s="4">
        <v>3102605</v>
      </c>
      <c r="F1721" s="11" t="s">
        <v>3616</v>
      </c>
      <c r="G1721" s="4" t="s">
        <v>232</v>
      </c>
      <c r="H1721" s="4"/>
    </row>
    <row r="1722" s="1" customFormat="1" spans="1:8">
      <c r="A1722" s="4" t="s">
        <v>205</v>
      </c>
      <c r="B1722" s="4" t="s">
        <v>79</v>
      </c>
      <c r="C1722" s="4" t="s">
        <v>82</v>
      </c>
      <c r="D1722" s="11" t="s">
        <v>3617</v>
      </c>
      <c r="E1722" s="4">
        <v>3102803</v>
      </c>
      <c r="F1722" s="11" t="s">
        <v>3618</v>
      </c>
      <c r="G1722" s="4" t="s">
        <v>232</v>
      </c>
      <c r="H1722" s="4"/>
    </row>
    <row r="1723" s="1" customFormat="1" spans="1:8">
      <c r="A1723" s="4" t="s">
        <v>205</v>
      </c>
      <c r="B1723" s="4" t="s">
        <v>79</v>
      </c>
      <c r="C1723" s="4" t="s">
        <v>82</v>
      </c>
      <c r="D1723" s="11" t="s">
        <v>3619</v>
      </c>
      <c r="E1723" s="4">
        <v>3102852</v>
      </c>
      <c r="F1723" s="11" t="s">
        <v>3620</v>
      </c>
      <c r="G1723" s="4" t="s">
        <v>232</v>
      </c>
      <c r="H1723" s="4"/>
    </row>
    <row r="1724" s="1" customFormat="1" spans="1:8">
      <c r="A1724" s="4" t="s">
        <v>205</v>
      </c>
      <c r="B1724" s="4" t="s">
        <v>79</v>
      </c>
      <c r="C1724" s="4" t="s">
        <v>82</v>
      </c>
      <c r="D1724" s="11" t="s">
        <v>3621</v>
      </c>
      <c r="E1724" s="4">
        <v>3103108</v>
      </c>
      <c r="F1724" s="11" t="s">
        <v>3622</v>
      </c>
      <c r="G1724" s="4" t="s">
        <v>232</v>
      </c>
      <c r="H1724" s="4"/>
    </row>
    <row r="1725" s="1" customFormat="1" spans="1:8">
      <c r="A1725" s="4" t="s">
        <v>205</v>
      </c>
      <c r="B1725" s="4" t="s">
        <v>79</v>
      </c>
      <c r="C1725" s="4" t="s">
        <v>82</v>
      </c>
      <c r="D1725" s="11" t="s">
        <v>3623</v>
      </c>
      <c r="E1725" s="4">
        <v>3103504</v>
      </c>
      <c r="F1725" s="11" t="s">
        <v>3624</v>
      </c>
      <c r="G1725" s="4" t="s">
        <v>232</v>
      </c>
      <c r="H1725" s="4"/>
    </row>
    <row r="1726" s="1" customFormat="1" spans="1:8">
      <c r="A1726" s="4" t="s">
        <v>205</v>
      </c>
      <c r="B1726" s="4" t="s">
        <v>79</v>
      </c>
      <c r="C1726" s="4" t="s">
        <v>82</v>
      </c>
      <c r="D1726" s="11" t="s">
        <v>3625</v>
      </c>
      <c r="E1726" s="4">
        <v>3103603</v>
      </c>
      <c r="F1726" s="11" t="s">
        <v>3626</v>
      </c>
      <c r="G1726" s="4" t="s">
        <v>232</v>
      </c>
      <c r="H1726" s="4"/>
    </row>
    <row r="1727" s="1" customFormat="1" spans="1:8">
      <c r="A1727" s="4" t="s">
        <v>205</v>
      </c>
      <c r="B1727" s="4" t="s">
        <v>79</v>
      </c>
      <c r="C1727" s="4" t="s">
        <v>82</v>
      </c>
      <c r="D1727" s="11" t="s">
        <v>3627</v>
      </c>
      <c r="E1727" s="4">
        <v>3103801</v>
      </c>
      <c r="F1727" s="11" t="s">
        <v>3628</v>
      </c>
      <c r="G1727" s="4" t="s">
        <v>232</v>
      </c>
      <c r="H1727" s="4"/>
    </row>
    <row r="1728" s="1" customFormat="1" spans="1:8">
      <c r="A1728" s="4" t="s">
        <v>205</v>
      </c>
      <c r="B1728" s="4" t="s">
        <v>79</v>
      </c>
      <c r="C1728" s="4" t="s">
        <v>82</v>
      </c>
      <c r="D1728" s="11" t="s">
        <v>3629</v>
      </c>
      <c r="E1728" s="4">
        <v>3104007</v>
      </c>
      <c r="F1728" s="11" t="s">
        <v>3630</v>
      </c>
      <c r="G1728" s="4" t="s">
        <v>232</v>
      </c>
      <c r="H1728" s="4"/>
    </row>
    <row r="1729" s="1" customFormat="1" spans="1:8">
      <c r="A1729" s="4" t="s">
        <v>205</v>
      </c>
      <c r="B1729" s="4" t="s">
        <v>79</v>
      </c>
      <c r="C1729" s="4" t="s">
        <v>82</v>
      </c>
      <c r="D1729" s="11" t="s">
        <v>3631</v>
      </c>
      <c r="E1729" s="4">
        <v>3104106</v>
      </c>
      <c r="F1729" s="11" t="s">
        <v>3632</v>
      </c>
      <c r="G1729" s="4" t="s">
        <v>232</v>
      </c>
      <c r="H1729" s="4"/>
    </row>
    <row r="1730" s="1" customFormat="1" spans="1:8">
      <c r="A1730" s="4" t="s">
        <v>205</v>
      </c>
      <c r="B1730" s="4" t="s">
        <v>79</v>
      </c>
      <c r="C1730" s="4" t="s">
        <v>82</v>
      </c>
      <c r="D1730" s="11" t="s">
        <v>3633</v>
      </c>
      <c r="E1730" s="4">
        <v>3104304</v>
      </c>
      <c r="F1730" s="11" t="s">
        <v>3634</v>
      </c>
      <c r="G1730" s="4" t="s">
        <v>232</v>
      </c>
      <c r="H1730" s="4"/>
    </row>
    <row r="1731" s="1" customFormat="1" spans="1:8">
      <c r="A1731" s="4" t="s">
        <v>205</v>
      </c>
      <c r="B1731" s="4" t="s">
        <v>79</v>
      </c>
      <c r="C1731" s="4" t="s">
        <v>82</v>
      </c>
      <c r="D1731" s="11" t="s">
        <v>3635</v>
      </c>
      <c r="E1731" s="4">
        <v>3104403</v>
      </c>
      <c r="F1731" s="11" t="s">
        <v>3636</v>
      </c>
      <c r="G1731" s="4" t="s">
        <v>232</v>
      </c>
      <c r="H1731" s="4"/>
    </row>
    <row r="1732" s="1" customFormat="1" spans="1:8">
      <c r="A1732" s="4" t="s">
        <v>205</v>
      </c>
      <c r="B1732" s="4" t="s">
        <v>79</v>
      </c>
      <c r="C1732" s="4" t="s">
        <v>82</v>
      </c>
      <c r="D1732" s="11" t="s">
        <v>3637</v>
      </c>
      <c r="E1732" s="4">
        <v>3104452</v>
      </c>
      <c r="F1732" s="11" t="s">
        <v>3638</v>
      </c>
      <c r="G1732" s="4" t="s">
        <v>232</v>
      </c>
      <c r="H1732" s="4"/>
    </row>
    <row r="1733" s="1" customFormat="1" spans="1:8">
      <c r="A1733" s="4" t="s">
        <v>205</v>
      </c>
      <c r="B1733" s="4" t="s">
        <v>79</v>
      </c>
      <c r="C1733" s="4" t="s">
        <v>82</v>
      </c>
      <c r="D1733" s="11" t="s">
        <v>3639</v>
      </c>
      <c r="E1733" s="4">
        <v>3104700</v>
      </c>
      <c r="F1733" s="11" t="s">
        <v>3640</v>
      </c>
      <c r="G1733" s="4" t="s">
        <v>232</v>
      </c>
      <c r="H1733" s="4"/>
    </row>
    <row r="1734" s="1" customFormat="1" spans="1:8">
      <c r="A1734" s="4" t="s">
        <v>205</v>
      </c>
      <c r="B1734" s="4" t="s">
        <v>79</v>
      </c>
      <c r="C1734" s="4" t="s">
        <v>82</v>
      </c>
      <c r="D1734" s="11" t="s">
        <v>3641</v>
      </c>
      <c r="E1734" s="4">
        <v>3104908</v>
      </c>
      <c r="F1734" s="11" t="s">
        <v>3642</v>
      </c>
      <c r="G1734" s="4" t="s">
        <v>232</v>
      </c>
      <c r="H1734" s="4"/>
    </row>
    <row r="1735" s="1" customFormat="1" spans="1:8">
      <c r="A1735" s="4" t="s">
        <v>205</v>
      </c>
      <c r="B1735" s="4" t="s">
        <v>79</v>
      </c>
      <c r="C1735" s="4" t="s">
        <v>82</v>
      </c>
      <c r="D1735" s="11" t="s">
        <v>3643</v>
      </c>
      <c r="E1735" s="4">
        <v>3105301</v>
      </c>
      <c r="F1735" s="11" t="s">
        <v>3644</v>
      </c>
      <c r="G1735" s="4" t="s">
        <v>232</v>
      </c>
      <c r="H1735" s="4"/>
    </row>
    <row r="1736" s="1" customFormat="1" spans="1:8">
      <c r="A1736" s="4" t="s">
        <v>205</v>
      </c>
      <c r="B1736" s="4" t="s">
        <v>79</v>
      </c>
      <c r="C1736" s="4" t="s">
        <v>82</v>
      </c>
      <c r="D1736" s="11" t="s">
        <v>3645</v>
      </c>
      <c r="E1736" s="4">
        <v>3105509</v>
      </c>
      <c r="F1736" s="11" t="s">
        <v>3646</v>
      </c>
      <c r="G1736" s="4" t="s">
        <v>232</v>
      </c>
      <c r="H1736" s="4"/>
    </row>
    <row r="1737" s="1" customFormat="1" spans="1:8">
      <c r="A1737" s="4" t="s">
        <v>205</v>
      </c>
      <c r="B1737" s="4" t="s">
        <v>79</v>
      </c>
      <c r="C1737" s="4" t="s">
        <v>82</v>
      </c>
      <c r="D1737" s="11" t="s">
        <v>3647</v>
      </c>
      <c r="E1737" s="4">
        <v>3106507</v>
      </c>
      <c r="F1737" s="11" t="s">
        <v>3648</v>
      </c>
      <c r="G1737" s="4" t="s">
        <v>232</v>
      </c>
      <c r="H1737" s="4"/>
    </row>
    <row r="1738" s="1" customFormat="1" spans="1:8">
      <c r="A1738" s="4" t="s">
        <v>205</v>
      </c>
      <c r="B1738" s="4" t="s">
        <v>79</v>
      </c>
      <c r="C1738" s="4" t="s">
        <v>82</v>
      </c>
      <c r="D1738" s="11" t="s">
        <v>3649</v>
      </c>
      <c r="E1738" s="4">
        <v>3106903</v>
      </c>
      <c r="F1738" s="11" t="s">
        <v>3650</v>
      </c>
      <c r="G1738" s="4" t="s">
        <v>232</v>
      </c>
      <c r="H1738" s="4"/>
    </row>
    <row r="1739" s="1" customFormat="1" spans="1:8">
      <c r="A1739" s="4" t="s">
        <v>205</v>
      </c>
      <c r="B1739" s="4" t="s">
        <v>79</v>
      </c>
      <c r="C1739" s="4" t="s">
        <v>82</v>
      </c>
      <c r="D1739" s="11" t="s">
        <v>3651</v>
      </c>
      <c r="E1739" s="4">
        <v>3107208</v>
      </c>
      <c r="F1739" s="11" t="s">
        <v>3652</v>
      </c>
      <c r="G1739" s="4" t="s">
        <v>232</v>
      </c>
      <c r="H1739" s="4"/>
    </row>
    <row r="1740" s="1" customFormat="1" spans="1:8">
      <c r="A1740" s="4" t="s">
        <v>205</v>
      </c>
      <c r="B1740" s="4" t="s">
        <v>79</v>
      </c>
      <c r="C1740" s="4" t="s">
        <v>82</v>
      </c>
      <c r="D1740" s="11" t="s">
        <v>3653</v>
      </c>
      <c r="E1740" s="4">
        <v>3107307</v>
      </c>
      <c r="F1740" s="11" t="s">
        <v>3654</v>
      </c>
      <c r="G1740" s="4" t="s">
        <v>232</v>
      </c>
      <c r="H1740" s="4"/>
    </row>
    <row r="1741" s="1" customFormat="1" spans="1:8">
      <c r="A1741" s="4" t="s">
        <v>205</v>
      </c>
      <c r="B1741" s="4" t="s">
        <v>79</v>
      </c>
      <c r="C1741" s="4" t="s">
        <v>82</v>
      </c>
      <c r="D1741" s="11" t="s">
        <v>3655</v>
      </c>
      <c r="E1741" s="4">
        <v>3107505</v>
      </c>
      <c r="F1741" s="11" t="s">
        <v>3656</v>
      </c>
      <c r="G1741" s="4" t="s">
        <v>232</v>
      </c>
      <c r="H1741" s="4"/>
    </row>
    <row r="1742" s="1" customFormat="1" spans="1:8">
      <c r="A1742" s="4" t="s">
        <v>205</v>
      </c>
      <c r="B1742" s="4" t="s">
        <v>79</v>
      </c>
      <c r="C1742" s="4" t="s">
        <v>82</v>
      </c>
      <c r="D1742" s="11" t="s">
        <v>3657</v>
      </c>
      <c r="E1742" s="4">
        <v>3107604</v>
      </c>
      <c r="F1742" s="11" t="s">
        <v>3658</v>
      </c>
      <c r="G1742" s="4" t="s">
        <v>232</v>
      </c>
      <c r="H1742" s="4"/>
    </row>
    <row r="1743" s="1" customFormat="1" spans="1:8">
      <c r="A1743" s="4" t="s">
        <v>205</v>
      </c>
      <c r="B1743" s="4" t="s">
        <v>79</v>
      </c>
      <c r="C1743" s="4" t="s">
        <v>82</v>
      </c>
      <c r="D1743" s="11" t="s">
        <v>3659</v>
      </c>
      <c r="E1743" s="4">
        <v>3107901</v>
      </c>
      <c r="F1743" s="11" t="s">
        <v>3660</v>
      </c>
      <c r="G1743" s="4" t="s">
        <v>232</v>
      </c>
      <c r="H1743" s="4"/>
    </row>
    <row r="1744" s="1" customFormat="1" spans="1:8">
      <c r="A1744" s="4" t="s">
        <v>205</v>
      </c>
      <c r="B1744" s="4" t="s">
        <v>79</v>
      </c>
      <c r="C1744" s="4" t="s">
        <v>82</v>
      </c>
      <c r="D1744" s="11" t="s">
        <v>3661</v>
      </c>
      <c r="E1744" s="4">
        <v>3108206</v>
      </c>
      <c r="F1744" s="11" t="s">
        <v>3662</v>
      </c>
      <c r="G1744" s="4" t="s">
        <v>232</v>
      </c>
      <c r="H1744" s="4"/>
    </row>
    <row r="1745" s="1" customFormat="1" spans="1:8">
      <c r="A1745" s="4" t="s">
        <v>205</v>
      </c>
      <c r="B1745" s="4" t="s">
        <v>79</v>
      </c>
      <c r="C1745" s="4" t="s">
        <v>82</v>
      </c>
      <c r="D1745" s="11" t="s">
        <v>3663</v>
      </c>
      <c r="E1745" s="4">
        <v>3108305</v>
      </c>
      <c r="F1745" s="11" t="s">
        <v>3664</v>
      </c>
      <c r="G1745" s="4" t="s">
        <v>232</v>
      </c>
      <c r="H1745" s="4"/>
    </row>
    <row r="1746" s="1" customFormat="1" spans="1:8">
      <c r="A1746" s="4" t="s">
        <v>205</v>
      </c>
      <c r="B1746" s="4" t="s">
        <v>79</v>
      </c>
      <c r="C1746" s="4" t="s">
        <v>82</v>
      </c>
      <c r="D1746" s="11" t="s">
        <v>3665</v>
      </c>
      <c r="E1746" s="4">
        <v>3108404</v>
      </c>
      <c r="F1746" s="11" t="s">
        <v>3666</v>
      </c>
      <c r="G1746" s="4" t="s">
        <v>232</v>
      </c>
      <c r="H1746" s="4"/>
    </row>
    <row r="1747" s="1" customFormat="1" spans="1:8">
      <c r="A1747" s="4" t="s">
        <v>205</v>
      </c>
      <c r="B1747" s="4" t="s">
        <v>79</v>
      </c>
      <c r="C1747" s="4" t="s">
        <v>82</v>
      </c>
      <c r="D1747" s="11" t="s">
        <v>3667</v>
      </c>
      <c r="E1747" s="4">
        <v>3108503</v>
      </c>
      <c r="F1747" s="11" t="s">
        <v>3668</v>
      </c>
      <c r="G1747" s="4" t="s">
        <v>232</v>
      </c>
      <c r="H1747" s="4"/>
    </row>
    <row r="1748" s="1" customFormat="1" spans="1:8">
      <c r="A1748" s="4" t="s">
        <v>205</v>
      </c>
      <c r="B1748" s="4" t="s">
        <v>79</v>
      </c>
      <c r="C1748" s="4" t="s">
        <v>82</v>
      </c>
      <c r="D1748" s="11" t="s">
        <v>3669</v>
      </c>
      <c r="E1748" s="4">
        <v>3108552</v>
      </c>
      <c r="F1748" s="11" t="s">
        <v>3670</v>
      </c>
      <c r="G1748" s="4" t="s">
        <v>232</v>
      </c>
      <c r="H1748" s="4"/>
    </row>
    <row r="1749" s="1" customFormat="1" spans="1:8">
      <c r="A1749" s="4" t="s">
        <v>205</v>
      </c>
      <c r="B1749" s="4" t="s">
        <v>79</v>
      </c>
      <c r="C1749" s="4" t="s">
        <v>82</v>
      </c>
      <c r="D1749" s="11" t="s">
        <v>3671</v>
      </c>
      <c r="E1749" s="4">
        <v>3108602</v>
      </c>
      <c r="F1749" s="11" t="s">
        <v>3672</v>
      </c>
      <c r="G1749" s="4" t="s">
        <v>232</v>
      </c>
      <c r="H1749" s="4"/>
    </row>
    <row r="1750" s="1" customFormat="1" spans="1:8">
      <c r="A1750" s="4" t="s">
        <v>205</v>
      </c>
      <c r="B1750" s="4" t="s">
        <v>79</v>
      </c>
      <c r="C1750" s="4" t="s">
        <v>82</v>
      </c>
      <c r="D1750" s="11" t="s">
        <v>3673</v>
      </c>
      <c r="E1750" s="4">
        <v>3108909</v>
      </c>
      <c r="F1750" s="11" t="s">
        <v>3674</v>
      </c>
      <c r="G1750" s="4" t="s">
        <v>232</v>
      </c>
      <c r="H1750" s="4"/>
    </row>
    <row r="1751" s="1" customFormat="1" spans="1:8">
      <c r="A1751" s="4" t="s">
        <v>205</v>
      </c>
      <c r="B1751" s="4" t="s">
        <v>79</v>
      </c>
      <c r="C1751" s="4" t="s">
        <v>82</v>
      </c>
      <c r="D1751" s="11" t="s">
        <v>3675</v>
      </c>
      <c r="E1751" s="4">
        <v>3108800</v>
      </c>
      <c r="F1751" s="11" t="s">
        <v>3676</v>
      </c>
      <c r="G1751" s="4" t="s">
        <v>232</v>
      </c>
      <c r="H1751" s="4"/>
    </row>
    <row r="1752" s="1" customFormat="1" spans="1:8">
      <c r="A1752" s="4" t="s">
        <v>205</v>
      </c>
      <c r="B1752" s="4" t="s">
        <v>79</v>
      </c>
      <c r="C1752" s="4" t="s">
        <v>82</v>
      </c>
      <c r="D1752" s="11" t="s">
        <v>3677</v>
      </c>
      <c r="E1752" s="4">
        <v>3109105</v>
      </c>
      <c r="F1752" s="11" t="s">
        <v>3678</v>
      </c>
      <c r="G1752" s="4" t="s">
        <v>232</v>
      </c>
      <c r="H1752" s="4"/>
    </row>
    <row r="1753" s="1" customFormat="1" spans="1:8">
      <c r="A1753" s="4" t="s">
        <v>205</v>
      </c>
      <c r="B1753" s="4" t="s">
        <v>79</v>
      </c>
      <c r="C1753" s="4" t="s">
        <v>82</v>
      </c>
      <c r="D1753" s="11" t="s">
        <v>3679</v>
      </c>
      <c r="E1753" s="4">
        <v>3109402</v>
      </c>
      <c r="F1753" s="11" t="s">
        <v>3680</v>
      </c>
      <c r="G1753" s="4" t="s">
        <v>232</v>
      </c>
      <c r="H1753" s="4"/>
    </row>
    <row r="1754" s="1" customFormat="1" spans="1:8">
      <c r="A1754" s="4" t="s">
        <v>205</v>
      </c>
      <c r="B1754" s="4" t="s">
        <v>79</v>
      </c>
      <c r="C1754" s="4" t="s">
        <v>82</v>
      </c>
      <c r="D1754" s="11" t="s">
        <v>3681</v>
      </c>
      <c r="E1754" s="4">
        <v>3109501</v>
      </c>
      <c r="F1754" s="11" t="s">
        <v>3682</v>
      </c>
      <c r="G1754" s="4" t="s">
        <v>232</v>
      </c>
      <c r="H1754" s="4"/>
    </row>
    <row r="1755" s="1" customFormat="1" spans="1:8">
      <c r="A1755" s="4" t="s">
        <v>205</v>
      </c>
      <c r="B1755" s="4" t="s">
        <v>79</v>
      </c>
      <c r="C1755" s="4" t="s">
        <v>82</v>
      </c>
      <c r="D1755" s="11" t="s">
        <v>3683</v>
      </c>
      <c r="E1755" s="4">
        <v>3109709</v>
      </c>
      <c r="F1755" s="11" t="s">
        <v>3684</v>
      </c>
      <c r="G1755" s="4" t="s">
        <v>232</v>
      </c>
      <c r="H1755" s="4"/>
    </row>
    <row r="1756" s="1" customFormat="1" spans="1:8">
      <c r="A1756" s="4" t="s">
        <v>205</v>
      </c>
      <c r="B1756" s="4" t="s">
        <v>79</v>
      </c>
      <c r="C1756" s="4" t="s">
        <v>82</v>
      </c>
      <c r="D1756" s="11" t="s">
        <v>3685</v>
      </c>
      <c r="E1756" s="4">
        <v>3110103</v>
      </c>
      <c r="F1756" s="11" t="s">
        <v>3686</v>
      </c>
      <c r="G1756" s="4" t="s">
        <v>232</v>
      </c>
      <c r="H1756" s="4"/>
    </row>
    <row r="1757" s="1" customFormat="1" spans="1:8">
      <c r="A1757" s="4" t="s">
        <v>205</v>
      </c>
      <c r="B1757" s="4" t="s">
        <v>79</v>
      </c>
      <c r="C1757" s="4" t="s">
        <v>82</v>
      </c>
      <c r="D1757" s="11" t="s">
        <v>3687</v>
      </c>
      <c r="E1757" s="4">
        <v>3110301</v>
      </c>
      <c r="F1757" s="11" t="s">
        <v>3688</v>
      </c>
      <c r="G1757" s="4" t="s">
        <v>232</v>
      </c>
      <c r="H1757" s="4"/>
    </row>
    <row r="1758" s="1" customFormat="1" spans="1:8">
      <c r="A1758" s="4" t="s">
        <v>205</v>
      </c>
      <c r="B1758" s="4" t="s">
        <v>79</v>
      </c>
      <c r="C1758" s="4" t="s">
        <v>82</v>
      </c>
      <c r="D1758" s="11" t="s">
        <v>3689</v>
      </c>
      <c r="E1758" s="4">
        <v>3110509</v>
      </c>
      <c r="F1758" s="11" t="s">
        <v>3690</v>
      </c>
      <c r="G1758" s="4" t="s">
        <v>232</v>
      </c>
      <c r="H1758" s="4"/>
    </row>
    <row r="1759" s="1" customFormat="1" spans="1:8">
      <c r="A1759" s="4" t="s">
        <v>205</v>
      </c>
      <c r="B1759" s="4" t="s">
        <v>79</v>
      </c>
      <c r="C1759" s="4" t="s">
        <v>82</v>
      </c>
      <c r="D1759" s="11" t="s">
        <v>3691</v>
      </c>
      <c r="E1759" s="4">
        <v>3110707</v>
      </c>
      <c r="F1759" s="11" t="s">
        <v>3692</v>
      </c>
      <c r="G1759" s="4" t="s">
        <v>232</v>
      </c>
      <c r="H1759" s="4"/>
    </row>
    <row r="1760" s="1" customFormat="1" spans="1:8">
      <c r="A1760" s="4" t="s">
        <v>205</v>
      </c>
      <c r="B1760" s="4" t="s">
        <v>79</v>
      </c>
      <c r="C1760" s="4" t="s">
        <v>82</v>
      </c>
      <c r="D1760" s="11" t="s">
        <v>3693</v>
      </c>
      <c r="E1760" s="4">
        <v>3110608</v>
      </c>
      <c r="F1760" s="11" t="s">
        <v>3694</v>
      </c>
      <c r="G1760" s="4" t="s">
        <v>232</v>
      </c>
      <c r="H1760" s="4"/>
    </row>
    <row r="1761" s="1" customFormat="1" spans="1:8">
      <c r="A1761" s="4" t="s">
        <v>205</v>
      </c>
      <c r="B1761" s="4" t="s">
        <v>79</v>
      </c>
      <c r="C1761" s="4" t="s">
        <v>82</v>
      </c>
      <c r="D1761" s="11" t="s">
        <v>3695</v>
      </c>
      <c r="E1761" s="4">
        <v>3110905</v>
      </c>
      <c r="F1761" s="11" t="s">
        <v>3696</v>
      </c>
      <c r="G1761" s="4" t="s">
        <v>232</v>
      </c>
      <c r="H1761" s="4"/>
    </row>
    <row r="1762" s="1" customFormat="1" spans="1:8">
      <c r="A1762" s="4" t="s">
        <v>205</v>
      </c>
      <c r="B1762" s="4" t="s">
        <v>79</v>
      </c>
      <c r="C1762" s="4" t="s">
        <v>82</v>
      </c>
      <c r="D1762" s="11" t="s">
        <v>3697</v>
      </c>
      <c r="E1762" s="4">
        <v>3110806</v>
      </c>
      <c r="F1762" s="11" t="s">
        <v>3698</v>
      </c>
      <c r="G1762" s="4" t="s">
        <v>232</v>
      </c>
      <c r="H1762" s="4"/>
    </row>
    <row r="1763" s="1" customFormat="1" spans="1:8">
      <c r="A1763" s="4" t="s">
        <v>205</v>
      </c>
      <c r="B1763" s="4" t="s">
        <v>79</v>
      </c>
      <c r="C1763" s="4" t="s">
        <v>82</v>
      </c>
      <c r="D1763" s="11" t="s">
        <v>330</v>
      </c>
      <c r="E1763" s="4">
        <v>3111002</v>
      </c>
      <c r="F1763" s="11" t="s">
        <v>3699</v>
      </c>
      <c r="G1763" s="4" t="s">
        <v>232</v>
      </c>
      <c r="H1763" s="4"/>
    </row>
    <row r="1764" s="1" customFormat="1" spans="1:8">
      <c r="A1764" s="4" t="s">
        <v>205</v>
      </c>
      <c r="B1764" s="4" t="s">
        <v>79</v>
      </c>
      <c r="C1764" s="4" t="s">
        <v>82</v>
      </c>
      <c r="D1764" s="11" t="s">
        <v>3700</v>
      </c>
      <c r="E1764" s="4">
        <v>3111150</v>
      </c>
      <c r="F1764" s="11" t="s">
        <v>3701</v>
      </c>
      <c r="G1764" s="4" t="s">
        <v>232</v>
      </c>
      <c r="H1764" s="4"/>
    </row>
    <row r="1765" s="1" customFormat="1" spans="1:8">
      <c r="A1765" s="4" t="s">
        <v>205</v>
      </c>
      <c r="B1765" s="4" t="s">
        <v>79</v>
      </c>
      <c r="C1765" s="4" t="s">
        <v>82</v>
      </c>
      <c r="D1765" s="11" t="s">
        <v>3702</v>
      </c>
      <c r="E1765" s="4">
        <v>3111309</v>
      </c>
      <c r="F1765" s="11" t="s">
        <v>3703</v>
      </c>
      <c r="G1765" s="4" t="s">
        <v>232</v>
      </c>
      <c r="H1765" s="4"/>
    </row>
    <row r="1766" s="1" customFormat="1" spans="1:8">
      <c r="A1766" s="4" t="s">
        <v>205</v>
      </c>
      <c r="B1766" s="4" t="s">
        <v>79</v>
      </c>
      <c r="C1766" s="4" t="s">
        <v>82</v>
      </c>
      <c r="D1766" s="11" t="s">
        <v>3704</v>
      </c>
      <c r="E1766" s="4">
        <v>3111408</v>
      </c>
      <c r="F1766" s="11" t="s">
        <v>3705</v>
      </c>
      <c r="G1766" s="4" t="s">
        <v>232</v>
      </c>
      <c r="H1766" s="4"/>
    </row>
    <row r="1767" s="1" customFormat="1" spans="1:8">
      <c r="A1767" s="4" t="s">
        <v>205</v>
      </c>
      <c r="B1767" s="4" t="s">
        <v>79</v>
      </c>
      <c r="C1767" s="4" t="s">
        <v>82</v>
      </c>
      <c r="D1767" s="11" t="s">
        <v>3706</v>
      </c>
      <c r="E1767" s="4">
        <v>3111606</v>
      </c>
      <c r="F1767" s="11" t="s">
        <v>3707</v>
      </c>
      <c r="G1767" s="4" t="s">
        <v>232</v>
      </c>
      <c r="H1767" s="4"/>
    </row>
    <row r="1768" s="1" customFormat="1" spans="1:8">
      <c r="A1768" s="4" t="s">
        <v>205</v>
      </c>
      <c r="B1768" s="4" t="s">
        <v>79</v>
      </c>
      <c r="C1768" s="4" t="s">
        <v>82</v>
      </c>
      <c r="D1768" s="11" t="s">
        <v>3708</v>
      </c>
      <c r="E1768" s="4">
        <v>3112059</v>
      </c>
      <c r="F1768" s="11" t="s">
        <v>3709</v>
      </c>
      <c r="G1768" s="4" t="s">
        <v>232</v>
      </c>
      <c r="H1768" s="4"/>
    </row>
    <row r="1769" s="1" customFormat="1" spans="1:8">
      <c r="A1769" s="4" t="s">
        <v>205</v>
      </c>
      <c r="B1769" s="4" t="s">
        <v>79</v>
      </c>
      <c r="C1769" s="4" t="s">
        <v>82</v>
      </c>
      <c r="D1769" s="11" t="s">
        <v>3710</v>
      </c>
      <c r="E1769" s="4">
        <v>3112109</v>
      </c>
      <c r="F1769" s="11" t="s">
        <v>3711</v>
      </c>
      <c r="G1769" s="4" t="s">
        <v>232</v>
      </c>
      <c r="H1769" s="4"/>
    </row>
    <row r="1770" s="1" customFormat="1" spans="1:8">
      <c r="A1770" s="4" t="s">
        <v>205</v>
      </c>
      <c r="B1770" s="4" t="s">
        <v>79</v>
      </c>
      <c r="C1770" s="4" t="s">
        <v>82</v>
      </c>
      <c r="D1770" s="11" t="s">
        <v>3712</v>
      </c>
      <c r="E1770" s="4">
        <v>3112307</v>
      </c>
      <c r="F1770" s="11" t="s">
        <v>3713</v>
      </c>
      <c r="G1770" s="4" t="s">
        <v>232</v>
      </c>
      <c r="H1770" s="4"/>
    </row>
    <row r="1771" s="1" customFormat="1" spans="1:8">
      <c r="A1771" s="4" t="s">
        <v>205</v>
      </c>
      <c r="B1771" s="4" t="s">
        <v>79</v>
      </c>
      <c r="C1771" s="4" t="s">
        <v>82</v>
      </c>
      <c r="D1771" s="11" t="s">
        <v>3714</v>
      </c>
      <c r="E1771" s="4">
        <v>3112406</v>
      </c>
      <c r="F1771" s="11" t="s">
        <v>3715</v>
      </c>
      <c r="G1771" s="4" t="s">
        <v>232</v>
      </c>
      <c r="H1771" s="4"/>
    </row>
    <row r="1772" s="1" customFormat="1" spans="1:8">
      <c r="A1772" s="4" t="s">
        <v>205</v>
      </c>
      <c r="B1772" s="4" t="s">
        <v>79</v>
      </c>
      <c r="C1772" s="4" t="s">
        <v>82</v>
      </c>
      <c r="D1772" s="11" t="s">
        <v>3716</v>
      </c>
      <c r="E1772" s="4">
        <v>3112653</v>
      </c>
      <c r="F1772" s="11" t="s">
        <v>3717</v>
      </c>
      <c r="G1772" s="4" t="s">
        <v>232</v>
      </c>
      <c r="H1772" s="4"/>
    </row>
    <row r="1773" s="1" customFormat="1" spans="1:8">
      <c r="A1773" s="4" t="s">
        <v>205</v>
      </c>
      <c r="B1773" s="4" t="s">
        <v>79</v>
      </c>
      <c r="C1773" s="4" t="s">
        <v>82</v>
      </c>
      <c r="D1773" s="11" t="s">
        <v>3718</v>
      </c>
      <c r="E1773" s="4">
        <v>3112703</v>
      </c>
      <c r="F1773" s="11" t="s">
        <v>3719</v>
      </c>
      <c r="G1773" s="4" t="s">
        <v>232</v>
      </c>
      <c r="H1773" s="4"/>
    </row>
    <row r="1774" s="1" customFormat="1" spans="1:8">
      <c r="A1774" s="4" t="s">
        <v>205</v>
      </c>
      <c r="B1774" s="4" t="s">
        <v>79</v>
      </c>
      <c r="C1774" s="4" t="s">
        <v>82</v>
      </c>
      <c r="D1774" s="11" t="s">
        <v>3720</v>
      </c>
      <c r="E1774" s="4">
        <v>3113305</v>
      </c>
      <c r="F1774" s="11" t="s">
        <v>3721</v>
      </c>
      <c r="G1774" s="4" t="s">
        <v>232</v>
      </c>
      <c r="H1774" s="4"/>
    </row>
    <row r="1775" s="1" customFormat="1" spans="1:8">
      <c r="A1775" s="4" t="s">
        <v>205</v>
      </c>
      <c r="B1775" s="4" t="s">
        <v>79</v>
      </c>
      <c r="C1775" s="4" t="s">
        <v>82</v>
      </c>
      <c r="D1775" s="11" t="s">
        <v>3722</v>
      </c>
      <c r="E1775" s="4">
        <v>3113404</v>
      </c>
      <c r="F1775" s="11" t="s">
        <v>3723</v>
      </c>
      <c r="G1775" s="4" t="s">
        <v>232</v>
      </c>
      <c r="H1775" s="4"/>
    </row>
    <row r="1776" s="1" customFormat="1" spans="1:8">
      <c r="A1776" s="4" t="s">
        <v>205</v>
      </c>
      <c r="B1776" s="4" t="s">
        <v>79</v>
      </c>
      <c r="C1776" s="4" t="s">
        <v>82</v>
      </c>
      <c r="D1776" s="11" t="s">
        <v>3724</v>
      </c>
      <c r="E1776" s="4">
        <v>3113008</v>
      </c>
      <c r="F1776" s="11" t="s">
        <v>3725</v>
      </c>
      <c r="G1776" s="4" t="s">
        <v>232</v>
      </c>
      <c r="H1776" s="4"/>
    </row>
    <row r="1777" s="1" customFormat="1" spans="1:8">
      <c r="A1777" s="4" t="s">
        <v>205</v>
      </c>
      <c r="B1777" s="4" t="s">
        <v>79</v>
      </c>
      <c r="C1777" s="4" t="s">
        <v>82</v>
      </c>
      <c r="D1777" s="11" t="s">
        <v>3726</v>
      </c>
      <c r="E1777" s="4">
        <v>3113503</v>
      </c>
      <c r="F1777" s="11" t="s">
        <v>3727</v>
      </c>
      <c r="G1777" s="4" t="s">
        <v>232</v>
      </c>
      <c r="H1777" s="4"/>
    </row>
    <row r="1778" s="1" customFormat="1" spans="1:8">
      <c r="A1778" s="4" t="s">
        <v>205</v>
      </c>
      <c r="B1778" s="4" t="s">
        <v>79</v>
      </c>
      <c r="C1778" s="4" t="s">
        <v>82</v>
      </c>
      <c r="D1778" s="11" t="s">
        <v>3728</v>
      </c>
      <c r="E1778" s="4">
        <v>3113602</v>
      </c>
      <c r="F1778" s="11" t="s">
        <v>3729</v>
      </c>
      <c r="G1778" s="4" t="s">
        <v>232</v>
      </c>
      <c r="H1778" s="4"/>
    </row>
    <row r="1779" s="1" customFormat="1" spans="1:8">
      <c r="A1779" s="4" t="s">
        <v>205</v>
      </c>
      <c r="B1779" s="4" t="s">
        <v>79</v>
      </c>
      <c r="C1779" s="4" t="s">
        <v>82</v>
      </c>
      <c r="D1779" s="11" t="s">
        <v>3730</v>
      </c>
      <c r="E1779" s="4">
        <v>3113701</v>
      </c>
      <c r="F1779" s="11" t="s">
        <v>3731</v>
      </c>
      <c r="G1779" s="4" t="s">
        <v>232</v>
      </c>
      <c r="H1779" s="4"/>
    </row>
    <row r="1780" s="1" customFormat="1" spans="1:8">
      <c r="A1780" s="4" t="s">
        <v>205</v>
      </c>
      <c r="B1780" s="4" t="s">
        <v>79</v>
      </c>
      <c r="C1780" s="4" t="s">
        <v>82</v>
      </c>
      <c r="D1780" s="11" t="s">
        <v>3732</v>
      </c>
      <c r="E1780" s="4">
        <v>3114105</v>
      </c>
      <c r="F1780" s="11" t="s">
        <v>3733</v>
      </c>
      <c r="G1780" s="4" t="s">
        <v>232</v>
      </c>
      <c r="H1780" s="4"/>
    </row>
    <row r="1781" s="1" customFormat="1" spans="1:8">
      <c r="A1781" s="4" t="s">
        <v>205</v>
      </c>
      <c r="B1781" s="4" t="s">
        <v>79</v>
      </c>
      <c r="C1781" s="4" t="s">
        <v>82</v>
      </c>
      <c r="D1781" s="11" t="s">
        <v>3734</v>
      </c>
      <c r="E1781" s="4">
        <v>3114303</v>
      </c>
      <c r="F1781" s="11" t="s">
        <v>3735</v>
      </c>
      <c r="G1781" s="4" t="s">
        <v>232</v>
      </c>
      <c r="H1781" s="4"/>
    </row>
    <row r="1782" s="1" customFormat="1" spans="1:8">
      <c r="A1782" s="4" t="s">
        <v>205</v>
      </c>
      <c r="B1782" s="4" t="s">
        <v>79</v>
      </c>
      <c r="C1782" s="4" t="s">
        <v>82</v>
      </c>
      <c r="D1782" s="11" t="s">
        <v>3736</v>
      </c>
      <c r="E1782" s="4">
        <v>3114402</v>
      </c>
      <c r="F1782" s="11" t="s">
        <v>3737</v>
      </c>
      <c r="G1782" s="4" t="s">
        <v>232</v>
      </c>
      <c r="H1782" s="4"/>
    </row>
    <row r="1783" s="1" customFormat="1" spans="1:8">
      <c r="A1783" s="4" t="s">
        <v>205</v>
      </c>
      <c r="B1783" s="4" t="s">
        <v>79</v>
      </c>
      <c r="C1783" s="4" t="s">
        <v>82</v>
      </c>
      <c r="D1783" s="11" t="s">
        <v>3738</v>
      </c>
      <c r="E1783" s="4">
        <v>3114808</v>
      </c>
      <c r="F1783" s="11" t="s">
        <v>3739</v>
      </c>
      <c r="G1783" s="4" t="s">
        <v>232</v>
      </c>
      <c r="H1783" s="4"/>
    </row>
    <row r="1784" s="1" customFormat="1" spans="1:8">
      <c r="A1784" s="4" t="s">
        <v>205</v>
      </c>
      <c r="B1784" s="4" t="s">
        <v>79</v>
      </c>
      <c r="C1784" s="4" t="s">
        <v>82</v>
      </c>
      <c r="D1784" s="11" t="s">
        <v>3740</v>
      </c>
      <c r="E1784" s="4">
        <v>3114709</v>
      </c>
      <c r="F1784" s="11" t="s">
        <v>3741</v>
      </c>
      <c r="G1784" s="4" t="s">
        <v>232</v>
      </c>
      <c r="H1784" s="4"/>
    </row>
    <row r="1785" s="1" customFormat="1" spans="1:8">
      <c r="A1785" s="4" t="s">
        <v>205</v>
      </c>
      <c r="B1785" s="4" t="s">
        <v>79</v>
      </c>
      <c r="C1785" s="4" t="s">
        <v>82</v>
      </c>
      <c r="D1785" s="11" t="s">
        <v>3742</v>
      </c>
      <c r="E1785" s="4">
        <v>3115003</v>
      </c>
      <c r="F1785" s="11" t="s">
        <v>3743</v>
      </c>
      <c r="G1785" s="4" t="s">
        <v>232</v>
      </c>
      <c r="H1785" s="4"/>
    </row>
    <row r="1786" s="1" customFormat="1" spans="1:8">
      <c r="A1786" s="4" t="s">
        <v>205</v>
      </c>
      <c r="B1786" s="4" t="s">
        <v>79</v>
      </c>
      <c r="C1786" s="4" t="s">
        <v>82</v>
      </c>
      <c r="D1786" s="11" t="s">
        <v>3744</v>
      </c>
      <c r="E1786" s="4">
        <v>3115300</v>
      </c>
      <c r="F1786" s="11" t="s">
        <v>3745</v>
      </c>
      <c r="G1786" s="4" t="s">
        <v>232</v>
      </c>
      <c r="H1786" s="4"/>
    </row>
    <row r="1787" s="1" customFormat="1" spans="1:8">
      <c r="A1787" s="4" t="s">
        <v>205</v>
      </c>
      <c r="B1787" s="4" t="s">
        <v>79</v>
      </c>
      <c r="C1787" s="4" t="s">
        <v>82</v>
      </c>
      <c r="D1787" s="11" t="s">
        <v>3746</v>
      </c>
      <c r="E1787" s="4">
        <v>3115458</v>
      </c>
      <c r="F1787" s="11" t="s">
        <v>3747</v>
      </c>
      <c r="G1787" s="4" t="s">
        <v>232</v>
      </c>
      <c r="H1787" s="4"/>
    </row>
    <row r="1788" s="1" customFormat="1" spans="1:8">
      <c r="A1788" s="4" t="s">
        <v>205</v>
      </c>
      <c r="B1788" s="4" t="s">
        <v>79</v>
      </c>
      <c r="C1788" s="4" t="s">
        <v>82</v>
      </c>
      <c r="D1788" s="11" t="s">
        <v>3748</v>
      </c>
      <c r="E1788" s="4">
        <v>3115508</v>
      </c>
      <c r="F1788" s="11" t="s">
        <v>3749</v>
      </c>
      <c r="G1788" s="4" t="s">
        <v>232</v>
      </c>
      <c r="H1788" s="4"/>
    </row>
    <row r="1789" s="1" customFormat="1" spans="1:8">
      <c r="A1789" s="4" t="s">
        <v>205</v>
      </c>
      <c r="B1789" s="4" t="s">
        <v>79</v>
      </c>
      <c r="C1789" s="4" t="s">
        <v>82</v>
      </c>
      <c r="D1789" s="11" t="s">
        <v>3750</v>
      </c>
      <c r="E1789" s="4">
        <v>3115706</v>
      </c>
      <c r="F1789" s="11" t="s">
        <v>3751</v>
      </c>
      <c r="G1789" s="4" t="s">
        <v>232</v>
      </c>
      <c r="H1789" s="4"/>
    </row>
    <row r="1790" s="1" customFormat="1" spans="1:8">
      <c r="A1790" s="4" t="s">
        <v>205</v>
      </c>
      <c r="B1790" s="4" t="s">
        <v>79</v>
      </c>
      <c r="C1790" s="4" t="s">
        <v>82</v>
      </c>
      <c r="D1790" s="11" t="s">
        <v>3752</v>
      </c>
      <c r="E1790" s="4">
        <v>3116001</v>
      </c>
      <c r="F1790" s="11" t="s">
        <v>3753</v>
      </c>
      <c r="G1790" s="4" t="s">
        <v>232</v>
      </c>
      <c r="H1790" s="4"/>
    </row>
    <row r="1791" s="1" customFormat="1" spans="1:8">
      <c r="A1791" s="4" t="s">
        <v>205</v>
      </c>
      <c r="B1791" s="4" t="s">
        <v>79</v>
      </c>
      <c r="C1791" s="4" t="s">
        <v>82</v>
      </c>
      <c r="D1791" s="11" t="s">
        <v>3754</v>
      </c>
      <c r="E1791" s="4">
        <v>3116100</v>
      </c>
      <c r="F1791" s="11" t="s">
        <v>3755</v>
      </c>
      <c r="G1791" s="4" t="s">
        <v>232</v>
      </c>
      <c r="H1791" s="4"/>
    </row>
    <row r="1792" s="1" customFormat="1" spans="1:8">
      <c r="A1792" s="4" t="s">
        <v>205</v>
      </c>
      <c r="B1792" s="4" t="s">
        <v>79</v>
      </c>
      <c r="C1792" s="4" t="s">
        <v>82</v>
      </c>
      <c r="D1792" s="11" t="s">
        <v>3756</v>
      </c>
      <c r="E1792" s="4">
        <v>3116209</v>
      </c>
      <c r="F1792" s="11" t="s">
        <v>3757</v>
      </c>
      <c r="G1792" s="4" t="s">
        <v>232</v>
      </c>
      <c r="H1792" s="4"/>
    </row>
    <row r="1793" s="1" customFormat="1" spans="1:8">
      <c r="A1793" s="4" t="s">
        <v>205</v>
      </c>
      <c r="B1793" s="4" t="s">
        <v>79</v>
      </c>
      <c r="C1793" s="4" t="s">
        <v>82</v>
      </c>
      <c r="D1793" s="11" t="s">
        <v>3758</v>
      </c>
      <c r="E1793" s="4">
        <v>3116407</v>
      </c>
      <c r="F1793" s="11" t="s">
        <v>3759</v>
      </c>
      <c r="G1793" s="4" t="s">
        <v>232</v>
      </c>
      <c r="H1793" s="4"/>
    </row>
    <row r="1794" s="1" customFormat="1" spans="1:8">
      <c r="A1794" s="4" t="s">
        <v>205</v>
      </c>
      <c r="B1794" s="4" t="s">
        <v>79</v>
      </c>
      <c r="C1794" s="4" t="s">
        <v>82</v>
      </c>
      <c r="D1794" s="11" t="s">
        <v>3760</v>
      </c>
      <c r="E1794" s="4">
        <v>3116506</v>
      </c>
      <c r="F1794" s="11" t="s">
        <v>3761</v>
      </c>
      <c r="G1794" s="4" t="s">
        <v>232</v>
      </c>
      <c r="H1794" s="4"/>
    </row>
    <row r="1795" s="1" customFormat="1" spans="1:8">
      <c r="A1795" s="4" t="s">
        <v>205</v>
      </c>
      <c r="B1795" s="4" t="s">
        <v>79</v>
      </c>
      <c r="C1795" s="4" t="s">
        <v>82</v>
      </c>
      <c r="D1795" s="11" t="s">
        <v>3762</v>
      </c>
      <c r="E1795" s="4">
        <v>3116803</v>
      </c>
      <c r="F1795" s="11" t="s">
        <v>3763</v>
      </c>
      <c r="G1795" s="4" t="s">
        <v>232</v>
      </c>
      <c r="H1795" s="4"/>
    </row>
    <row r="1796" s="1" customFormat="1" spans="1:8">
      <c r="A1796" s="4" t="s">
        <v>205</v>
      </c>
      <c r="B1796" s="4" t="s">
        <v>79</v>
      </c>
      <c r="C1796" s="4" t="s">
        <v>82</v>
      </c>
      <c r="D1796" s="11" t="s">
        <v>3764</v>
      </c>
      <c r="E1796" s="4">
        <v>3117108</v>
      </c>
      <c r="F1796" s="11" t="s">
        <v>3765</v>
      </c>
      <c r="G1796" s="4" t="s">
        <v>232</v>
      </c>
      <c r="H1796" s="4"/>
    </row>
    <row r="1797" s="1" customFormat="1" spans="1:8">
      <c r="A1797" s="4" t="s">
        <v>205</v>
      </c>
      <c r="B1797" s="4" t="s">
        <v>79</v>
      </c>
      <c r="C1797" s="4" t="s">
        <v>82</v>
      </c>
      <c r="D1797" s="11" t="s">
        <v>3766</v>
      </c>
      <c r="E1797" s="4">
        <v>3117306</v>
      </c>
      <c r="F1797" s="11" t="s">
        <v>3767</v>
      </c>
      <c r="G1797" s="4" t="s">
        <v>232</v>
      </c>
      <c r="H1797" s="4"/>
    </row>
    <row r="1798" s="1" customFormat="1" spans="1:8">
      <c r="A1798" s="4" t="s">
        <v>205</v>
      </c>
      <c r="B1798" s="4" t="s">
        <v>79</v>
      </c>
      <c r="C1798" s="4" t="s">
        <v>82</v>
      </c>
      <c r="D1798" s="11" t="s">
        <v>3768</v>
      </c>
      <c r="E1798" s="4">
        <v>3117207</v>
      </c>
      <c r="F1798" s="11" t="s">
        <v>3769</v>
      </c>
      <c r="G1798" s="4" t="s">
        <v>232</v>
      </c>
      <c r="H1798" s="4"/>
    </row>
    <row r="1799" s="1" customFormat="1" spans="1:8">
      <c r="A1799" s="4" t="s">
        <v>205</v>
      </c>
      <c r="B1799" s="4" t="s">
        <v>79</v>
      </c>
      <c r="C1799" s="4" t="s">
        <v>82</v>
      </c>
      <c r="D1799" s="11" t="s">
        <v>3770</v>
      </c>
      <c r="E1799" s="4">
        <v>3117405</v>
      </c>
      <c r="F1799" s="11" t="s">
        <v>3771</v>
      </c>
      <c r="G1799" s="4" t="s">
        <v>232</v>
      </c>
      <c r="H1799" s="4"/>
    </row>
    <row r="1800" s="1" customFormat="1" spans="1:8">
      <c r="A1800" s="4" t="s">
        <v>205</v>
      </c>
      <c r="B1800" s="4" t="s">
        <v>79</v>
      </c>
      <c r="C1800" s="4" t="s">
        <v>82</v>
      </c>
      <c r="D1800" s="11" t="s">
        <v>3772</v>
      </c>
      <c r="E1800" s="4">
        <v>3117702</v>
      </c>
      <c r="F1800" s="11" t="s">
        <v>3773</v>
      </c>
      <c r="G1800" s="4" t="s">
        <v>232</v>
      </c>
      <c r="H1800" s="4"/>
    </row>
    <row r="1801" s="1" customFormat="1" spans="1:8">
      <c r="A1801" s="4" t="s">
        <v>205</v>
      </c>
      <c r="B1801" s="4" t="s">
        <v>79</v>
      </c>
      <c r="C1801" s="4" t="s">
        <v>82</v>
      </c>
      <c r="D1801" s="11" t="s">
        <v>3774</v>
      </c>
      <c r="E1801" s="4">
        <v>3117801</v>
      </c>
      <c r="F1801" s="11" t="s">
        <v>3775</v>
      </c>
      <c r="G1801" s="4" t="s">
        <v>232</v>
      </c>
      <c r="H1801" s="4"/>
    </row>
    <row r="1802" s="1" customFormat="1" spans="1:8">
      <c r="A1802" s="4" t="s">
        <v>205</v>
      </c>
      <c r="B1802" s="4" t="s">
        <v>79</v>
      </c>
      <c r="C1802" s="4" t="s">
        <v>82</v>
      </c>
      <c r="D1802" s="11" t="s">
        <v>3776</v>
      </c>
      <c r="E1802" s="4">
        <v>3117900</v>
      </c>
      <c r="F1802" s="11" t="s">
        <v>3777</v>
      </c>
      <c r="G1802" s="4" t="s">
        <v>232</v>
      </c>
      <c r="H1802" s="4"/>
    </row>
    <row r="1803" s="1" customFormat="1" spans="1:8">
      <c r="A1803" s="4" t="s">
        <v>205</v>
      </c>
      <c r="B1803" s="4" t="s">
        <v>79</v>
      </c>
      <c r="C1803" s="4" t="s">
        <v>82</v>
      </c>
      <c r="D1803" s="11" t="s">
        <v>3778</v>
      </c>
      <c r="E1803" s="4">
        <v>3118205</v>
      </c>
      <c r="F1803" s="11" t="s">
        <v>3779</v>
      </c>
      <c r="G1803" s="4" t="s">
        <v>232</v>
      </c>
      <c r="H1803" s="4"/>
    </row>
    <row r="1804" s="1" customFormat="1" spans="1:8">
      <c r="A1804" s="4" t="s">
        <v>205</v>
      </c>
      <c r="B1804" s="4" t="s">
        <v>79</v>
      </c>
      <c r="C1804" s="4" t="s">
        <v>82</v>
      </c>
      <c r="D1804" s="11" t="s">
        <v>3780</v>
      </c>
      <c r="E1804" s="4">
        <v>3118403</v>
      </c>
      <c r="F1804" s="11" t="s">
        <v>3781</v>
      </c>
      <c r="G1804" s="4" t="s">
        <v>232</v>
      </c>
      <c r="H1804" s="4"/>
    </row>
    <row r="1805" s="1" customFormat="1" spans="1:8">
      <c r="A1805" s="4" t="s">
        <v>205</v>
      </c>
      <c r="B1805" s="4" t="s">
        <v>79</v>
      </c>
      <c r="C1805" s="4" t="s">
        <v>82</v>
      </c>
      <c r="D1805" s="11" t="s">
        <v>3782</v>
      </c>
      <c r="E1805" s="4">
        <v>3118502</v>
      </c>
      <c r="F1805" s="11" t="s">
        <v>3783</v>
      </c>
      <c r="G1805" s="4" t="s">
        <v>232</v>
      </c>
      <c r="H1805" s="4"/>
    </row>
    <row r="1806" s="1" customFormat="1" spans="1:8">
      <c r="A1806" s="4" t="s">
        <v>205</v>
      </c>
      <c r="B1806" s="4" t="s">
        <v>79</v>
      </c>
      <c r="C1806" s="4" t="s">
        <v>82</v>
      </c>
      <c r="D1806" s="11" t="s">
        <v>3784</v>
      </c>
      <c r="E1806" s="4">
        <v>3118809</v>
      </c>
      <c r="F1806" s="11" t="s">
        <v>3785</v>
      </c>
      <c r="G1806" s="4" t="s">
        <v>232</v>
      </c>
      <c r="H1806" s="4"/>
    </row>
    <row r="1807" s="1" customFormat="1" spans="1:8">
      <c r="A1807" s="4" t="s">
        <v>205</v>
      </c>
      <c r="B1807" s="4" t="s">
        <v>79</v>
      </c>
      <c r="C1807" s="4" t="s">
        <v>82</v>
      </c>
      <c r="D1807" s="11" t="s">
        <v>3786</v>
      </c>
      <c r="E1807" s="4">
        <v>3119005</v>
      </c>
      <c r="F1807" s="11" t="s">
        <v>3787</v>
      </c>
      <c r="G1807" s="4" t="s">
        <v>232</v>
      </c>
      <c r="H1807" s="4"/>
    </row>
    <row r="1808" s="1" customFormat="1" spans="1:8">
      <c r="A1808" s="4" t="s">
        <v>205</v>
      </c>
      <c r="B1808" s="4" t="s">
        <v>79</v>
      </c>
      <c r="C1808" s="4" t="s">
        <v>82</v>
      </c>
      <c r="D1808" s="11" t="s">
        <v>3788</v>
      </c>
      <c r="E1808" s="4">
        <v>3119203</v>
      </c>
      <c r="F1808" s="11" t="s">
        <v>3789</v>
      </c>
      <c r="G1808" s="4" t="s">
        <v>232</v>
      </c>
      <c r="H1808" s="4"/>
    </row>
    <row r="1809" s="1" customFormat="1" spans="1:8">
      <c r="A1809" s="4" t="s">
        <v>205</v>
      </c>
      <c r="B1809" s="4" t="s">
        <v>79</v>
      </c>
      <c r="C1809" s="4" t="s">
        <v>82</v>
      </c>
      <c r="D1809" s="11" t="s">
        <v>3790</v>
      </c>
      <c r="E1809" s="4">
        <v>3119302</v>
      </c>
      <c r="F1809" s="11" t="s">
        <v>3791</v>
      </c>
      <c r="G1809" s="4" t="s">
        <v>232</v>
      </c>
      <c r="H1809" s="4"/>
    </row>
    <row r="1810" s="1" customFormat="1" spans="1:8">
      <c r="A1810" s="4" t="s">
        <v>205</v>
      </c>
      <c r="B1810" s="4" t="s">
        <v>79</v>
      </c>
      <c r="C1810" s="4" t="s">
        <v>82</v>
      </c>
      <c r="D1810" s="11" t="s">
        <v>3792</v>
      </c>
      <c r="E1810" s="4">
        <v>3120102</v>
      </c>
      <c r="F1810" s="11" t="s">
        <v>3793</v>
      </c>
      <c r="G1810" s="4" t="s">
        <v>232</v>
      </c>
      <c r="H1810" s="4"/>
    </row>
    <row r="1811" s="1" customFormat="1" spans="1:8">
      <c r="A1811" s="4" t="s">
        <v>205</v>
      </c>
      <c r="B1811" s="4" t="s">
        <v>79</v>
      </c>
      <c r="C1811" s="4" t="s">
        <v>82</v>
      </c>
      <c r="D1811" s="11" t="s">
        <v>3794</v>
      </c>
      <c r="E1811" s="4">
        <v>3120508</v>
      </c>
      <c r="F1811" s="11" t="s">
        <v>3795</v>
      </c>
      <c r="G1811" s="4" t="s">
        <v>232</v>
      </c>
      <c r="H1811" s="4"/>
    </row>
    <row r="1812" s="1" customFormat="1" spans="1:8">
      <c r="A1812" s="4" t="s">
        <v>205</v>
      </c>
      <c r="B1812" s="4" t="s">
        <v>79</v>
      </c>
      <c r="C1812" s="4" t="s">
        <v>82</v>
      </c>
      <c r="D1812" s="11" t="s">
        <v>3796</v>
      </c>
      <c r="E1812" s="4">
        <v>3120300</v>
      </c>
      <c r="F1812" s="11" t="s">
        <v>3797</v>
      </c>
      <c r="G1812" s="4" t="s">
        <v>232</v>
      </c>
      <c r="H1812" s="4"/>
    </row>
    <row r="1813" s="1" customFormat="1" spans="1:8">
      <c r="A1813" s="4" t="s">
        <v>205</v>
      </c>
      <c r="B1813" s="4" t="s">
        <v>79</v>
      </c>
      <c r="C1813" s="4" t="s">
        <v>82</v>
      </c>
      <c r="D1813" s="11" t="s">
        <v>3798</v>
      </c>
      <c r="E1813" s="4">
        <v>3120151</v>
      </c>
      <c r="F1813" s="11" t="s">
        <v>3799</v>
      </c>
      <c r="G1813" s="4" t="s">
        <v>232</v>
      </c>
      <c r="H1813" s="4"/>
    </row>
    <row r="1814" s="1" customFormat="1" spans="1:8">
      <c r="A1814" s="4" t="s">
        <v>205</v>
      </c>
      <c r="B1814" s="4" t="s">
        <v>79</v>
      </c>
      <c r="C1814" s="4" t="s">
        <v>82</v>
      </c>
      <c r="D1814" s="11" t="s">
        <v>3800</v>
      </c>
      <c r="E1814" s="4">
        <v>3120706</v>
      </c>
      <c r="F1814" s="11" t="s">
        <v>3801</v>
      </c>
      <c r="G1814" s="4" t="s">
        <v>232</v>
      </c>
      <c r="H1814" s="4"/>
    </row>
    <row r="1815" s="1" customFormat="1" spans="1:8">
      <c r="A1815" s="4" t="s">
        <v>205</v>
      </c>
      <c r="B1815" s="4" t="s">
        <v>79</v>
      </c>
      <c r="C1815" s="4" t="s">
        <v>82</v>
      </c>
      <c r="D1815" s="11" t="s">
        <v>3802</v>
      </c>
      <c r="E1815" s="4">
        <v>3120805</v>
      </c>
      <c r="F1815" s="11" t="s">
        <v>3803</v>
      </c>
      <c r="G1815" s="4" t="s">
        <v>232</v>
      </c>
      <c r="H1815" s="4"/>
    </row>
    <row r="1816" s="1" customFormat="1" spans="1:8">
      <c r="A1816" s="4" t="s">
        <v>205</v>
      </c>
      <c r="B1816" s="4" t="s">
        <v>79</v>
      </c>
      <c r="C1816" s="4" t="s">
        <v>82</v>
      </c>
      <c r="D1816" s="11" t="s">
        <v>3804</v>
      </c>
      <c r="E1816" s="4">
        <v>3120839</v>
      </c>
      <c r="F1816" s="11" t="s">
        <v>3805</v>
      </c>
      <c r="G1816" s="4" t="s">
        <v>232</v>
      </c>
      <c r="H1816" s="4"/>
    </row>
    <row r="1817" s="1" customFormat="1" spans="1:8">
      <c r="A1817" s="4" t="s">
        <v>205</v>
      </c>
      <c r="B1817" s="4" t="s">
        <v>79</v>
      </c>
      <c r="C1817" s="4" t="s">
        <v>82</v>
      </c>
      <c r="D1817" s="11" t="s">
        <v>3806</v>
      </c>
      <c r="E1817" s="4">
        <v>3115102</v>
      </c>
      <c r="F1817" s="11" t="s">
        <v>3807</v>
      </c>
      <c r="G1817" s="4" t="s">
        <v>232</v>
      </c>
      <c r="H1817" s="4"/>
    </row>
    <row r="1818" s="1" customFormat="1" spans="1:8">
      <c r="A1818" s="4" t="s">
        <v>205</v>
      </c>
      <c r="B1818" s="4" t="s">
        <v>79</v>
      </c>
      <c r="C1818" s="4" t="s">
        <v>82</v>
      </c>
      <c r="D1818" s="11" t="s">
        <v>3808</v>
      </c>
      <c r="E1818" s="4">
        <v>3119906</v>
      </c>
      <c r="F1818" s="11" t="s">
        <v>3809</v>
      </c>
      <c r="G1818" s="4" t="s">
        <v>232</v>
      </c>
      <c r="H1818" s="4"/>
    </row>
    <row r="1819" s="1" customFormat="1" spans="1:8">
      <c r="A1819" s="4" t="s">
        <v>205</v>
      </c>
      <c r="B1819" s="4" t="s">
        <v>79</v>
      </c>
      <c r="C1819" s="4" t="s">
        <v>82</v>
      </c>
      <c r="D1819" s="11" t="s">
        <v>3810</v>
      </c>
      <c r="E1819" s="4">
        <v>3121100</v>
      </c>
      <c r="F1819" s="11" t="s">
        <v>3811</v>
      </c>
      <c r="G1819" s="4" t="s">
        <v>232</v>
      </c>
      <c r="H1819" s="4"/>
    </row>
    <row r="1820" s="1" customFormat="1" spans="1:8">
      <c r="A1820" s="4" t="s">
        <v>205</v>
      </c>
      <c r="B1820" s="4" t="s">
        <v>79</v>
      </c>
      <c r="C1820" s="4" t="s">
        <v>82</v>
      </c>
      <c r="D1820" s="11" t="s">
        <v>3812</v>
      </c>
      <c r="E1820" s="4">
        <v>3121209</v>
      </c>
      <c r="F1820" s="11" t="s">
        <v>3813</v>
      </c>
      <c r="G1820" s="4" t="s">
        <v>232</v>
      </c>
      <c r="H1820" s="4"/>
    </row>
    <row r="1821" s="1" customFormat="1" spans="1:8">
      <c r="A1821" s="4" t="s">
        <v>205</v>
      </c>
      <c r="B1821" s="4" t="s">
        <v>79</v>
      </c>
      <c r="C1821" s="4" t="s">
        <v>82</v>
      </c>
      <c r="D1821" s="11" t="s">
        <v>3814</v>
      </c>
      <c r="E1821" s="4">
        <v>3121258</v>
      </c>
      <c r="F1821" s="11" t="s">
        <v>3815</v>
      </c>
      <c r="G1821" s="4" t="s">
        <v>232</v>
      </c>
      <c r="H1821" s="4"/>
    </row>
    <row r="1822" s="1" customFormat="1" spans="1:8">
      <c r="A1822" s="4" t="s">
        <v>205</v>
      </c>
      <c r="B1822" s="4" t="s">
        <v>79</v>
      </c>
      <c r="C1822" s="4" t="s">
        <v>82</v>
      </c>
      <c r="D1822" s="11" t="s">
        <v>3816</v>
      </c>
      <c r="E1822" s="4">
        <v>3121308</v>
      </c>
      <c r="F1822" s="11" t="s">
        <v>3817</v>
      </c>
      <c r="G1822" s="4" t="s">
        <v>232</v>
      </c>
      <c r="H1822" s="4"/>
    </row>
    <row r="1823" s="1" customFormat="1" spans="1:8">
      <c r="A1823" s="4" t="s">
        <v>205</v>
      </c>
      <c r="B1823" s="4" t="s">
        <v>79</v>
      </c>
      <c r="C1823" s="4" t="s">
        <v>82</v>
      </c>
      <c r="D1823" s="11" t="s">
        <v>3818</v>
      </c>
      <c r="E1823" s="4">
        <v>3121605</v>
      </c>
      <c r="F1823" s="11" t="s">
        <v>3819</v>
      </c>
      <c r="G1823" s="4" t="s">
        <v>232</v>
      </c>
      <c r="H1823" s="4"/>
    </row>
    <row r="1824" s="1" customFormat="1" spans="1:8">
      <c r="A1824" s="4" t="s">
        <v>205</v>
      </c>
      <c r="B1824" s="4" t="s">
        <v>79</v>
      </c>
      <c r="C1824" s="4" t="s">
        <v>82</v>
      </c>
      <c r="D1824" s="11" t="s">
        <v>3820</v>
      </c>
      <c r="E1824" s="4">
        <v>3122009</v>
      </c>
      <c r="F1824" s="11" t="s">
        <v>3821</v>
      </c>
      <c r="G1824" s="4" t="s">
        <v>232</v>
      </c>
      <c r="H1824" s="4"/>
    </row>
    <row r="1825" s="1" customFormat="1" spans="1:8">
      <c r="A1825" s="4" t="s">
        <v>205</v>
      </c>
      <c r="B1825" s="4" t="s">
        <v>79</v>
      </c>
      <c r="C1825" s="4" t="s">
        <v>82</v>
      </c>
      <c r="D1825" s="11" t="s">
        <v>3822</v>
      </c>
      <c r="E1825" s="4">
        <v>3122108</v>
      </c>
      <c r="F1825" s="11" t="s">
        <v>3823</v>
      </c>
      <c r="G1825" s="4" t="s">
        <v>232</v>
      </c>
      <c r="H1825" s="4"/>
    </row>
    <row r="1826" s="1" customFormat="1" spans="1:8">
      <c r="A1826" s="4" t="s">
        <v>205</v>
      </c>
      <c r="B1826" s="4" t="s">
        <v>79</v>
      </c>
      <c r="C1826" s="4" t="s">
        <v>82</v>
      </c>
      <c r="D1826" s="11" t="s">
        <v>3824</v>
      </c>
      <c r="E1826" s="4">
        <v>3122405</v>
      </c>
      <c r="F1826" s="11" t="s">
        <v>3825</v>
      </c>
      <c r="G1826" s="4" t="s">
        <v>232</v>
      </c>
      <c r="H1826" s="4"/>
    </row>
    <row r="1827" s="1" customFormat="1" spans="1:8">
      <c r="A1827" s="4" t="s">
        <v>205</v>
      </c>
      <c r="B1827" s="4" t="s">
        <v>79</v>
      </c>
      <c r="C1827" s="4" t="s">
        <v>82</v>
      </c>
      <c r="D1827" s="11" t="s">
        <v>3826</v>
      </c>
      <c r="E1827" s="4">
        <v>3122470</v>
      </c>
      <c r="F1827" s="11" t="s">
        <v>3827</v>
      </c>
      <c r="G1827" s="4" t="s">
        <v>232</v>
      </c>
      <c r="H1827" s="4"/>
    </row>
    <row r="1828" s="1" customFormat="1" spans="1:8">
      <c r="A1828" s="4" t="s">
        <v>205</v>
      </c>
      <c r="B1828" s="4" t="s">
        <v>79</v>
      </c>
      <c r="C1828" s="4" t="s">
        <v>82</v>
      </c>
      <c r="D1828" s="11" t="s">
        <v>3828</v>
      </c>
      <c r="E1828" s="4">
        <v>3122801</v>
      </c>
      <c r="F1828" s="11" t="s">
        <v>3829</v>
      </c>
      <c r="G1828" s="4" t="s">
        <v>232</v>
      </c>
      <c r="H1828" s="4"/>
    </row>
    <row r="1829" s="1" customFormat="1" spans="1:8">
      <c r="A1829" s="4" t="s">
        <v>205</v>
      </c>
      <c r="B1829" s="4" t="s">
        <v>79</v>
      </c>
      <c r="C1829" s="4" t="s">
        <v>82</v>
      </c>
      <c r="D1829" s="11" t="s">
        <v>3830</v>
      </c>
      <c r="E1829" s="4">
        <v>3123502</v>
      </c>
      <c r="F1829" s="11" t="s">
        <v>3831</v>
      </c>
      <c r="G1829" s="4" t="s">
        <v>232</v>
      </c>
      <c r="H1829" s="4"/>
    </row>
    <row r="1830" s="1" customFormat="1" spans="1:8">
      <c r="A1830" s="4" t="s">
        <v>205</v>
      </c>
      <c r="B1830" s="4" t="s">
        <v>79</v>
      </c>
      <c r="C1830" s="4" t="s">
        <v>82</v>
      </c>
      <c r="D1830" s="11" t="s">
        <v>3832</v>
      </c>
      <c r="E1830" s="4">
        <v>3123528</v>
      </c>
      <c r="F1830" s="11" t="s">
        <v>3833</v>
      </c>
      <c r="G1830" s="4" t="s">
        <v>232</v>
      </c>
      <c r="H1830" s="4"/>
    </row>
    <row r="1831" s="1" customFormat="1" spans="1:8">
      <c r="A1831" s="4" t="s">
        <v>205</v>
      </c>
      <c r="B1831" s="4" t="s">
        <v>79</v>
      </c>
      <c r="C1831" s="4" t="s">
        <v>82</v>
      </c>
      <c r="D1831" s="11" t="s">
        <v>3834</v>
      </c>
      <c r="E1831" s="4">
        <v>3123601</v>
      </c>
      <c r="F1831" s="11" t="s">
        <v>3835</v>
      </c>
      <c r="G1831" s="4" t="s">
        <v>232</v>
      </c>
      <c r="H1831" s="4"/>
    </row>
    <row r="1832" s="1" customFormat="1" spans="1:8">
      <c r="A1832" s="4" t="s">
        <v>205</v>
      </c>
      <c r="B1832" s="4" t="s">
        <v>79</v>
      </c>
      <c r="C1832" s="4" t="s">
        <v>82</v>
      </c>
      <c r="D1832" s="11" t="s">
        <v>3836</v>
      </c>
      <c r="E1832" s="4">
        <v>3123809</v>
      </c>
      <c r="F1832" s="11" t="s">
        <v>3837</v>
      </c>
      <c r="G1832" s="4" t="s">
        <v>232</v>
      </c>
      <c r="H1832" s="4"/>
    </row>
    <row r="1833" s="1" customFormat="1" spans="1:8">
      <c r="A1833" s="4" t="s">
        <v>205</v>
      </c>
      <c r="B1833" s="4" t="s">
        <v>79</v>
      </c>
      <c r="C1833" s="4" t="s">
        <v>82</v>
      </c>
      <c r="D1833" s="11" t="s">
        <v>3838</v>
      </c>
      <c r="E1833" s="4">
        <v>3123858</v>
      </c>
      <c r="F1833" s="11" t="s">
        <v>3839</v>
      </c>
      <c r="G1833" s="4" t="s">
        <v>232</v>
      </c>
      <c r="H1833" s="4"/>
    </row>
    <row r="1834" s="1" customFormat="1" spans="1:8">
      <c r="A1834" s="4" t="s">
        <v>205</v>
      </c>
      <c r="B1834" s="4" t="s">
        <v>79</v>
      </c>
      <c r="C1834" s="4" t="s">
        <v>82</v>
      </c>
      <c r="D1834" s="11" t="s">
        <v>3840</v>
      </c>
      <c r="E1834" s="4">
        <v>3124203</v>
      </c>
      <c r="F1834" s="11" t="s">
        <v>3841</v>
      </c>
      <c r="G1834" s="4" t="s">
        <v>232</v>
      </c>
      <c r="H1834" s="4"/>
    </row>
    <row r="1835" s="1" customFormat="1" spans="1:8">
      <c r="A1835" s="4" t="s">
        <v>205</v>
      </c>
      <c r="B1835" s="4" t="s">
        <v>79</v>
      </c>
      <c r="C1835" s="4" t="s">
        <v>82</v>
      </c>
      <c r="D1835" s="11" t="s">
        <v>3842</v>
      </c>
      <c r="E1835" s="4">
        <v>3124401</v>
      </c>
      <c r="F1835" s="11" t="s">
        <v>3843</v>
      </c>
      <c r="G1835" s="4" t="s">
        <v>232</v>
      </c>
      <c r="H1835" s="4"/>
    </row>
    <row r="1836" s="1" customFormat="1" spans="1:8">
      <c r="A1836" s="4" t="s">
        <v>205</v>
      </c>
      <c r="B1836" s="4" t="s">
        <v>79</v>
      </c>
      <c r="C1836" s="4" t="s">
        <v>82</v>
      </c>
      <c r="D1836" s="11" t="s">
        <v>3844</v>
      </c>
      <c r="E1836" s="4">
        <v>3124500</v>
      </c>
      <c r="F1836" s="11" t="s">
        <v>3845</v>
      </c>
      <c r="G1836" s="4" t="s">
        <v>232</v>
      </c>
      <c r="H1836" s="4"/>
    </row>
    <row r="1837" s="1" customFormat="1" spans="1:8">
      <c r="A1837" s="4" t="s">
        <v>205</v>
      </c>
      <c r="B1837" s="4" t="s">
        <v>79</v>
      </c>
      <c r="C1837" s="4" t="s">
        <v>82</v>
      </c>
      <c r="D1837" s="11" t="s">
        <v>3846</v>
      </c>
      <c r="E1837" s="4">
        <v>3124609</v>
      </c>
      <c r="F1837" s="11" t="s">
        <v>3847</v>
      </c>
      <c r="G1837" s="4" t="s">
        <v>232</v>
      </c>
      <c r="H1837" s="4"/>
    </row>
    <row r="1838" s="1" customFormat="1" spans="1:8">
      <c r="A1838" s="4" t="s">
        <v>205</v>
      </c>
      <c r="B1838" s="4" t="s">
        <v>79</v>
      </c>
      <c r="C1838" s="4" t="s">
        <v>82</v>
      </c>
      <c r="D1838" s="11" t="s">
        <v>3848</v>
      </c>
      <c r="E1838" s="4">
        <v>3124807</v>
      </c>
      <c r="F1838" s="11" t="s">
        <v>3849</v>
      </c>
      <c r="G1838" s="4" t="s">
        <v>232</v>
      </c>
      <c r="H1838" s="4"/>
    </row>
    <row r="1839" s="1" customFormat="1" spans="1:8">
      <c r="A1839" s="4" t="s">
        <v>205</v>
      </c>
      <c r="B1839" s="4" t="s">
        <v>79</v>
      </c>
      <c r="C1839" s="4" t="s">
        <v>82</v>
      </c>
      <c r="D1839" s="11" t="s">
        <v>3850</v>
      </c>
      <c r="E1839" s="4">
        <v>3124906</v>
      </c>
      <c r="F1839" s="11" t="s">
        <v>3851</v>
      </c>
      <c r="G1839" s="4" t="s">
        <v>232</v>
      </c>
      <c r="H1839" s="4"/>
    </row>
    <row r="1840" s="1" customFormat="1" spans="1:8">
      <c r="A1840" s="4" t="s">
        <v>205</v>
      </c>
      <c r="B1840" s="4" t="s">
        <v>79</v>
      </c>
      <c r="C1840" s="4" t="s">
        <v>82</v>
      </c>
      <c r="D1840" s="11" t="s">
        <v>3852</v>
      </c>
      <c r="E1840" s="4">
        <v>3125101</v>
      </c>
      <c r="F1840" s="11" t="s">
        <v>3853</v>
      </c>
      <c r="G1840" s="4" t="s">
        <v>232</v>
      </c>
      <c r="H1840" s="4"/>
    </row>
    <row r="1841" s="1" customFormat="1" spans="1:8">
      <c r="A1841" s="4" t="s">
        <v>205</v>
      </c>
      <c r="B1841" s="4" t="s">
        <v>79</v>
      </c>
      <c r="C1841" s="4" t="s">
        <v>82</v>
      </c>
      <c r="D1841" s="11" t="s">
        <v>3854</v>
      </c>
      <c r="E1841" s="4">
        <v>3125200</v>
      </c>
      <c r="F1841" s="11" t="s">
        <v>3855</v>
      </c>
      <c r="G1841" s="4" t="s">
        <v>232</v>
      </c>
      <c r="H1841" s="4"/>
    </row>
    <row r="1842" s="1" customFormat="1" spans="1:8">
      <c r="A1842" s="4" t="s">
        <v>205</v>
      </c>
      <c r="B1842" s="4" t="s">
        <v>79</v>
      </c>
      <c r="C1842" s="4" t="s">
        <v>82</v>
      </c>
      <c r="D1842" s="11" t="s">
        <v>3856</v>
      </c>
      <c r="E1842" s="4">
        <v>3125309</v>
      </c>
      <c r="F1842" s="11" t="s">
        <v>3857</v>
      </c>
      <c r="G1842" s="4" t="s">
        <v>232</v>
      </c>
      <c r="H1842" s="4"/>
    </row>
    <row r="1843" s="1" customFormat="1" spans="1:8">
      <c r="A1843" s="4" t="s">
        <v>205</v>
      </c>
      <c r="B1843" s="4" t="s">
        <v>79</v>
      </c>
      <c r="C1843" s="4" t="s">
        <v>82</v>
      </c>
      <c r="D1843" s="11" t="s">
        <v>3858</v>
      </c>
      <c r="E1843" s="4">
        <v>3125408</v>
      </c>
      <c r="F1843" s="11" t="s">
        <v>3859</v>
      </c>
      <c r="G1843" s="4" t="s">
        <v>232</v>
      </c>
      <c r="H1843" s="4"/>
    </row>
    <row r="1844" s="1" customFormat="1" spans="1:8">
      <c r="A1844" s="4" t="s">
        <v>205</v>
      </c>
      <c r="B1844" s="4" t="s">
        <v>79</v>
      </c>
      <c r="C1844" s="4" t="s">
        <v>82</v>
      </c>
      <c r="D1844" s="11" t="s">
        <v>3860</v>
      </c>
      <c r="E1844" s="4">
        <v>3125804</v>
      </c>
      <c r="F1844" s="11" t="s">
        <v>3861</v>
      </c>
      <c r="G1844" s="4" t="s">
        <v>232</v>
      </c>
      <c r="H1844" s="4"/>
    </row>
    <row r="1845" s="1" customFormat="1" spans="1:8">
      <c r="A1845" s="4" t="s">
        <v>205</v>
      </c>
      <c r="B1845" s="4" t="s">
        <v>79</v>
      </c>
      <c r="C1845" s="4" t="s">
        <v>82</v>
      </c>
      <c r="D1845" s="11" t="s">
        <v>3862</v>
      </c>
      <c r="E1845" s="4">
        <v>3125952</v>
      </c>
      <c r="F1845" s="11" t="s">
        <v>3863</v>
      </c>
      <c r="G1845" s="4" t="s">
        <v>232</v>
      </c>
      <c r="H1845" s="4"/>
    </row>
    <row r="1846" s="1" customFormat="1" spans="1:8">
      <c r="A1846" s="4" t="s">
        <v>205</v>
      </c>
      <c r="B1846" s="4" t="s">
        <v>79</v>
      </c>
      <c r="C1846" s="4" t="s">
        <v>82</v>
      </c>
      <c r="D1846" s="11" t="s">
        <v>3864</v>
      </c>
      <c r="E1846" s="4">
        <v>3126307</v>
      </c>
      <c r="F1846" s="11" t="s">
        <v>3865</v>
      </c>
      <c r="G1846" s="4" t="s">
        <v>232</v>
      </c>
      <c r="H1846" s="4"/>
    </row>
    <row r="1847" s="1" customFormat="1" spans="1:8">
      <c r="A1847" s="4" t="s">
        <v>205</v>
      </c>
      <c r="B1847" s="4" t="s">
        <v>79</v>
      </c>
      <c r="C1847" s="4" t="s">
        <v>82</v>
      </c>
      <c r="D1847" s="11" t="s">
        <v>3866</v>
      </c>
      <c r="E1847" s="4">
        <v>3126604</v>
      </c>
      <c r="F1847" s="11" t="s">
        <v>3867</v>
      </c>
      <c r="G1847" s="4" t="s">
        <v>232</v>
      </c>
      <c r="H1847" s="4"/>
    </row>
    <row r="1848" s="1" customFormat="1" spans="1:8">
      <c r="A1848" s="4" t="s">
        <v>205</v>
      </c>
      <c r="B1848" s="4" t="s">
        <v>79</v>
      </c>
      <c r="C1848" s="4" t="s">
        <v>82</v>
      </c>
      <c r="D1848" s="11" t="s">
        <v>3868</v>
      </c>
      <c r="E1848" s="4">
        <v>3126703</v>
      </c>
      <c r="F1848" s="11" t="s">
        <v>3869</v>
      </c>
      <c r="G1848" s="4" t="s">
        <v>232</v>
      </c>
      <c r="H1848" s="4"/>
    </row>
    <row r="1849" s="1" customFormat="1" spans="1:8">
      <c r="A1849" s="4" t="s">
        <v>205</v>
      </c>
      <c r="B1849" s="4" t="s">
        <v>79</v>
      </c>
      <c r="C1849" s="4" t="s">
        <v>82</v>
      </c>
      <c r="D1849" s="11" t="s">
        <v>3870</v>
      </c>
      <c r="E1849" s="4">
        <v>3126752</v>
      </c>
      <c r="F1849" s="11" t="s">
        <v>3871</v>
      </c>
      <c r="G1849" s="4" t="s">
        <v>232</v>
      </c>
      <c r="H1849" s="4"/>
    </row>
    <row r="1850" s="1" customFormat="1" spans="1:8">
      <c r="A1850" s="4" t="s">
        <v>205</v>
      </c>
      <c r="B1850" s="4" t="s">
        <v>79</v>
      </c>
      <c r="C1850" s="4" t="s">
        <v>82</v>
      </c>
      <c r="D1850" s="11" t="s">
        <v>3872</v>
      </c>
      <c r="E1850" s="4">
        <v>3126802</v>
      </c>
      <c r="F1850" s="11" t="s">
        <v>3873</v>
      </c>
      <c r="G1850" s="4" t="s">
        <v>232</v>
      </c>
      <c r="H1850" s="4"/>
    </row>
    <row r="1851" s="1" customFormat="1" spans="1:8">
      <c r="A1851" s="4" t="s">
        <v>205</v>
      </c>
      <c r="B1851" s="4" t="s">
        <v>79</v>
      </c>
      <c r="C1851" s="4" t="s">
        <v>82</v>
      </c>
      <c r="D1851" s="11" t="s">
        <v>3874</v>
      </c>
      <c r="E1851" s="4">
        <v>3126901</v>
      </c>
      <c r="F1851" s="11" t="s">
        <v>3875</v>
      </c>
      <c r="G1851" s="4" t="s">
        <v>232</v>
      </c>
      <c r="H1851" s="4"/>
    </row>
    <row r="1852" s="1" customFormat="1" spans="1:8">
      <c r="A1852" s="4" t="s">
        <v>205</v>
      </c>
      <c r="B1852" s="4" t="s">
        <v>79</v>
      </c>
      <c r="C1852" s="4" t="s">
        <v>82</v>
      </c>
      <c r="D1852" s="11" t="s">
        <v>3876</v>
      </c>
      <c r="E1852" s="4">
        <v>3126950</v>
      </c>
      <c r="F1852" s="11" t="s">
        <v>3877</v>
      </c>
      <c r="G1852" s="4" t="s">
        <v>232</v>
      </c>
      <c r="H1852" s="4"/>
    </row>
    <row r="1853" s="1" customFormat="1" spans="1:8">
      <c r="A1853" s="4" t="s">
        <v>205</v>
      </c>
      <c r="B1853" s="4" t="s">
        <v>79</v>
      </c>
      <c r="C1853" s="4" t="s">
        <v>82</v>
      </c>
      <c r="D1853" s="11" t="s">
        <v>3878</v>
      </c>
      <c r="E1853" s="4">
        <v>3127305</v>
      </c>
      <c r="F1853" s="11" t="s">
        <v>3879</v>
      </c>
      <c r="G1853" s="4" t="s">
        <v>232</v>
      </c>
      <c r="H1853" s="4"/>
    </row>
    <row r="1854" s="1" customFormat="1" spans="1:8">
      <c r="A1854" s="4" t="s">
        <v>205</v>
      </c>
      <c r="B1854" s="4" t="s">
        <v>79</v>
      </c>
      <c r="C1854" s="4" t="s">
        <v>82</v>
      </c>
      <c r="D1854" s="11" t="s">
        <v>3880</v>
      </c>
      <c r="E1854" s="4">
        <v>3127354</v>
      </c>
      <c r="F1854" s="11" t="s">
        <v>3881</v>
      </c>
      <c r="G1854" s="4" t="s">
        <v>232</v>
      </c>
      <c r="H1854" s="4"/>
    </row>
    <row r="1855" s="1" customFormat="1" spans="1:8">
      <c r="A1855" s="4" t="s">
        <v>205</v>
      </c>
      <c r="B1855" s="4" t="s">
        <v>79</v>
      </c>
      <c r="C1855" s="4" t="s">
        <v>82</v>
      </c>
      <c r="D1855" s="11" t="s">
        <v>3882</v>
      </c>
      <c r="E1855" s="4">
        <v>3127370</v>
      </c>
      <c r="F1855" s="11" t="s">
        <v>3883</v>
      </c>
      <c r="G1855" s="4" t="s">
        <v>232</v>
      </c>
      <c r="H1855" s="4"/>
    </row>
    <row r="1856" s="1" customFormat="1" spans="1:8">
      <c r="A1856" s="4" t="s">
        <v>205</v>
      </c>
      <c r="B1856" s="4" t="s">
        <v>79</v>
      </c>
      <c r="C1856" s="4" t="s">
        <v>82</v>
      </c>
      <c r="D1856" s="11" t="s">
        <v>3884</v>
      </c>
      <c r="E1856" s="4">
        <v>3127503</v>
      </c>
      <c r="F1856" s="11" t="s">
        <v>3885</v>
      </c>
      <c r="G1856" s="4" t="s">
        <v>232</v>
      </c>
      <c r="H1856" s="4"/>
    </row>
    <row r="1857" s="1" customFormat="1" spans="1:8">
      <c r="A1857" s="4" t="s">
        <v>205</v>
      </c>
      <c r="B1857" s="4" t="s">
        <v>79</v>
      </c>
      <c r="C1857" s="4" t="s">
        <v>82</v>
      </c>
      <c r="D1857" s="11" t="s">
        <v>3886</v>
      </c>
      <c r="E1857" s="4">
        <v>3127404</v>
      </c>
      <c r="F1857" s="11" t="s">
        <v>3887</v>
      </c>
      <c r="G1857" s="4" t="s">
        <v>232</v>
      </c>
      <c r="H1857" s="4"/>
    </row>
    <row r="1858" s="1" customFormat="1" spans="1:8">
      <c r="A1858" s="4" t="s">
        <v>205</v>
      </c>
      <c r="B1858" s="4" t="s">
        <v>79</v>
      </c>
      <c r="C1858" s="4" t="s">
        <v>82</v>
      </c>
      <c r="D1858" s="11" t="s">
        <v>3888</v>
      </c>
      <c r="E1858" s="4">
        <v>3127701</v>
      </c>
      <c r="F1858" s="11" t="s">
        <v>3889</v>
      </c>
      <c r="G1858" s="4" t="s">
        <v>232</v>
      </c>
      <c r="H1858" s="4"/>
    </row>
    <row r="1859" s="1" customFormat="1" spans="1:8">
      <c r="A1859" s="4" t="s">
        <v>205</v>
      </c>
      <c r="B1859" s="4" t="s">
        <v>79</v>
      </c>
      <c r="C1859" s="4" t="s">
        <v>82</v>
      </c>
      <c r="D1859" s="11" t="s">
        <v>3890</v>
      </c>
      <c r="E1859" s="4">
        <v>3127909</v>
      </c>
      <c r="F1859" s="11" t="s">
        <v>3891</v>
      </c>
      <c r="G1859" s="4" t="s">
        <v>232</v>
      </c>
      <c r="H1859" s="4"/>
    </row>
    <row r="1860" s="1" customFormat="1" spans="1:8">
      <c r="A1860" s="4" t="s">
        <v>205</v>
      </c>
      <c r="B1860" s="4" t="s">
        <v>79</v>
      </c>
      <c r="C1860" s="4" t="s">
        <v>82</v>
      </c>
      <c r="D1860" s="11" t="s">
        <v>3892</v>
      </c>
      <c r="E1860" s="4">
        <v>3127800</v>
      </c>
      <c r="F1860" s="11" t="s">
        <v>3893</v>
      </c>
      <c r="G1860" s="4" t="s">
        <v>232</v>
      </c>
      <c r="H1860" s="4"/>
    </row>
    <row r="1861" s="1" customFormat="1" spans="1:8">
      <c r="A1861" s="4" t="s">
        <v>205</v>
      </c>
      <c r="B1861" s="4" t="s">
        <v>79</v>
      </c>
      <c r="C1861" s="4" t="s">
        <v>82</v>
      </c>
      <c r="D1861" s="11" t="s">
        <v>3894</v>
      </c>
      <c r="E1861" s="4">
        <v>3128253</v>
      </c>
      <c r="F1861" s="11" t="s">
        <v>3895</v>
      </c>
      <c r="G1861" s="4" t="s">
        <v>232</v>
      </c>
      <c r="H1861" s="4"/>
    </row>
    <row r="1862" s="1" customFormat="1" spans="1:8">
      <c r="A1862" s="4" t="s">
        <v>205</v>
      </c>
      <c r="B1862" s="4" t="s">
        <v>79</v>
      </c>
      <c r="C1862" s="4" t="s">
        <v>82</v>
      </c>
      <c r="D1862" s="11" t="s">
        <v>3896</v>
      </c>
      <c r="E1862" s="4">
        <v>3128303</v>
      </c>
      <c r="F1862" s="11" t="s">
        <v>3897</v>
      </c>
      <c r="G1862" s="4" t="s">
        <v>232</v>
      </c>
      <c r="H1862" s="4"/>
    </row>
    <row r="1863" s="1" customFormat="1" spans="1:8">
      <c r="A1863" s="4" t="s">
        <v>205</v>
      </c>
      <c r="B1863" s="4" t="s">
        <v>79</v>
      </c>
      <c r="C1863" s="4" t="s">
        <v>82</v>
      </c>
      <c r="D1863" s="11" t="s">
        <v>3898</v>
      </c>
      <c r="E1863" s="4">
        <v>3128501</v>
      </c>
      <c r="F1863" s="11" t="s">
        <v>3899</v>
      </c>
      <c r="G1863" s="4" t="s">
        <v>232</v>
      </c>
      <c r="H1863" s="4"/>
    </row>
    <row r="1864" s="1" customFormat="1" spans="1:8">
      <c r="A1864" s="4" t="s">
        <v>205</v>
      </c>
      <c r="B1864" s="4" t="s">
        <v>79</v>
      </c>
      <c r="C1864" s="4" t="s">
        <v>82</v>
      </c>
      <c r="D1864" s="11" t="s">
        <v>3900</v>
      </c>
      <c r="E1864" s="4">
        <v>3128600</v>
      </c>
      <c r="F1864" s="11" t="s">
        <v>3901</v>
      </c>
      <c r="G1864" s="4" t="s">
        <v>232</v>
      </c>
      <c r="H1864" s="4"/>
    </row>
    <row r="1865" s="1" customFormat="1" spans="1:8">
      <c r="A1865" s="4" t="s">
        <v>205</v>
      </c>
      <c r="B1865" s="4" t="s">
        <v>79</v>
      </c>
      <c r="C1865" s="4" t="s">
        <v>82</v>
      </c>
      <c r="D1865" s="11" t="s">
        <v>3902</v>
      </c>
      <c r="E1865" s="4">
        <v>3128709</v>
      </c>
      <c r="F1865" s="11" t="s">
        <v>3903</v>
      </c>
      <c r="G1865" s="4" t="s">
        <v>232</v>
      </c>
      <c r="H1865" s="4"/>
    </row>
    <row r="1866" s="1" customFormat="1" spans="1:8">
      <c r="A1866" s="4" t="s">
        <v>205</v>
      </c>
      <c r="B1866" s="4" t="s">
        <v>79</v>
      </c>
      <c r="C1866" s="4" t="s">
        <v>82</v>
      </c>
      <c r="D1866" s="11" t="s">
        <v>3904</v>
      </c>
      <c r="E1866" s="4">
        <v>3128808</v>
      </c>
      <c r="F1866" s="11" t="s">
        <v>3905</v>
      </c>
      <c r="G1866" s="4" t="s">
        <v>232</v>
      </c>
      <c r="H1866" s="4"/>
    </row>
    <row r="1867" s="1" customFormat="1" spans="1:8">
      <c r="A1867" s="4" t="s">
        <v>205</v>
      </c>
      <c r="B1867" s="4" t="s">
        <v>79</v>
      </c>
      <c r="C1867" s="4" t="s">
        <v>82</v>
      </c>
      <c r="D1867" s="11" t="s">
        <v>3906</v>
      </c>
      <c r="E1867" s="4">
        <v>3128907</v>
      </c>
      <c r="F1867" s="11" t="s">
        <v>3907</v>
      </c>
      <c r="G1867" s="4" t="s">
        <v>232</v>
      </c>
      <c r="H1867" s="4"/>
    </row>
    <row r="1868" s="1" customFormat="1" spans="1:8">
      <c r="A1868" s="4" t="s">
        <v>205</v>
      </c>
      <c r="B1868" s="4" t="s">
        <v>79</v>
      </c>
      <c r="C1868" s="4" t="s">
        <v>82</v>
      </c>
      <c r="D1868" s="11" t="s">
        <v>3908</v>
      </c>
      <c r="E1868" s="4">
        <v>3129202</v>
      </c>
      <c r="F1868" s="11" t="s">
        <v>3909</v>
      </c>
      <c r="G1868" s="4" t="s">
        <v>232</v>
      </c>
      <c r="H1868" s="4"/>
    </row>
    <row r="1869" s="1" customFormat="1" spans="1:8">
      <c r="A1869" s="4" t="s">
        <v>205</v>
      </c>
      <c r="B1869" s="4" t="s">
        <v>79</v>
      </c>
      <c r="C1869" s="4" t="s">
        <v>82</v>
      </c>
      <c r="D1869" s="11" t="s">
        <v>3910</v>
      </c>
      <c r="E1869" s="4">
        <v>3129608</v>
      </c>
      <c r="F1869" s="11" t="s">
        <v>3911</v>
      </c>
      <c r="G1869" s="4" t="s">
        <v>232</v>
      </c>
      <c r="H1869" s="4"/>
    </row>
    <row r="1870" s="1" customFormat="1" spans="1:8">
      <c r="A1870" s="4" t="s">
        <v>205</v>
      </c>
      <c r="B1870" s="4" t="s">
        <v>79</v>
      </c>
      <c r="C1870" s="4" t="s">
        <v>82</v>
      </c>
      <c r="D1870" s="11" t="s">
        <v>3912</v>
      </c>
      <c r="E1870" s="4">
        <v>3129657</v>
      </c>
      <c r="F1870" s="11" t="s">
        <v>3913</v>
      </c>
      <c r="G1870" s="4" t="s">
        <v>232</v>
      </c>
      <c r="H1870" s="4"/>
    </row>
    <row r="1871" s="1" customFormat="1" spans="1:8">
      <c r="A1871" s="4" t="s">
        <v>205</v>
      </c>
      <c r="B1871" s="4" t="s">
        <v>79</v>
      </c>
      <c r="C1871" s="4" t="s">
        <v>82</v>
      </c>
      <c r="D1871" s="11" t="s">
        <v>3914</v>
      </c>
      <c r="E1871" s="4">
        <v>3129707</v>
      </c>
      <c r="F1871" s="11" t="s">
        <v>3915</v>
      </c>
      <c r="G1871" s="4" t="s">
        <v>232</v>
      </c>
      <c r="H1871" s="4"/>
    </row>
    <row r="1872" s="1" customFormat="1" spans="1:8">
      <c r="A1872" s="4" t="s">
        <v>205</v>
      </c>
      <c r="B1872" s="4" t="s">
        <v>79</v>
      </c>
      <c r="C1872" s="4" t="s">
        <v>82</v>
      </c>
      <c r="D1872" s="11" t="s">
        <v>3916</v>
      </c>
      <c r="E1872" s="4">
        <v>3129905</v>
      </c>
      <c r="F1872" s="11" t="s">
        <v>3917</v>
      </c>
      <c r="G1872" s="4" t="s">
        <v>232</v>
      </c>
      <c r="H1872" s="4"/>
    </row>
    <row r="1873" s="1" customFormat="1" spans="1:8">
      <c r="A1873" s="4" t="s">
        <v>205</v>
      </c>
      <c r="B1873" s="4" t="s">
        <v>79</v>
      </c>
      <c r="C1873" s="4" t="s">
        <v>82</v>
      </c>
      <c r="D1873" s="11" t="s">
        <v>3918</v>
      </c>
      <c r="E1873" s="4">
        <v>3129509</v>
      </c>
      <c r="F1873" s="11" t="s">
        <v>3919</v>
      </c>
      <c r="G1873" s="4" t="s">
        <v>232</v>
      </c>
      <c r="H1873" s="4"/>
    </row>
    <row r="1874" s="1" customFormat="1" spans="1:8">
      <c r="A1874" s="4" t="s">
        <v>205</v>
      </c>
      <c r="B1874" s="4" t="s">
        <v>79</v>
      </c>
      <c r="C1874" s="4" t="s">
        <v>82</v>
      </c>
      <c r="D1874" s="11" t="s">
        <v>3920</v>
      </c>
      <c r="E1874" s="4">
        <v>3130507</v>
      </c>
      <c r="F1874" s="11" t="s">
        <v>3921</v>
      </c>
      <c r="G1874" s="4" t="s">
        <v>232</v>
      </c>
      <c r="H1874" s="4"/>
    </row>
    <row r="1875" s="1" customFormat="1" spans="1:8">
      <c r="A1875" s="4" t="s">
        <v>205</v>
      </c>
      <c r="B1875" s="4" t="s">
        <v>79</v>
      </c>
      <c r="C1875" s="4" t="s">
        <v>82</v>
      </c>
      <c r="D1875" s="11" t="s">
        <v>3922</v>
      </c>
      <c r="E1875" s="4">
        <v>3130556</v>
      </c>
      <c r="F1875" s="11" t="s">
        <v>3923</v>
      </c>
      <c r="G1875" s="4" t="s">
        <v>232</v>
      </c>
      <c r="H1875" s="4"/>
    </row>
    <row r="1876" s="1" customFormat="1" spans="1:8">
      <c r="A1876" s="4" t="s">
        <v>205</v>
      </c>
      <c r="B1876" s="4" t="s">
        <v>79</v>
      </c>
      <c r="C1876" s="4" t="s">
        <v>82</v>
      </c>
      <c r="D1876" s="11" t="s">
        <v>3924</v>
      </c>
      <c r="E1876" s="4">
        <v>3130606</v>
      </c>
      <c r="F1876" s="11" t="s">
        <v>3925</v>
      </c>
      <c r="G1876" s="4" t="s">
        <v>232</v>
      </c>
      <c r="H1876" s="4"/>
    </row>
    <row r="1877" s="1" customFormat="1" spans="1:8">
      <c r="A1877" s="4" t="s">
        <v>205</v>
      </c>
      <c r="B1877" s="4" t="s">
        <v>79</v>
      </c>
      <c r="C1877" s="4" t="s">
        <v>82</v>
      </c>
      <c r="D1877" s="11" t="s">
        <v>3926</v>
      </c>
      <c r="E1877" s="4">
        <v>3130705</v>
      </c>
      <c r="F1877" s="11" t="s">
        <v>3927</v>
      </c>
      <c r="G1877" s="4" t="s">
        <v>232</v>
      </c>
      <c r="H1877" s="4"/>
    </row>
    <row r="1878" s="1" customFormat="1" spans="1:8">
      <c r="A1878" s="4" t="s">
        <v>205</v>
      </c>
      <c r="B1878" s="4" t="s">
        <v>79</v>
      </c>
      <c r="C1878" s="4" t="s">
        <v>82</v>
      </c>
      <c r="D1878" s="11" t="s">
        <v>3928</v>
      </c>
      <c r="E1878" s="4">
        <v>3131208</v>
      </c>
      <c r="F1878" s="11" t="s">
        <v>3929</v>
      </c>
      <c r="G1878" s="4" t="s">
        <v>232</v>
      </c>
      <c r="H1878" s="4"/>
    </row>
    <row r="1879" s="1" customFormat="1" spans="1:8">
      <c r="A1879" s="4" t="s">
        <v>205</v>
      </c>
      <c r="B1879" s="4" t="s">
        <v>79</v>
      </c>
      <c r="C1879" s="4" t="s">
        <v>82</v>
      </c>
      <c r="D1879" s="11" t="s">
        <v>3930</v>
      </c>
      <c r="E1879" s="4">
        <v>3131505</v>
      </c>
      <c r="F1879" s="11" t="s">
        <v>3931</v>
      </c>
      <c r="G1879" s="4" t="s">
        <v>232</v>
      </c>
      <c r="H1879" s="4"/>
    </row>
    <row r="1880" s="1" customFormat="1" spans="1:8">
      <c r="A1880" s="4" t="s">
        <v>205</v>
      </c>
      <c r="B1880" s="4" t="s">
        <v>79</v>
      </c>
      <c r="C1880" s="4" t="s">
        <v>82</v>
      </c>
      <c r="D1880" s="11" t="s">
        <v>3932</v>
      </c>
      <c r="E1880" s="4">
        <v>3131604</v>
      </c>
      <c r="F1880" s="11" t="s">
        <v>3933</v>
      </c>
      <c r="G1880" s="4" t="s">
        <v>232</v>
      </c>
      <c r="H1880" s="4"/>
    </row>
    <row r="1881" s="1" customFormat="1" spans="1:8">
      <c r="A1881" s="4" t="s">
        <v>205</v>
      </c>
      <c r="B1881" s="4" t="s">
        <v>79</v>
      </c>
      <c r="C1881" s="4" t="s">
        <v>82</v>
      </c>
      <c r="D1881" s="11" t="s">
        <v>3934</v>
      </c>
      <c r="E1881" s="4">
        <v>3131802</v>
      </c>
      <c r="F1881" s="11" t="s">
        <v>3935</v>
      </c>
      <c r="G1881" s="4" t="s">
        <v>232</v>
      </c>
      <c r="H1881" s="4"/>
    </row>
    <row r="1882" s="1" customFormat="1" spans="1:8">
      <c r="A1882" s="4" t="s">
        <v>205</v>
      </c>
      <c r="B1882" s="4" t="s">
        <v>79</v>
      </c>
      <c r="C1882" s="4" t="s">
        <v>82</v>
      </c>
      <c r="D1882" s="11" t="s">
        <v>3936</v>
      </c>
      <c r="E1882" s="4">
        <v>3132008</v>
      </c>
      <c r="F1882" s="11" t="s">
        <v>3937</v>
      </c>
      <c r="G1882" s="4" t="s">
        <v>232</v>
      </c>
      <c r="H1882" s="4"/>
    </row>
    <row r="1883" s="1" customFormat="1" spans="1:8">
      <c r="A1883" s="4" t="s">
        <v>205</v>
      </c>
      <c r="B1883" s="4" t="s">
        <v>79</v>
      </c>
      <c r="C1883" s="4" t="s">
        <v>82</v>
      </c>
      <c r="D1883" s="11" t="s">
        <v>3938</v>
      </c>
      <c r="E1883" s="4">
        <v>3132305</v>
      </c>
      <c r="F1883" s="11" t="s">
        <v>3939</v>
      </c>
      <c r="G1883" s="4" t="s">
        <v>232</v>
      </c>
      <c r="H1883" s="4"/>
    </row>
    <row r="1884" s="1" customFormat="1" spans="1:8">
      <c r="A1884" s="4" t="s">
        <v>205</v>
      </c>
      <c r="B1884" s="4" t="s">
        <v>79</v>
      </c>
      <c r="C1884" s="4" t="s">
        <v>82</v>
      </c>
      <c r="D1884" s="11" t="s">
        <v>3940</v>
      </c>
      <c r="E1884" s="4">
        <v>3132404</v>
      </c>
      <c r="F1884" s="11" t="s">
        <v>3941</v>
      </c>
      <c r="G1884" s="4" t="s">
        <v>232</v>
      </c>
      <c r="H1884" s="4"/>
    </row>
    <row r="1885" s="1" customFormat="1" spans="1:8">
      <c r="A1885" s="4" t="s">
        <v>205</v>
      </c>
      <c r="B1885" s="4" t="s">
        <v>79</v>
      </c>
      <c r="C1885" s="4" t="s">
        <v>82</v>
      </c>
      <c r="D1885" s="11" t="s">
        <v>3942</v>
      </c>
      <c r="E1885" s="4">
        <v>3132503</v>
      </c>
      <c r="F1885" s="11" t="s">
        <v>3943</v>
      </c>
      <c r="G1885" s="4" t="s">
        <v>232</v>
      </c>
      <c r="H1885" s="4"/>
    </row>
    <row r="1886" s="1" customFormat="1" spans="1:8">
      <c r="A1886" s="4" t="s">
        <v>205</v>
      </c>
      <c r="B1886" s="4" t="s">
        <v>79</v>
      </c>
      <c r="C1886" s="4" t="s">
        <v>82</v>
      </c>
      <c r="D1886" s="11" t="s">
        <v>3944</v>
      </c>
      <c r="E1886" s="4">
        <v>3132602</v>
      </c>
      <c r="F1886" s="11" t="s">
        <v>3945</v>
      </c>
      <c r="G1886" s="4" t="s">
        <v>232</v>
      </c>
      <c r="H1886" s="4"/>
    </row>
    <row r="1887" s="1" customFormat="1" spans="1:8">
      <c r="A1887" s="4" t="s">
        <v>205</v>
      </c>
      <c r="B1887" s="4" t="s">
        <v>79</v>
      </c>
      <c r="C1887" s="4" t="s">
        <v>82</v>
      </c>
      <c r="D1887" s="11" t="s">
        <v>3946</v>
      </c>
      <c r="E1887" s="4">
        <v>3132701</v>
      </c>
      <c r="F1887" s="11" t="s">
        <v>3947</v>
      </c>
      <c r="G1887" s="4" t="s">
        <v>232</v>
      </c>
      <c r="H1887" s="4"/>
    </row>
    <row r="1888" s="1" customFormat="1" spans="1:8">
      <c r="A1888" s="4" t="s">
        <v>205</v>
      </c>
      <c r="B1888" s="4" t="s">
        <v>79</v>
      </c>
      <c r="C1888" s="4" t="s">
        <v>82</v>
      </c>
      <c r="D1888" s="11" t="s">
        <v>3948</v>
      </c>
      <c r="E1888" s="4">
        <v>3132909</v>
      </c>
      <c r="F1888" s="11" t="s">
        <v>3949</v>
      </c>
      <c r="G1888" s="4" t="s">
        <v>232</v>
      </c>
      <c r="H1888" s="4"/>
    </row>
    <row r="1889" s="1" customFormat="1" spans="1:8">
      <c r="A1889" s="4" t="s">
        <v>205</v>
      </c>
      <c r="B1889" s="4" t="s">
        <v>79</v>
      </c>
      <c r="C1889" s="4" t="s">
        <v>82</v>
      </c>
      <c r="D1889" s="11" t="s">
        <v>3950</v>
      </c>
      <c r="E1889" s="4">
        <v>3133006</v>
      </c>
      <c r="F1889" s="11" t="s">
        <v>3951</v>
      </c>
      <c r="G1889" s="4" t="s">
        <v>232</v>
      </c>
      <c r="H1889" s="4"/>
    </row>
    <row r="1890" s="1" customFormat="1" spans="1:8">
      <c r="A1890" s="4" t="s">
        <v>205</v>
      </c>
      <c r="B1890" s="4" t="s">
        <v>79</v>
      </c>
      <c r="C1890" s="4" t="s">
        <v>82</v>
      </c>
      <c r="D1890" s="11" t="s">
        <v>3952</v>
      </c>
      <c r="E1890" s="4">
        <v>3133105</v>
      </c>
      <c r="F1890" s="11" t="s">
        <v>3953</v>
      </c>
      <c r="G1890" s="4" t="s">
        <v>232</v>
      </c>
      <c r="H1890" s="4"/>
    </row>
    <row r="1891" s="1" customFormat="1" spans="1:8">
      <c r="A1891" s="4" t="s">
        <v>205</v>
      </c>
      <c r="B1891" s="4" t="s">
        <v>79</v>
      </c>
      <c r="C1891" s="4" t="s">
        <v>82</v>
      </c>
      <c r="D1891" s="11" t="s">
        <v>3954</v>
      </c>
      <c r="E1891" s="4">
        <v>3133204</v>
      </c>
      <c r="F1891" s="11" t="s">
        <v>3955</v>
      </c>
      <c r="G1891" s="4" t="s">
        <v>232</v>
      </c>
      <c r="H1891" s="4"/>
    </row>
    <row r="1892" s="1" customFormat="1" spans="1:8">
      <c r="A1892" s="4" t="s">
        <v>205</v>
      </c>
      <c r="B1892" s="4" t="s">
        <v>79</v>
      </c>
      <c r="C1892" s="4" t="s">
        <v>82</v>
      </c>
      <c r="D1892" s="11" t="s">
        <v>3956</v>
      </c>
      <c r="E1892" s="4">
        <v>3133600</v>
      </c>
      <c r="F1892" s="11" t="s">
        <v>3957</v>
      </c>
      <c r="G1892" s="4" t="s">
        <v>232</v>
      </c>
      <c r="H1892" s="4"/>
    </row>
    <row r="1893" s="1" customFormat="1" spans="1:8">
      <c r="A1893" s="4" t="s">
        <v>205</v>
      </c>
      <c r="B1893" s="4" t="s">
        <v>79</v>
      </c>
      <c r="C1893" s="4" t="s">
        <v>82</v>
      </c>
      <c r="D1893" s="11" t="s">
        <v>3958</v>
      </c>
      <c r="E1893" s="4">
        <v>3133758</v>
      </c>
      <c r="F1893" s="11" t="s">
        <v>3959</v>
      </c>
      <c r="G1893" s="4" t="s">
        <v>232</v>
      </c>
      <c r="H1893" s="4"/>
    </row>
    <row r="1894" s="1" customFormat="1" spans="1:8">
      <c r="A1894" s="4" t="s">
        <v>205</v>
      </c>
      <c r="B1894" s="4" t="s">
        <v>79</v>
      </c>
      <c r="C1894" s="4" t="s">
        <v>82</v>
      </c>
      <c r="D1894" s="11" t="s">
        <v>3960</v>
      </c>
      <c r="E1894" s="4">
        <v>3134103</v>
      </c>
      <c r="F1894" s="11" t="s">
        <v>3961</v>
      </c>
      <c r="G1894" s="4" t="s">
        <v>232</v>
      </c>
      <c r="H1894" s="4"/>
    </row>
    <row r="1895" s="1" customFormat="1" spans="1:8">
      <c r="A1895" s="4" t="s">
        <v>205</v>
      </c>
      <c r="B1895" s="4" t="s">
        <v>79</v>
      </c>
      <c r="C1895" s="4" t="s">
        <v>82</v>
      </c>
      <c r="D1895" s="11" t="s">
        <v>3962</v>
      </c>
      <c r="E1895" s="4">
        <v>3134905</v>
      </c>
      <c r="F1895" s="11" t="s">
        <v>3963</v>
      </c>
      <c r="G1895" s="4" t="s">
        <v>232</v>
      </c>
      <c r="H1895" s="4"/>
    </row>
    <row r="1896" s="1" customFormat="1" spans="1:8">
      <c r="A1896" s="4" t="s">
        <v>205</v>
      </c>
      <c r="B1896" s="4" t="s">
        <v>79</v>
      </c>
      <c r="C1896" s="4" t="s">
        <v>82</v>
      </c>
      <c r="D1896" s="11" t="s">
        <v>3964</v>
      </c>
      <c r="E1896" s="4">
        <v>3134806</v>
      </c>
      <c r="F1896" s="11" t="s">
        <v>3965</v>
      </c>
      <c r="G1896" s="4" t="s">
        <v>232</v>
      </c>
      <c r="H1896" s="4"/>
    </row>
    <row r="1897" s="1" customFormat="1" spans="1:8">
      <c r="A1897" s="4" t="s">
        <v>205</v>
      </c>
      <c r="B1897" s="4" t="s">
        <v>79</v>
      </c>
      <c r="C1897" s="4" t="s">
        <v>82</v>
      </c>
      <c r="D1897" s="11" t="s">
        <v>3966</v>
      </c>
      <c r="E1897" s="4">
        <v>3135076</v>
      </c>
      <c r="F1897" s="11" t="s">
        <v>3967</v>
      </c>
      <c r="G1897" s="4" t="s">
        <v>232</v>
      </c>
      <c r="H1897" s="4"/>
    </row>
    <row r="1898" s="1" customFormat="1" spans="1:8">
      <c r="A1898" s="4" t="s">
        <v>205</v>
      </c>
      <c r="B1898" s="4" t="s">
        <v>79</v>
      </c>
      <c r="C1898" s="4" t="s">
        <v>82</v>
      </c>
      <c r="D1898" s="11" t="s">
        <v>3968</v>
      </c>
      <c r="E1898" s="4">
        <v>3135100</v>
      </c>
      <c r="F1898" s="11" t="s">
        <v>3969</v>
      </c>
      <c r="G1898" s="4" t="s">
        <v>232</v>
      </c>
      <c r="H1898" s="4"/>
    </row>
    <row r="1899" s="1" customFormat="1" spans="1:8">
      <c r="A1899" s="4" t="s">
        <v>205</v>
      </c>
      <c r="B1899" s="4" t="s">
        <v>79</v>
      </c>
      <c r="C1899" s="4" t="s">
        <v>82</v>
      </c>
      <c r="D1899" s="11" t="s">
        <v>3970</v>
      </c>
      <c r="E1899" s="4">
        <v>3135357</v>
      </c>
      <c r="F1899" s="11" t="s">
        <v>3971</v>
      </c>
      <c r="G1899" s="4" t="s">
        <v>232</v>
      </c>
      <c r="H1899" s="4"/>
    </row>
    <row r="1900" s="1" customFormat="1" spans="1:8">
      <c r="A1900" s="4" t="s">
        <v>205</v>
      </c>
      <c r="B1900" s="4" t="s">
        <v>79</v>
      </c>
      <c r="C1900" s="4" t="s">
        <v>82</v>
      </c>
      <c r="D1900" s="11" t="s">
        <v>3972</v>
      </c>
      <c r="E1900" s="4">
        <v>3135605</v>
      </c>
      <c r="F1900" s="11" t="s">
        <v>3973</v>
      </c>
      <c r="G1900" s="4" t="s">
        <v>232</v>
      </c>
      <c r="H1900" s="4"/>
    </row>
    <row r="1901" s="1" customFormat="1" spans="1:8">
      <c r="A1901" s="4" t="s">
        <v>205</v>
      </c>
      <c r="B1901" s="4" t="s">
        <v>79</v>
      </c>
      <c r="C1901" s="4" t="s">
        <v>82</v>
      </c>
      <c r="D1901" s="11" t="s">
        <v>3974</v>
      </c>
      <c r="E1901" s="4">
        <v>3135902</v>
      </c>
      <c r="F1901" s="11" t="s">
        <v>3975</v>
      </c>
      <c r="G1901" s="4" t="s">
        <v>232</v>
      </c>
      <c r="H1901" s="4"/>
    </row>
    <row r="1902" s="1" customFormat="1" spans="1:8">
      <c r="A1902" s="4" t="s">
        <v>205</v>
      </c>
      <c r="B1902" s="4" t="s">
        <v>79</v>
      </c>
      <c r="C1902" s="4" t="s">
        <v>82</v>
      </c>
      <c r="D1902" s="11" t="s">
        <v>3976</v>
      </c>
      <c r="E1902" s="4">
        <v>3136405</v>
      </c>
      <c r="F1902" s="11" t="s">
        <v>3977</v>
      </c>
      <c r="G1902" s="4" t="s">
        <v>232</v>
      </c>
      <c r="H1902" s="4"/>
    </row>
    <row r="1903" s="1" customFormat="1" spans="1:8">
      <c r="A1903" s="4" t="s">
        <v>205</v>
      </c>
      <c r="B1903" s="4" t="s">
        <v>79</v>
      </c>
      <c r="C1903" s="4" t="s">
        <v>82</v>
      </c>
      <c r="D1903" s="11" t="s">
        <v>3978</v>
      </c>
      <c r="E1903" s="4">
        <v>3136520</v>
      </c>
      <c r="F1903" s="11" t="s">
        <v>3979</v>
      </c>
      <c r="G1903" s="4" t="s">
        <v>232</v>
      </c>
      <c r="H1903" s="4"/>
    </row>
    <row r="1904" s="1" customFormat="1" spans="1:8">
      <c r="A1904" s="4" t="s">
        <v>205</v>
      </c>
      <c r="B1904" s="4" t="s">
        <v>79</v>
      </c>
      <c r="C1904" s="4" t="s">
        <v>82</v>
      </c>
      <c r="D1904" s="11" t="s">
        <v>3980</v>
      </c>
      <c r="E1904" s="4">
        <v>3136553</v>
      </c>
      <c r="F1904" s="11" t="s">
        <v>3981</v>
      </c>
      <c r="G1904" s="4" t="s">
        <v>232</v>
      </c>
      <c r="H1904" s="4"/>
    </row>
    <row r="1905" s="1" customFormat="1" spans="1:8">
      <c r="A1905" s="4" t="s">
        <v>205</v>
      </c>
      <c r="B1905" s="4" t="s">
        <v>79</v>
      </c>
      <c r="C1905" s="4" t="s">
        <v>82</v>
      </c>
      <c r="D1905" s="11" t="s">
        <v>3982</v>
      </c>
      <c r="E1905" s="4">
        <v>3136306</v>
      </c>
      <c r="F1905" s="11" t="s">
        <v>3983</v>
      </c>
      <c r="G1905" s="4" t="s">
        <v>232</v>
      </c>
      <c r="H1905" s="4"/>
    </row>
    <row r="1906" s="1" customFormat="1" spans="1:8">
      <c r="A1906" s="4" t="s">
        <v>205</v>
      </c>
      <c r="B1906" s="4" t="s">
        <v>79</v>
      </c>
      <c r="C1906" s="4" t="s">
        <v>82</v>
      </c>
      <c r="D1906" s="11" t="s">
        <v>3984</v>
      </c>
      <c r="E1906" s="4">
        <v>3136801</v>
      </c>
      <c r="F1906" s="11" t="s">
        <v>3985</v>
      </c>
      <c r="G1906" s="4" t="s">
        <v>232</v>
      </c>
      <c r="H1906" s="4"/>
    </row>
    <row r="1907" s="1" customFormat="1" spans="1:8">
      <c r="A1907" s="4" t="s">
        <v>205</v>
      </c>
      <c r="B1907" s="4" t="s">
        <v>79</v>
      </c>
      <c r="C1907" s="4" t="s">
        <v>82</v>
      </c>
      <c r="D1907" s="11" t="s">
        <v>3986</v>
      </c>
      <c r="E1907" s="4">
        <v>3136900</v>
      </c>
      <c r="F1907" s="11" t="s">
        <v>3987</v>
      </c>
      <c r="G1907" s="4" t="s">
        <v>232</v>
      </c>
      <c r="H1907" s="4"/>
    </row>
    <row r="1908" s="1" customFormat="1" spans="1:8">
      <c r="A1908" s="4" t="s">
        <v>205</v>
      </c>
      <c r="B1908" s="4" t="s">
        <v>79</v>
      </c>
      <c r="C1908" s="4" t="s">
        <v>82</v>
      </c>
      <c r="D1908" s="11" t="s">
        <v>3988</v>
      </c>
      <c r="E1908" s="4">
        <v>3137007</v>
      </c>
      <c r="F1908" s="11" t="s">
        <v>3989</v>
      </c>
      <c r="G1908" s="4" t="s">
        <v>232</v>
      </c>
      <c r="H1908" s="4"/>
    </row>
    <row r="1909" s="1" customFormat="1" spans="1:8">
      <c r="A1909" s="4" t="s">
        <v>205</v>
      </c>
      <c r="B1909" s="4" t="s">
        <v>79</v>
      </c>
      <c r="C1909" s="4" t="s">
        <v>82</v>
      </c>
      <c r="D1909" s="11" t="s">
        <v>3990</v>
      </c>
      <c r="E1909" s="4">
        <v>3137106</v>
      </c>
      <c r="F1909" s="11" t="s">
        <v>3991</v>
      </c>
      <c r="G1909" s="4" t="s">
        <v>232</v>
      </c>
      <c r="H1909" s="4"/>
    </row>
    <row r="1910" s="1" customFormat="1" spans="1:8">
      <c r="A1910" s="4" t="s">
        <v>205</v>
      </c>
      <c r="B1910" s="4" t="s">
        <v>79</v>
      </c>
      <c r="C1910" s="4" t="s">
        <v>82</v>
      </c>
      <c r="D1910" s="11" t="s">
        <v>3992</v>
      </c>
      <c r="E1910" s="4">
        <v>3137304</v>
      </c>
      <c r="F1910" s="11" t="s">
        <v>3993</v>
      </c>
      <c r="G1910" s="4" t="s">
        <v>232</v>
      </c>
      <c r="H1910" s="4"/>
    </row>
    <row r="1911" s="1" customFormat="1" spans="1:8">
      <c r="A1911" s="4" t="s">
        <v>205</v>
      </c>
      <c r="B1911" s="4" t="s">
        <v>79</v>
      </c>
      <c r="C1911" s="4" t="s">
        <v>82</v>
      </c>
      <c r="D1911" s="11" t="s">
        <v>3994</v>
      </c>
      <c r="E1911" s="4">
        <v>3137502</v>
      </c>
      <c r="F1911" s="11" t="s">
        <v>3995</v>
      </c>
      <c r="G1911" s="4" t="s">
        <v>232</v>
      </c>
      <c r="H1911" s="4"/>
    </row>
    <row r="1912" s="1" customFormat="1" spans="1:8">
      <c r="A1912" s="4" t="s">
        <v>205</v>
      </c>
      <c r="B1912" s="4" t="s">
        <v>79</v>
      </c>
      <c r="C1912" s="4" t="s">
        <v>82</v>
      </c>
      <c r="D1912" s="11" t="s">
        <v>3996</v>
      </c>
      <c r="E1912" s="4">
        <v>3137536</v>
      </c>
      <c r="F1912" s="11" t="s">
        <v>3997</v>
      </c>
      <c r="G1912" s="4" t="s">
        <v>232</v>
      </c>
      <c r="H1912" s="4"/>
    </row>
    <row r="1913" s="1" customFormat="1" spans="1:8">
      <c r="A1913" s="4" t="s">
        <v>205</v>
      </c>
      <c r="B1913" s="4" t="s">
        <v>79</v>
      </c>
      <c r="C1913" s="4" t="s">
        <v>82</v>
      </c>
      <c r="D1913" s="11" t="s">
        <v>3998</v>
      </c>
      <c r="E1913" s="4">
        <v>3137700</v>
      </c>
      <c r="F1913" s="11" t="s">
        <v>3999</v>
      </c>
      <c r="G1913" s="4" t="s">
        <v>232</v>
      </c>
      <c r="H1913" s="4"/>
    </row>
    <row r="1914" s="1" customFormat="1" spans="1:8">
      <c r="A1914" s="4" t="s">
        <v>205</v>
      </c>
      <c r="B1914" s="4" t="s">
        <v>79</v>
      </c>
      <c r="C1914" s="4" t="s">
        <v>82</v>
      </c>
      <c r="D1914" s="11" t="s">
        <v>4000</v>
      </c>
      <c r="E1914" s="4">
        <v>3137809</v>
      </c>
      <c r="F1914" s="11" t="s">
        <v>4001</v>
      </c>
      <c r="G1914" s="4" t="s">
        <v>232</v>
      </c>
      <c r="H1914" s="4"/>
    </row>
    <row r="1915" s="1" customFormat="1" spans="1:8">
      <c r="A1915" s="4" t="s">
        <v>205</v>
      </c>
      <c r="B1915" s="4" t="s">
        <v>79</v>
      </c>
      <c r="C1915" s="4" t="s">
        <v>82</v>
      </c>
      <c r="D1915" s="11" t="s">
        <v>4002</v>
      </c>
      <c r="E1915" s="4">
        <v>3138005</v>
      </c>
      <c r="F1915" s="11" t="s">
        <v>4003</v>
      </c>
      <c r="G1915" s="4" t="s">
        <v>232</v>
      </c>
      <c r="H1915" s="4"/>
    </row>
    <row r="1916" s="1" customFormat="1" spans="1:8">
      <c r="A1916" s="4" t="s">
        <v>205</v>
      </c>
      <c r="B1916" s="4" t="s">
        <v>79</v>
      </c>
      <c r="C1916" s="4" t="s">
        <v>82</v>
      </c>
      <c r="D1916" s="11" t="s">
        <v>4004</v>
      </c>
      <c r="E1916" s="4">
        <v>3138351</v>
      </c>
      <c r="F1916" s="11" t="s">
        <v>4005</v>
      </c>
      <c r="G1916" s="4" t="s">
        <v>232</v>
      </c>
      <c r="H1916" s="4"/>
    </row>
    <row r="1917" s="1" customFormat="1" spans="1:8">
      <c r="A1917" s="4" t="s">
        <v>205</v>
      </c>
      <c r="B1917" s="4" t="s">
        <v>79</v>
      </c>
      <c r="C1917" s="4" t="s">
        <v>82</v>
      </c>
      <c r="D1917" s="11" t="s">
        <v>4006</v>
      </c>
      <c r="E1917" s="4">
        <v>3138401</v>
      </c>
      <c r="F1917" s="11" t="s">
        <v>4007</v>
      </c>
      <c r="G1917" s="4" t="s">
        <v>232</v>
      </c>
      <c r="H1917" s="4"/>
    </row>
    <row r="1918" s="1" customFormat="1" spans="1:8">
      <c r="A1918" s="4" t="s">
        <v>205</v>
      </c>
      <c r="B1918" s="4" t="s">
        <v>79</v>
      </c>
      <c r="C1918" s="4" t="s">
        <v>82</v>
      </c>
      <c r="D1918" s="11" t="s">
        <v>4008</v>
      </c>
      <c r="E1918" s="4">
        <v>3138500</v>
      </c>
      <c r="F1918" s="11" t="s">
        <v>4009</v>
      </c>
      <c r="G1918" s="4" t="s">
        <v>232</v>
      </c>
      <c r="H1918" s="4"/>
    </row>
    <row r="1919" s="1" customFormat="1" spans="1:8">
      <c r="A1919" s="4" t="s">
        <v>205</v>
      </c>
      <c r="B1919" s="4" t="s">
        <v>79</v>
      </c>
      <c r="C1919" s="4" t="s">
        <v>82</v>
      </c>
      <c r="D1919" s="11" t="s">
        <v>4010</v>
      </c>
      <c r="E1919" s="4">
        <v>3138658</v>
      </c>
      <c r="F1919" s="11" t="s">
        <v>4011</v>
      </c>
      <c r="G1919" s="4" t="s">
        <v>232</v>
      </c>
      <c r="H1919" s="4"/>
    </row>
    <row r="1920" s="1" customFormat="1" spans="1:8">
      <c r="A1920" s="4" t="s">
        <v>205</v>
      </c>
      <c r="B1920" s="4" t="s">
        <v>79</v>
      </c>
      <c r="C1920" s="4" t="s">
        <v>82</v>
      </c>
      <c r="D1920" s="11" t="s">
        <v>4012</v>
      </c>
      <c r="E1920" s="4">
        <v>3138674</v>
      </c>
      <c r="F1920" s="11" t="s">
        <v>4013</v>
      </c>
      <c r="G1920" s="4" t="s">
        <v>232</v>
      </c>
      <c r="H1920" s="4"/>
    </row>
    <row r="1921" s="1" customFormat="1" spans="1:8">
      <c r="A1921" s="4" t="s">
        <v>205</v>
      </c>
      <c r="B1921" s="4" t="s">
        <v>79</v>
      </c>
      <c r="C1921" s="4" t="s">
        <v>82</v>
      </c>
      <c r="D1921" s="11" t="s">
        <v>4014</v>
      </c>
      <c r="E1921" s="4">
        <v>3138682</v>
      </c>
      <c r="F1921" s="11" t="s">
        <v>4015</v>
      </c>
      <c r="G1921" s="4" t="s">
        <v>232</v>
      </c>
      <c r="H1921" s="4"/>
    </row>
    <row r="1922" s="1" customFormat="1" spans="1:8">
      <c r="A1922" s="4" t="s">
        <v>205</v>
      </c>
      <c r="B1922" s="4" t="s">
        <v>79</v>
      </c>
      <c r="C1922" s="4" t="s">
        <v>82</v>
      </c>
      <c r="D1922" s="11" t="s">
        <v>4016</v>
      </c>
      <c r="E1922" s="4">
        <v>3139003</v>
      </c>
      <c r="F1922" s="11" t="s">
        <v>4017</v>
      </c>
      <c r="G1922" s="4" t="s">
        <v>232</v>
      </c>
      <c r="H1922" s="4"/>
    </row>
    <row r="1923" s="1" customFormat="1" spans="1:8">
      <c r="A1923" s="4" t="s">
        <v>205</v>
      </c>
      <c r="B1923" s="4" t="s">
        <v>79</v>
      </c>
      <c r="C1923" s="4" t="s">
        <v>82</v>
      </c>
      <c r="D1923" s="11" t="s">
        <v>4018</v>
      </c>
      <c r="E1923" s="4">
        <v>3139201</v>
      </c>
      <c r="F1923" s="11" t="s">
        <v>4019</v>
      </c>
      <c r="G1923" s="4" t="s">
        <v>232</v>
      </c>
      <c r="H1923" s="4"/>
    </row>
    <row r="1924" s="1" customFormat="1" spans="1:8">
      <c r="A1924" s="4" t="s">
        <v>205</v>
      </c>
      <c r="B1924" s="4" t="s">
        <v>79</v>
      </c>
      <c r="C1924" s="4" t="s">
        <v>82</v>
      </c>
      <c r="D1924" s="11" t="s">
        <v>4020</v>
      </c>
      <c r="E1924" s="4">
        <v>3139508</v>
      </c>
      <c r="F1924" s="11" t="s">
        <v>4021</v>
      </c>
      <c r="G1924" s="4" t="s">
        <v>232</v>
      </c>
      <c r="H1924" s="4"/>
    </row>
    <row r="1925" s="1" customFormat="1" spans="1:8">
      <c r="A1925" s="4" t="s">
        <v>205</v>
      </c>
      <c r="B1925" s="4" t="s">
        <v>79</v>
      </c>
      <c r="C1925" s="4" t="s">
        <v>82</v>
      </c>
      <c r="D1925" s="11" t="s">
        <v>4022</v>
      </c>
      <c r="E1925" s="4">
        <v>3139607</v>
      </c>
      <c r="F1925" s="11" t="s">
        <v>4023</v>
      </c>
      <c r="G1925" s="4" t="s">
        <v>232</v>
      </c>
      <c r="H1925" s="4"/>
    </row>
    <row r="1926" s="1" customFormat="1" spans="1:8">
      <c r="A1926" s="4" t="s">
        <v>205</v>
      </c>
      <c r="B1926" s="4" t="s">
        <v>79</v>
      </c>
      <c r="C1926" s="4" t="s">
        <v>82</v>
      </c>
      <c r="D1926" s="11" t="s">
        <v>4024</v>
      </c>
      <c r="E1926" s="4">
        <v>3139805</v>
      </c>
      <c r="F1926" s="11" t="s">
        <v>4025</v>
      </c>
      <c r="G1926" s="4" t="s">
        <v>232</v>
      </c>
      <c r="H1926" s="4"/>
    </row>
    <row r="1927" s="1" customFormat="1" spans="1:8">
      <c r="A1927" s="4" t="s">
        <v>205</v>
      </c>
      <c r="B1927" s="4" t="s">
        <v>79</v>
      </c>
      <c r="C1927" s="4" t="s">
        <v>82</v>
      </c>
      <c r="D1927" s="11" t="s">
        <v>4026</v>
      </c>
      <c r="E1927" s="4">
        <v>3139904</v>
      </c>
      <c r="F1927" s="11" t="s">
        <v>4027</v>
      </c>
      <c r="G1927" s="4" t="s">
        <v>232</v>
      </c>
      <c r="H1927" s="4"/>
    </row>
    <row r="1928" s="1" customFormat="1" spans="1:8">
      <c r="A1928" s="4" t="s">
        <v>205</v>
      </c>
      <c r="B1928" s="4" t="s">
        <v>79</v>
      </c>
      <c r="C1928" s="4" t="s">
        <v>82</v>
      </c>
      <c r="D1928" s="11" t="s">
        <v>4028</v>
      </c>
      <c r="E1928" s="4">
        <v>3140100</v>
      </c>
      <c r="F1928" s="11" t="s">
        <v>4029</v>
      </c>
      <c r="G1928" s="4" t="s">
        <v>232</v>
      </c>
      <c r="H1928" s="4"/>
    </row>
    <row r="1929" s="1" customFormat="1" spans="1:8">
      <c r="A1929" s="4" t="s">
        <v>205</v>
      </c>
      <c r="B1929" s="4" t="s">
        <v>79</v>
      </c>
      <c r="C1929" s="4" t="s">
        <v>82</v>
      </c>
      <c r="D1929" s="11" t="s">
        <v>4030</v>
      </c>
      <c r="E1929" s="4">
        <v>3140209</v>
      </c>
      <c r="F1929" s="11" t="s">
        <v>4031</v>
      </c>
      <c r="G1929" s="4" t="s">
        <v>232</v>
      </c>
      <c r="H1929" s="4"/>
    </row>
    <row r="1930" s="1" customFormat="1" spans="1:8">
      <c r="A1930" s="4" t="s">
        <v>205</v>
      </c>
      <c r="B1930" s="4" t="s">
        <v>79</v>
      </c>
      <c r="C1930" s="4" t="s">
        <v>82</v>
      </c>
      <c r="D1930" s="11" t="s">
        <v>4032</v>
      </c>
      <c r="E1930" s="4">
        <v>3140407</v>
      </c>
      <c r="F1930" s="11" t="s">
        <v>4033</v>
      </c>
      <c r="G1930" s="4" t="s">
        <v>232</v>
      </c>
      <c r="H1930" s="4"/>
    </row>
    <row r="1931" s="1" customFormat="1" spans="1:8">
      <c r="A1931" s="4" t="s">
        <v>205</v>
      </c>
      <c r="B1931" s="4" t="s">
        <v>79</v>
      </c>
      <c r="C1931" s="4" t="s">
        <v>82</v>
      </c>
      <c r="D1931" s="11" t="s">
        <v>4034</v>
      </c>
      <c r="E1931" s="4">
        <v>3140530</v>
      </c>
      <c r="F1931" s="11" t="s">
        <v>4035</v>
      </c>
      <c r="G1931" s="4" t="s">
        <v>232</v>
      </c>
      <c r="H1931" s="4"/>
    </row>
    <row r="1932" s="1" customFormat="1" spans="1:8">
      <c r="A1932" s="4" t="s">
        <v>205</v>
      </c>
      <c r="B1932" s="4" t="s">
        <v>79</v>
      </c>
      <c r="C1932" s="4" t="s">
        <v>82</v>
      </c>
      <c r="D1932" s="11" t="s">
        <v>4036</v>
      </c>
      <c r="E1932" s="4">
        <v>3140605</v>
      </c>
      <c r="F1932" s="11" t="s">
        <v>4037</v>
      </c>
      <c r="G1932" s="4" t="s">
        <v>232</v>
      </c>
      <c r="H1932" s="4"/>
    </row>
    <row r="1933" s="1" customFormat="1" spans="1:8">
      <c r="A1933" s="4" t="s">
        <v>205</v>
      </c>
      <c r="B1933" s="4" t="s">
        <v>79</v>
      </c>
      <c r="C1933" s="4" t="s">
        <v>82</v>
      </c>
      <c r="D1933" s="11" t="s">
        <v>4038</v>
      </c>
      <c r="E1933" s="4">
        <v>3171501</v>
      </c>
      <c r="F1933" s="11" t="s">
        <v>4039</v>
      </c>
      <c r="G1933" s="4" t="s">
        <v>232</v>
      </c>
      <c r="H1933" s="4"/>
    </row>
    <row r="1934" s="1" customFormat="1" spans="1:8">
      <c r="A1934" s="4" t="s">
        <v>205</v>
      </c>
      <c r="B1934" s="4" t="s">
        <v>79</v>
      </c>
      <c r="C1934" s="4" t="s">
        <v>82</v>
      </c>
      <c r="D1934" s="11" t="s">
        <v>4040</v>
      </c>
      <c r="E1934" s="4">
        <v>3141207</v>
      </c>
      <c r="F1934" s="11" t="s">
        <v>4041</v>
      </c>
      <c r="G1934" s="4" t="s">
        <v>232</v>
      </c>
      <c r="H1934" s="4"/>
    </row>
    <row r="1935" s="1" customFormat="1" spans="1:8">
      <c r="A1935" s="4" t="s">
        <v>205</v>
      </c>
      <c r="B1935" s="4" t="s">
        <v>79</v>
      </c>
      <c r="C1935" s="4" t="s">
        <v>82</v>
      </c>
      <c r="D1935" s="11" t="s">
        <v>4042</v>
      </c>
      <c r="E1935" s="4">
        <v>3141306</v>
      </c>
      <c r="F1935" s="11" t="s">
        <v>4043</v>
      </c>
      <c r="G1935" s="4" t="s">
        <v>232</v>
      </c>
      <c r="H1935" s="4"/>
    </row>
    <row r="1936" s="1" customFormat="1" spans="1:8">
      <c r="A1936" s="4" t="s">
        <v>205</v>
      </c>
      <c r="B1936" s="4" t="s">
        <v>79</v>
      </c>
      <c r="C1936" s="4" t="s">
        <v>82</v>
      </c>
      <c r="D1936" s="11" t="s">
        <v>4044</v>
      </c>
      <c r="E1936" s="4">
        <v>3141504</v>
      </c>
      <c r="F1936" s="11" t="s">
        <v>4045</v>
      </c>
      <c r="G1936" s="4" t="s">
        <v>232</v>
      </c>
      <c r="H1936" s="4"/>
    </row>
    <row r="1937" s="1" customFormat="1" spans="1:8">
      <c r="A1937" s="4" t="s">
        <v>205</v>
      </c>
      <c r="B1937" s="4" t="s">
        <v>79</v>
      </c>
      <c r="C1937" s="4" t="s">
        <v>82</v>
      </c>
      <c r="D1937" s="11" t="s">
        <v>4046</v>
      </c>
      <c r="E1937" s="4">
        <v>3141801</v>
      </c>
      <c r="F1937" s="11" t="s">
        <v>4047</v>
      </c>
      <c r="G1937" s="4" t="s">
        <v>232</v>
      </c>
      <c r="H1937" s="4"/>
    </row>
    <row r="1938" s="1" customFormat="1" spans="1:8">
      <c r="A1938" s="4" t="s">
        <v>205</v>
      </c>
      <c r="B1938" s="4" t="s">
        <v>79</v>
      </c>
      <c r="C1938" s="4" t="s">
        <v>82</v>
      </c>
      <c r="D1938" s="11" t="s">
        <v>4048</v>
      </c>
      <c r="E1938" s="4">
        <v>3141900</v>
      </c>
      <c r="F1938" s="11" t="s">
        <v>4049</v>
      </c>
      <c r="G1938" s="4" t="s">
        <v>232</v>
      </c>
      <c r="H1938" s="4"/>
    </row>
    <row r="1939" s="1" customFormat="1" spans="1:8">
      <c r="A1939" s="4" t="s">
        <v>205</v>
      </c>
      <c r="B1939" s="4" t="s">
        <v>79</v>
      </c>
      <c r="C1939" s="4" t="s">
        <v>82</v>
      </c>
      <c r="D1939" s="11" t="s">
        <v>4050</v>
      </c>
      <c r="E1939" s="4">
        <v>3142007</v>
      </c>
      <c r="F1939" s="11" t="s">
        <v>4051</v>
      </c>
      <c r="G1939" s="4" t="s">
        <v>232</v>
      </c>
      <c r="H1939" s="4"/>
    </row>
    <row r="1940" s="1" customFormat="1" spans="1:8">
      <c r="A1940" s="4" t="s">
        <v>205</v>
      </c>
      <c r="B1940" s="4" t="s">
        <v>79</v>
      </c>
      <c r="C1940" s="4" t="s">
        <v>82</v>
      </c>
      <c r="D1940" s="11" t="s">
        <v>4052</v>
      </c>
      <c r="E1940" s="4">
        <v>3142106</v>
      </c>
      <c r="F1940" s="11" t="s">
        <v>4053</v>
      </c>
      <c r="G1940" s="4" t="s">
        <v>232</v>
      </c>
      <c r="H1940" s="4"/>
    </row>
    <row r="1941" s="1" customFormat="1" spans="1:8">
      <c r="A1941" s="4" t="s">
        <v>205</v>
      </c>
      <c r="B1941" s="4" t="s">
        <v>79</v>
      </c>
      <c r="C1941" s="4" t="s">
        <v>82</v>
      </c>
      <c r="D1941" s="11" t="s">
        <v>4054</v>
      </c>
      <c r="E1941" s="4">
        <v>3142205</v>
      </c>
      <c r="F1941" s="11" t="s">
        <v>4055</v>
      </c>
      <c r="G1941" s="4" t="s">
        <v>232</v>
      </c>
      <c r="H1941" s="4"/>
    </row>
    <row r="1942" s="1" customFormat="1" spans="1:8">
      <c r="A1942" s="4" t="s">
        <v>205</v>
      </c>
      <c r="B1942" s="4" t="s">
        <v>79</v>
      </c>
      <c r="C1942" s="4" t="s">
        <v>82</v>
      </c>
      <c r="D1942" s="11" t="s">
        <v>4056</v>
      </c>
      <c r="E1942" s="4">
        <v>3142601</v>
      </c>
      <c r="F1942" s="11" t="s">
        <v>4057</v>
      </c>
      <c r="G1942" s="4" t="s">
        <v>232</v>
      </c>
      <c r="H1942" s="4"/>
    </row>
    <row r="1943" s="1" customFormat="1" spans="1:8">
      <c r="A1943" s="4" t="s">
        <v>205</v>
      </c>
      <c r="B1943" s="4" t="s">
        <v>79</v>
      </c>
      <c r="C1943" s="4" t="s">
        <v>82</v>
      </c>
      <c r="D1943" s="11" t="s">
        <v>4058</v>
      </c>
      <c r="E1943" s="4">
        <v>3143005</v>
      </c>
      <c r="F1943" s="11" t="s">
        <v>4059</v>
      </c>
      <c r="G1943" s="4" t="s">
        <v>232</v>
      </c>
      <c r="H1943" s="4"/>
    </row>
    <row r="1944" s="1" customFormat="1" spans="1:8">
      <c r="A1944" s="4" t="s">
        <v>205</v>
      </c>
      <c r="B1944" s="4" t="s">
        <v>79</v>
      </c>
      <c r="C1944" s="4" t="s">
        <v>82</v>
      </c>
      <c r="D1944" s="11" t="s">
        <v>4060</v>
      </c>
      <c r="E1944" s="4">
        <v>3143104</v>
      </c>
      <c r="F1944" s="11" t="s">
        <v>4061</v>
      </c>
      <c r="G1944" s="4" t="s">
        <v>232</v>
      </c>
      <c r="H1944" s="4"/>
    </row>
    <row r="1945" s="1" customFormat="1" spans="1:8">
      <c r="A1945" s="4" t="s">
        <v>205</v>
      </c>
      <c r="B1945" s="4" t="s">
        <v>79</v>
      </c>
      <c r="C1945" s="4" t="s">
        <v>82</v>
      </c>
      <c r="D1945" s="11" t="s">
        <v>4062</v>
      </c>
      <c r="E1945" s="4">
        <v>3143203</v>
      </c>
      <c r="F1945" s="11" t="s">
        <v>4063</v>
      </c>
      <c r="G1945" s="4" t="s">
        <v>232</v>
      </c>
      <c r="H1945" s="4"/>
    </row>
    <row r="1946" s="1" customFormat="1" spans="1:8">
      <c r="A1946" s="4" t="s">
        <v>205</v>
      </c>
      <c r="B1946" s="4" t="s">
        <v>79</v>
      </c>
      <c r="C1946" s="4" t="s">
        <v>82</v>
      </c>
      <c r="D1946" s="11" t="s">
        <v>4064</v>
      </c>
      <c r="E1946" s="4">
        <v>3143401</v>
      </c>
      <c r="F1946" s="11" t="s">
        <v>4065</v>
      </c>
      <c r="G1946" s="4" t="s">
        <v>232</v>
      </c>
      <c r="H1946" s="4"/>
    </row>
    <row r="1947" s="1" customFormat="1" spans="1:8">
      <c r="A1947" s="4" t="s">
        <v>205</v>
      </c>
      <c r="B1947" s="4" t="s">
        <v>79</v>
      </c>
      <c r="C1947" s="4" t="s">
        <v>82</v>
      </c>
      <c r="D1947" s="11" t="s">
        <v>4066</v>
      </c>
      <c r="E1947" s="4">
        <v>3143302</v>
      </c>
      <c r="F1947" s="11" t="s">
        <v>4067</v>
      </c>
      <c r="G1947" s="4" t="s">
        <v>232</v>
      </c>
      <c r="H1947" s="4"/>
    </row>
    <row r="1948" s="1" customFormat="1" spans="1:8">
      <c r="A1948" s="4" t="s">
        <v>205</v>
      </c>
      <c r="B1948" s="4" t="s">
        <v>79</v>
      </c>
      <c r="C1948" s="4" t="s">
        <v>82</v>
      </c>
      <c r="D1948" s="11" t="s">
        <v>4068</v>
      </c>
      <c r="E1948" s="4">
        <v>3143807</v>
      </c>
      <c r="F1948" s="11" t="s">
        <v>4069</v>
      </c>
      <c r="G1948" s="4" t="s">
        <v>232</v>
      </c>
      <c r="H1948" s="4"/>
    </row>
    <row r="1949" s="1" customFormat="1" spans="1:8">
      <c r="A1949" s="4" t="s">
        <v>205</v>
      </c>
      <c r="B1949" s="4" t="s">
        <v>79</v>
      </c>
      <c r="C1949" s="4" t="s">
        <v>82</v>
      </c>
      <c r="D1949" s="11" t="s">
        <v>4070</v>
      </c>
      <c r="E1949" s="4">
        <v>3143906</v>
      </c>
      <c r="F1949" s="11" t="s">
        <v>4071</v>
      </c>
      <c r="G1949" s="4" t="s">
        <v>232</v>
      </c>
      <c r="H1949" s="4"/>
    </row>
    <row r="1950" s="1" customFormat="1" spans="1:8">
      <c r="A1950" s="4" t="s">
        <v>205</v>
      </c>
      <c r="B1950" s="4" t="s">
        <v>79</v>
      </c>
      <c r="C1950" s="4" t="s">
        <v>82</v>
      </c>
      <c r="D1950" s="11" t="s">
        <v>4072</v>
      </c>
      <c r="E1950" s="4">
        <v>3144003</v>
      </c>
      <c r="F1950" s="11" t="s">
        <v>4073</v>
      </c>
      <c r="G1950" s="4" t="s">
        <v>232</v>
      </c>
      <c r="H1950" s="4"/>
    </row>
    <row r="1951" s="1" customFormat="1" spans="1:8">
      <c r="A1951" s="4" t="s">
        <v>205</v>
      </c>
      <c r="B1951" s="4" t="s">
        <v>79</v>
      </c>
      <c r="C1951" s="4" t="s">
        <v>82</v>
      </c>
      <c r="D1951" s="11" t="s">
        <v>4074</v>
      </c>
      <c r="E1951" s="4">
        <v>3144102</v>
      </c>
      <c r="F1951" s="11" t="s">
        <v>4075</v>
      </c>
      <c r="G1951" s="4" t="s">
        <v>232</v>
      </c>
      <c r="H1951" s="4"/>
    </row>
    <row r="1952" s="1" customFormat="1" spans="1:8">
      <c r="A1952" s="4" t="s">
        <v>205</v>
      </c>
      <c r="B1952" s="4" t="s">
        <v>79</v>
      </c>
      <c r="C1952" s="4" t="s">
        <v>82</v>
      </c>
      <c r="D1952" s="11" t="s">
        <v>4076</v>
      </c>
      <c r="E1952" s="4">
        <v>3144201</v>
      </c>
      <c r="F1952" s="11" t="s">
        <v>4077</v>
      </c>
      <c r="G1952" s="4" t="s">
        <v>232</v>
      </c>
      <c r="H1952" s="4"/>
    </row>
    <row r="1953" s="1" customFormat="1" spans="1:8">
      <c r="A1953" s="4" t="s">
        <v>205</v>
      </c>
      <c r="B1953" s="4" t="s">
        <v>79</v>
      </c>
      <c r="C1953" s="4" t="s">
        <v>82</v>
      </c>
      <c r="D1953" s="11" t="s">
        <v>4078</v>
      </c>
      <c r="E1953" s="4">
        <v>3144375</v>
      </c>
      <c r="F1953" s="11" t="s">
        <v>4079</v>
      </c>
      <c r="G1953" s="4" t="s">
        <v>232</v>
      </c>
      <c r="H1953" s="4"/>
    </row>
    <row r="1954" s="1" customFormat="1" spans="1:8">
      <c r="A1954" s="4" t="s">
        <v>205</v>
      </c>
      <c r="B1954" s="4" t="s">
        <v>79</v>
      </c>
      <c r="C1954" s="4" t="s">
        <v>82</v>
      </c>
      <c r="D1954" s="11" t="s">
        <v>4080</v>
      </c>
      <c r="E1954" s="4">
        <v>3144409</v>
      </c>
      <c r="F1954" s="11" t="s">
        <v>4081</v>
      </c>
      <c r="G1954" s="4" t="s">
        <v>232</v>
      </c>
      <c r="H1954" s="4"/>
    </row>
    <row r="1955" s="1" customFormat="1" spans="1:8">
      <c r="A1955" s="4" t="s">
        <v>205</v>
      </c>
      <c r="B1955" s="4" t="s">
        <v>79</v>
      </c>
      <c r="C1955" s="4" t="s">
        <v>82</v>
      </c>
      <c r="D1955" s="11" t="s">
        <v>4082</v>
      </c>
      <c r="E1955" s="4">
        <v>3144672</v>
      </c>
      <c r="F1955" s="11" t="s">
        <v>4083</v>
      </c>
      <c r="G1955" s="4" t="s">
        <v>232</v>
      </c>
      <c r="H1955" s="4"/>
    </row>
    <row r="1956" s="1" customFormat="1" spans="1:8">
      <c r="A1956" s="4" t="s">
        <v>205</v>
      </c>
      <c r="B1956" s="4" t="s">
        <v>79</v>
      </c>
      <c r="C1956" s="4" t="s">
        <v>82</v>
      </c>
      <c r="D1956" s="11" t="s">
        <v>4084</v>
      </c>
      <c r="E1956" s="4">
        <v>3144904</v>
      </c>
      <c r="F1956" s="11" t="s">
        <v>4085</v>
      </c>
      <c r="G1956" s="4" t="s">
        <v>232</v>
      </c>
      <c r="H1956" s="4"/>
    </row>
    <row r="1957" s="1" customFormat="1" spans="1:8">
      <c r="A1957" s="4" t="s">
        <v>205</v>
      </c>
      <c r="B1957" s="4" t="s">
        <v>79</v>
      </c>
      <c r="C1957" s="4" t="s">
        <v>82</v>
      </c>
      <c r="D1957" s="11" t="s">
        <v>4086</v>
      </c>
      <c r="E1957" s="4">
        <v>3145000</v>
      </c>
      <c r="F1957" s="11" t="s">
        <v>4087</v>
      </c>
      <c r="G1957" s="4" t="s">
        <v>232</v>
      </c>
      <c r="H1957" s="4"/>
    </row>
    <row r="1958" s="1" customFormat="1" spans="1:8">
      <c r="A1958" s="4" t="s">
        <v>205</v>
      </c>
      <c r="B1958" s="4" t="s">
        <v>79</v>
      </c>
      <c r="C1958" s="4" t="s">
        <v>82</v>
      </c>
      <c r="D1958" s="11" t="s">
        <v>4088</v>
      </c>
      <c r="E1958" s="4">
        <v>3145059</v>
      </c>
      <c r="F1958" s="11" t="s">
        <v>4089</v>
      </c>
      <c r="G1958" s="4" t="s">
        <v>232</v>
      </c>
      <c r="H1958" s="4"/>
    </row>
    <row r="1959" s="1" customFormat="1" spans="1:8">
      <c r="A1959" s="4" t="s">
        <v>205</v>
      </c>
      <c r="B1959" s="4" t="s">
        <v>79</v>
      </c>
      <c r="C1959" s="4" t="s">
        <v>82</v>
      </c>
      <c r="D1959" s="11" t="s">
        <v>4090</v>
      </c>
      <c r="E1959" s="4">
        <v>3145109</v>
      </c>
      <c r="F1959" s="11" t="s">
        <v>4091</v>
      </c>
      <c r="G1959" s="4" t="s">
        <v>232</v>
      </c>
      <c r="H1959" s="4"/>
    </row>
    <row r="1960" s="1" customFormat="1" spans="1:8">
      <c r="A1960" s="4" t="s">
        <v>205</v>
      </c>
      <c r="B1960" s="4" t="s">
        <v>79</v>
      </c>
      <c r="C1960" s="4" t="s">
        <v>82</v>
      </c>
      <c r="D1960" s="11" t="s">
        <v>4092</v>
      </c>
      <c r="E1960" s="4">
        <v>3145307</v>
      </c>
      <c r="F1960" s="11" t="s">
        <v>4093</v>
      </c>
      <c r="G1960" s="4" t="s">
        <v>232</v>
      </c>
      <c r="H1960" s="4"/>
    </row>
    <row r="1961" s="1" customFormat="1" spans="1:8">
      <c r="A1961" s="4" t="s">
        <v>205</v>
      </c>
      <c r="B1961" s="4" t="s">
        <v>79</v>
      </c>
      <c r="C1961" s="4" t="s">
        <v>82</v>
      </c>
      <c r="D1961" s="11" t="s">
        <v>4094</v>
      </c>
      <c r="E1961" s="4">
        <v>3145356</v>
      </c>
      <c r="F1961" s="11" t="s">
        <v>4095</v>
      </c>
      <c r="G1961" s="4" t="s">
        <v>232</v>
      </c>
      <c r="H1961" s="4"/>
    </row>
    <row r="1962" s="1" customFormat="1" spans="1:8">
      <c r="A1962" s="4" t="s">
        <v>205</v>
      </c>
      <c r="B1962" s="4" t="s">
        <v>79</v>
      </c>
      <c r="C1962" s="4" t="s">
        <v>82</v>
      </c>
      <c r="D1962" s="11" t="s">
        <v>4096</v>
      </c>
      <c r="E1962" s="4">
        <v>3145406</v>
      </c>
      <c r="F1962" s="11" t="s">
        <v>4097</v>
      </c>
      <c r="G1962" s="4" t="s">
        <v>232</v>
      </c>
      <c r="H1962" s="4"/>
    </row>
    <row r="1963" s="1" customFormat="1" spans="1:8">
      <c r="A1963" s="4" t="s">
        <v>205</v>
      </c>
      <c r="B1963" s="4" t="s">
        <v>79</v>
      </c>
      <c r="C1963" s="4" t="s">
        <v>82</v>
      </c>
      <c r="D1963" s="11" t="s">
        <v>4098</v>
      </c>
      <c r="E1963" s="4">
        <v>3145455</v>
      </c>
      <c r="F1963" s="11" t="s">
        <v>4099</v>
      </c>
      <c r="G1963" s="4" t="s">
        <v>232</v>
      </c>
      <c r="H1963" s="4"/>
    </row>
    <row r="1964" s="1" customFormat="1" spans="1:8">
      <c r="A1964" s="4" t="s">
        <v>205</v>
      </c>
      <c r="B1964" s="4" t="s">
        <v>79</v>
      </c>
      <c r="C1964" s="4" t="s">
        <v>82</v>
      </c>
      <c r="D1964" s="11" t="s">
        <v>4100</v>
      </c>
      <c r="E1964" s="4">
        <v>3145505</v>
      </c>
      <c r="F1964" s="11" t="s">
        <v>4101</v>
      </c>
      <c r="G1964" s="4" t="s">
        <v>232</v>
      </c>
      <c r="H1964" s="4"/>
    </row>
    <row r="1965" s="1" customFormat="1" spans="1:8">
      <c r="A1965" s="4" t="s">
        <v>205</v>
      </c>
      <c r="B1965" s="4" t="s">
        <v>79</v>
      </c>
      <c r="C1965" s="4" t="s">
        <v>82</v>
      </c>
      <c r="D1965" s="11" t="s">
        <v>4102</v>
      </c>
      <c r="E1965" s="4">
        <v>3145877</v>
      </c>
      <c r="F1965" s="11" t="s">
        <v>4103</v>
      </c>
      <c r="G1965" s="4" t="s">
        <v>232</v>
      </c>
      <c r="H1965" s="4"/>
    </row>
    <row r="1966" s="1" customFormat="1" spans="1:8">
      <c r="A1966" s="4" t="s">
        <v>205</v>
      </c>
      <c r="B1966" s="4" t="s">
        <v>79</v>
      </c>
      <c r="C1966" s="4" t="s">
        <v>82</v>
      </c>
      <c r="D1966" s="11" t="s">
        <v>4104</v>
      </c>
      <c r="E1966" s="4">
        <v>3146008</v>
      </c>
      <c r="F1966" s="11" t="s">
        <v>4105</v>
      </c>
      <c r="G1966" s="4" t="s">
        <v>232</v>
      </c>
      <c r="H1966" s="4"/>
    </row>
    <row r="1967" s="1" customFormat="1" spans="1:8">
      <c r="A1967" s="4" t="s">
        <v>205</v>
      </c>
      <c r="B1967" s="4" t="s">
        <v>79</v>
      </c>
      <c r="C1967" s="4" t="s">
        <v>82</v>
      </c>
      <c r="D1967" s="11" t="s">
        <v>4106</v>
      </c>
      <c r="E1967" s="4">
        <v>3146206</v>
      </c>
      <c r="F1967" s="11" t="s">
        <v>4107</v>
      </c>
      <c r="G1967" s="4" t="s">
        <v>232</v>
      </c>
      <c r="H1967" s="4"/>
    </row>
    <row r="1968" s="1" customFormat="1" spans="1:8">
      <c r="A1968" s="4" t="s">
        <v>205</v>
      </c>
      <c r="B1968" s="4" t="s">
        <v>79</v>
      </c>
      <c r="C1968" s="4" t="s">
        <v>82</v>
      </c>
      <c r="D1968" s="11" t="s">
        <v>4108</v>
      </c>
      <c r="E1968" s="4">
        <v>3146305</v>
      </c>
      <c r="F1968" s="11" t="s">
        <v>4109</v>
      </c>
      <c r="G1968" s="4" t="s">
        <v>232</v>
      </c>
      <c r="H1968" s="4"/>
    </row>
    <row r="1969" s="1" customFormat="1" spans="1:8">
      <c r="A1969" s="4" t="s">
        <v>205</v>
      </c>
      <c r="B1969" s="4" t="s">
        <v>79</v>
      </c>
      <c r="C1969" s="4" t="s">
        <v>82</v>
      </c>
      <c r="D1969" s="11" t="s">
        <v>4110</v>
      </c>
      <c r="E1969" s="4">
        <v>3146701</v>
      </c>
      <c r="F1969" s="11" t="s">
        <v>4111</v>
      </c>
      <c r="G1969" s="4" t="s">
        <v>232</v>
      </c>
      <c r="H1969" s="4"/>
    </row>
    <row r="1970" s="1" customFormat="1" spans="1:8">
      <c r="A1970" s="4" t="s">
        <v>205</v>
      </c>
      <c r="B1970" s="4" t="s">
        <v>79</v>
      </c>
      <c r="C1970" s="4" t="s">
        <v>82</v>
      </c>
      <c r="D1970" s="11" t="s">
        <v>4112</v>
      </c>
      <c r="E1970" s="4">
        <v>3147006</v>
      </c>
      <c r="F1970" s="11" t="s">
        <v>4113</v>
      </c>
      <c r="G1970" s="4" t="s">
        <v>232</v>
      </c>
      <c r="H1970" s="4"/>
    </row>
    <row r="1971" s="1" customFormat="1" spans="1:8">
      <c r="A1971" s="4" t="s">
        <v>205</v>
      </c>
      <c r="B1971" s="4" t="s">
        <v>79</v>
      </c>
      <c r="C1971" s="4" t="s">
        <v>82</v>
      </c>
      <c r="D1971" s="11" t="s">
        <v>4114</v>
      </c>
      <c r="E1971" s="4">
        <v>3147204</v>
      </c>
      <c r="F1971" s="11" t="s">
        <v>4115</v>
      </c>
      <c r="G1971" s="4" t="s">
        <v>232</v>
      </c>
      <c r="H1971" s="4"/>
    </row>
    <row r="1972" s="1" customFormat="1" spans="1:8">
      <c r="A1972" s="4" t="s">
        <v>205</v>
      </c>
      <c r="B1972" s="4" t="s">
        <v>79</v>
      </c>
      <c r="C1972" s="4" t="s">
        <v>82</v>
      </c>
      <c r="D1972" s="11" t="s">
        <v>4116</v>
      </c>
      <c r="E1972" s="4">
        <v>3147303</v>
      </c>
      <c r="F1972" s="11" t="s">
        <v>4117</v>
      </c>
      <c r="G1972" s="4" t="s">
        <v>232</v>
      </c>
      <c r="H1972" s="4"/>
    </row>
    <row r="1973" s="1" customFormat="1" spans="1:8">
      <c r="A1973" s="4" t="s">
        <v>205</v>
      </c>
      <c r="B1973" s="4" t="s">
        <v>79</v>
      </c>
      <c r="C1973" s="4" t="s">
        <v>82</v>
      </c>
      <c r="D1973" s="11" t="s">
        <v>4118</v>
      </c>
      <c r="E1973" s="4">
        <v>3147600</v>
      </c>
      <c r="F1973" s="11" t="s">
        <v>4119</v>
      </c>
      <c r="G1973" s="4" t="s">
        <v>232</v>
      </c>
      <c r="H1973" s="4"/>
    </row>
    <row r="1974" s="1" customFormat="1" spans="1:8">
      <c r="A1974" s="4" t="s">
        <v>205</v>
      </c>
      <c r="B1974" s="4" t="s">
        <v>79</v>
      </c>
      <c r="C1974" s="4" t="s">
        <v>82</v>
      </c>
      <c r="D1974" s="11" t="s">
        <v>4120</v>
      </c>
      <c r="E1974" s="4">
        <v>3147808</v>
      </c>
      <c r="F1974" s="11" t="s">
        <v>4121</v>
      </c>
      <c r="G1974" s="4" t="s">
        <v>232</v>
      </c>
      <c r="H1974" s="4"/>
    </row>
    <row r="1975" s="1" customFormat="1" spans="1:8">
      <c r="A1975" s="4" t="s">
        <v>205</v>
      </c>
      <c r="B1975" s="4" t="s">
        <v>79</v>
      </c>
      <c r="C1975" s="4" t="s">
        <v>82</v>
      </c>
      <c r="D1975" s="11" t="s">
        <v>4122</v>
      </c>
      <c r="E1975" s="4">
        <v>3147907</v>
      </c>
      <c r="F1975" s="11" t="s">
        <v>4123</v>
      </c>
      <c r="G1975" s="4" t="s">
        <v>232</v>
      </c>
      <c r="H1975" s="4"/>
    </row>
    <row r="1976" s="1" customFormat="1" spans="1:8">
      <c r="A1976" s="4" t="s">
        <v>205</v>
      </c>
      <c r="B1976" s="4" t="s">
        <v>79</v>
      </c>
      <c r="C1976" s="4" t="s">
        <v>82</v>
      </c>
      <c r="D1976" s="11" t="s">
        <v>4124</v>
      </c>
      <c r="E1976" s="4">
        <v>3147956</v>
      </c>
      <c r="F1976" s="11" t="s">
        <v>4125</v>
      </c>
      <c r="G1976" s="4" t="s">
        <v>232</v>
      </c>
      <c r="H1976" s="4"/>
    </row>
    <row r="1977" s="1" customFormat="1" spans="1:8">
      <c r="A1977" s="4" t="s">
        <v>205</v>
      </c>
      <c r="B1977" s="4" t="s">
        <v>79</v>
      </c>
      <c r="C1977" s="4" t="s">
        <v>82</v>
      </c>
      <c r="D1977" s="11" t="s">
        <v>4126</v>
      </c>
      <c r="E1977" s="4">
        <v>3148004</v>
      </c>
      <c r="F1977" s="11" t="s">
        <v>4127</v>
      </c>
      <c r="G1977" s="4" t="s">
        <v>232</v>
      </c>
      <c r="H1977" s="4"/>
    </row>
    <row r="1978" s="1" customFormat="1" spans="1:8">
      <c r="A1978" s="4" t="s">
        <v>205</v>
      </c>
      <c r="B1978" s="4" t="s">
        <v>79</v>
      </c>
      <c r="C1978" s="4" t="s">
        <v>82</v>
      </c>
      <c r="D1978" s="11" t="s">
        <v>4128</v>
      </c>
      <c r="E1978" s="4">
        <v>3148103</v>
      </c>
      <c r="F1978" s="11" t="s">
        <v>4129</v>
      </c>
      <c r="G1978" s="4" t="s">
        <v>232</v>
      </c>
      <c r="H1978" s="4"/>
    </row>
    <row r="1979" s="1" customFormat="1" spans="1:8">
      <c r="A1979" s="4" t="s">
        <v>205</v>
      </c>
      <c r="B1979" s="4" t="s">
        <v>79</v>
      </c>
      <c r="C1979" s="4" t="s">
        <v>82</v>
      </c>
      <c r="D1979" s="11" t="s">
        <v>4130</v>
      </c>
      <c r="E1979" s="4">
        <v>3148202</v>
      </c>
      <c r="F1979" s="11" t="s">
        <v>4131</v>
      </c>
      <c r="G1979" s="4" t="s">
        <v>232</v>
      </c>
      <c r="H1979" s="4"/>
    </row>
    <row r="1980" s="1" customFormat="1" spans="1:8">
      <c r="A1980" s="4" t="s">
        <v>205</v>
      </c>
      <c r="B1980" s="4" t="s">
        <v>79</v>
      </c>
      <c r="C1980" s="4" t="s">
        <v>82</v>
      </c>
      <c r="D1980" s="11" t="s">
        <v>4132</v>
      </c>
      <c r="E1980" s="4">
        <v>3148400</v>
      </c>
      <c r="F1980" s="11" t="s">
        <v>4133</v>
      </c>
      <c r="G1980" s="4" t="s">
        <v>232</v>
      </c>
      <c r="H1980" s="4"/>
    </row>
    <row r="1981" s="1" customFormat="1" spans="1:8">
      <c r="A1981" s="4" t="s">
        <v>205</v>
      </c>
      <c r="B1981" s="4" t="s">
        <v>79</v>
      </c>
      <c r="C1981" s="4" t="s">
        <v>82</v>
      </c>
      <c r="D1981" s="11" t="s">
        <v>4134</v>
      </c>
      <c r="E1981" s="4">
        <v>3148509</v>
      </c>
      <c r="F1981" s="11" t="s">
        <v>4135</v>
      </c>
      <c r="G1981" s="4" t="s">
        <v>232</v>
      </c>
      <c r="H1981" s="4"/>
    </row>
    <row r="1982" s="1" customFormat="1" spans="1:8">
      <c r="A1982" s="4" t="s">
        <v>205</v>
      </c>
      <c r="B1982" s="4" t="s">
        <v>79</v>
      </c>
      <c r="C1982" s="4" t="s">
        <v>82</v>
      </c>
      <c r="D1982" s="11" t="s">
        <v>4136</v>
      </c>
      <c r="E1982" s="4">
        <v>3149002</v>
      </c>
      <c r="F1982" s="11" t="s">
        <v>4137</v>
      </c>
      <c r="G1982" s="4" t="s">
        <v>232</v>
      </c>
      <c r="H1982" s="4"/>
    </row>
    <row r="1983" s="1" customFormat="1" spans="1:8">
      <c r="A1983" s="4" t="s">
        <v>205</v>
      </c>
      <c r="B1983" s="4" t="s">
        <v>79</v>
      </c>
      <c r="C1983" s="4" t="s">
        <v>82</v>
      </c>
      <c r="D1983" s="11" t="s">
        <v>4138</v>
      </c>
      <c r="E1983" s="4">
        <v>3149101</v>
      </c>
      <c r="F1983" s="11" t="s">
        <v>4139</v>
      </c>
      <c r="G1983" s="4" t="s">
        <v>232</v>
      </c>
      <c r="H1983" s="4"/>
    </row>
    <row r="1984" s="1" customFormat="1" spans="1:8">
      <c r="A1984" s="4" t="s">
        <v>205</v>
      </c>
      <c r="B1984" s="4" t="s">
        <v>79</v>
      </c>
      <c r="C1984" s="4" t="s">
        <v>82</v>
      </c>
      <c r="D1984" s="11" t="s">
        <v>4140</v>
      </c>
      <c r="E1984" s="4">
        <v>3149150</v>
      </c>
      <c r="F1984" s="11" t="s">
        <v>4141</v>
      </c>
      <c r="G1984" s="4" t="s">
        <v>232</v>
      </c>
      <c r="H1984" s="4"/>
    </row>
    <row r="1985" s="1" customFormat="1" spans="1:8">
      <c r="A1985" s="4" t="s">
        <v>205</v>
      </c>
      <c r="B1985" s="4" t="s">
        <v>79</v>
      </c>
      <c r="C1985" s="4" t="s">
        <v>82</v>
      </c>
      <c r="D1985" s="11" t="s">
        <v>4142</v>
      </c>
      <c r="E1985" s="4">
        <v>3149200</v>
      </c>
      <c r="F1985" s="11" t="s">
        <v>4143</v>
      </c>
      <c r="G1985" s="4" t="s">
        <v>232</v>
      </c>
      <c r="H1985" s="4"/>
    </row>
    <row r="1986" s="1" customFormat="1" spans="1:8">
      <c r="A1986" s="4" t="s">
        <v>205</v>
      </c>
      <c r="B1986" s="4" t="s">
        <v>79</v>
      </c>
      <c r="C1986" s="4" t="s">
        <v>82</v>
      </c>
      <c r="D1986" s="11" t="s">
        <v>4144</v>
      </c>
      <c r="E1986" s="4">
        <v>3149507</v>
      </c>
      <c r="F1986" s="11" t="s">
        <v>4145</v>
      </c>
      <c r="G1986" s="4" t="s">
        <v>232</v>
      </c>
      <c r="H1986" s="4"/>
    </row>
    <row r="1987" s="1" customFormat="1" spans="1:8">
      <c r="A1987" s="4" t="s">
        <v>205</v>
      </c>
      <c r="B1987" s="4" t="s">
        <v>79</v>
      </c>
      <c r="C1987" s="4" t="s">
        <v>82</v>
      </c>
      <c r="D1987" s="11" t="s">
        <v>4146</v>
      </c>
      <c r="E1987" s="4">
        <v>3149804</v>
      </c>
      <c r="F1987" s="11" t="s">
        <v>4147</v>
      </c>
      <c r="G1987" s="4" t="s">
        <v>232</v>
      </c>
      <c r="H1987" s="4"/>
    </row>
    <row r="1988" s="1" customFormat="1" spans="1:8">
      <c r="A1988" s="4" t="s">
        <v>205</v>
      </c>
      <c r="B1988" s="4" t="s">
        <v>79</v>
      </c>
      <c r="C1988" s="4" t="s">
        <v>82</v>
      </c>
      <c r="D1988" s="11" t="s">
        <v>4148</v>
      </c>
      <c r="E1988" s="4">
        <v>3150000</v>
      </c>
      <c r="F1988" s="11" t="s">
        <v>4149</v>
      </c>
      <c r="G1988" s="4" t="s">
        <v>232</v>
      </c>
      <c r="H1988" s="4"/>
    </row>
    <row r="1989" s="1" customFormat="1" spans="1:8">
      <c r="A1989" s="4" t="s">
        <v>205</v>
      </c>
      <c r="B1989" s="4" t="s">
        <v>79</v>
      </c>
      <c r="C1989" s="4" t="s">
        <v>82</v>
      </c>
      <c r="D1989" s="11" t="s">
        <v>4150</v>
      </c>
      <c r="E1989" s="4">
        <v>3148608</v>
      </c>
      <c r="F1989" s="11" t="s">
        <v>4151</v>
      </c>
      <c r="G1989" s="4" t="s">
        <v>232</v>
      </c>
      <c r="H1989" s="4"/>
    </row>
    <row r="1990" s="1" customFormat="1" spans="1:8">
      <c r="A1990" s="4" t="s">
        <v>205</v>
      </c>
      <c r="B1990" s="4" t="s">
        <v>79</v>
      </c>
      <c r="C1990" s="4" t="s">
        <v>82</v>
      </c>
      <c r="D1990" s="11" t="s">
        <v>4152</v>
      </c>
      <c r="E1990" s="4">
        <v>3150158</v>
      </c>
      <c r="F1990" s="11" t="s">
        <v>4153</v>
      </c>
      <c r="G1990" s="4" t="s">
        <v>232</v>
      </c>
      <c r="H1990" s="4"/>
    </row>
    <row r="1991" s="1" customFormat="1" spans="1:8">
      <c r="A1991" s="4" t="s">
        <v>205</v>
      </c>
      <c r="B1991" s="4" t="s">
        <v>79</v>
      </c>
      <c r="C1991" s="4" t="s">
        <v>82</v>
      </c>
      <c r="D1991" s="11" t="s">
        <v>4154</v>
      </c>
      <c r="E1991" s="4">
        <v>3150703</v>
      </c>
      <c r="F1991" s="11" t="s">
        <v>4155</v>
      </c>
      <c r="G1991" s="4" t="s">
        <v>232</v>
      </c>
      <c r="H1991" s="4"/>
    </row>
    <row r="1992" s="1" customFormat="1" spans="1:8">
      <c r="A1992" s="4" t="s">
        <v>205</v>
      </c>
      <c r="B1992" s="4" t="s">
        <v>79</v>
      </c>
      <c r="C1992" s="4" t="s">
        <v>82</v>
      </c>
      <c r="D1992" s="11" t="s">
        <v>4156</v>
      </c>
      <c r="E1992" s="4">
        <v>3151008</v>
      </c>
      <c r="F1992" s="11" t="s">
        <v>4157</v>
      </c>
      <c r="G1992" s="4" t="s">
        <v>232</v>
      </c>
      <c r="H1992" s="4"/>
    </row>
    <row r="1993" s="1" customFormat="1" spans="1:8">
      <c r="A1993" s="4" t="s">
        <v>205</v>
      </c>
      <c r="B1993" s="4" t="s">
        <v>79</v>
      </c>
      <c r="C1993" s="4" t="s">
        <v>82</v>
      </c>
      <c r="D1993" s="11" t="s">
        <v>4158</v>
      </c>
      <c r="E1993" s="4">
        <v>3150901</v>
      </c>
      <c r="F1993" s="11" t="s">
        <v>4159</v>
      </c>
      <c r="G1993" s="4" t="s">
        <v>232</v>
      </c>
      <c r="H1993" s="4"/>
    </row>
    <row r="1994" s="1" customFormat="1" spans="1:8">
      <c r="A1994" s="4" t="s">
        <v>205</v>
      </c>
      <c r="B1994" s="4" t="s">
        <v>79</v>
      </c>
      <c r="C1994" s="4" t="s">
        <v>82</v>
      </c>
      <c r="D1994" s="11" t="s">
        <v>4160</v>
      </c>
      <c r="E1994" s="4">
        <v>3151107</v>
      </c>
      <c r="F1994" s="11" t="s">
        <v>4161</v>
      </c>
      <c r="G1994" s="4" t="s">
        <v>232</v>
      </c>
      <c r="H1994" s="4"/>
    </row>
    <row r="1995" s="1" customFormat="1" spans="1:8">
      <c r="A1995" s="4" t="s">
        <v>205</v>
      </c>
      <c r="B1995" s="4" t="s">
        <v>79</v>
      </c>
      <c r="C1995" s="4" t="s">
        <v>82</v>
      </c>
      <c r="D1995" s="11" t="s">
        <v>4162</v>
      </c>
      <c r="E1995" s="4">
        <v>3151206</v>
      </c>
      <c r="F1995" s="11" t="s">
        <v>4163</v>
      </c>
      <c r="G1995" s="4" t="s">
        <v>232</v>
      </c>
      <c r="H1995" s="4"/>
    </row>
    <row r="1996" s="1" customFormat="1" spans="1:8">
      <c r="A1996" s="4" t="s">
        <v>205</v>
      </c>
      <c r="B1996" s="4" t="s">
        <v>79</v>
      </c>
      <c r="C1996" s="4" t="s">
        <v>82</v>
      </c>
      <c r="D1996" s="11" t="s">
        <v>4164</v>
      </c>
      <c r="E1996" s="4">
        <v>3151602</v>
      </c>
      <c r="F1996" s="11" t="s">
        <v>4165</v>
      </c>
      <c r="G1996" s="4" t="s">
        <v>232</v>
      </c>
      <c r="H1996" s="4"/>
    </row>
    <row r="1997" s="1" customFormat="1" spans="1:8">
      <c r="A1997" s="4" t="s">
        <v>205</v>
      </c>
      <c r="B1997" s="4" t="s">
        <v>79</v>
      </c>
      <c r="C1997" s="4" t="s">
        <v>82</v>
      </c>
      <c r="D1997" s="11" t="s">
        <v>4166</v>
      </c>
      <c r="E1997" s="4">
        <v>3151909</v>
      </c>
      <c r="F1997" s="11" t="s">
        <v>4167</v>
      </c>
      <c r="G1997" s="4" t="s">
        <v>232</v>
      </c>
      <c r="H1997" s="4"/>
    </row>
    <row r="1998" s="1" customFormat="1" spans="1:8">
      <c r="A1998" s="4" t="s">
        <v>205</v>
      </c>
      <c r="B1998" s="4" t="s">
        <v>79</v>
      </c>
      <c r="C1998" s="4" t="s">
        <v>82</v>
      </c>
      <c r="D1998" s="11" t="s">
        <v>4168</v>
      </c>
      <c r="E1998" s="4">
        <v>3152131</v>
      </c>
      <c r="F1998" s="11" t="s">
        <v>4169</v>
      </c>
      <c r="G1998" s="4" t="s">
        <v>232</v>
      </c>
      <c r="H1998" s="4"/>
    </row>
    <row r="1999" s="1" customFormat="1" spans="1:8">
      <c r="A1999" s="4" t="s">
        <v>205</v>
      </c>
      <c r="B1999" s="4" t="s">
        <v>79</v>
      </c>
      <c r="C1999" s="4" t="s">
        <v>82</v>
      </c>
      <c r="D1999" s="11" t="s">
        <v>4170</v>
      </c>
      <c r="E1999" s="4">
        <v>3152170</v>
      </c>
      <c r="F1999" s="11" t="s">
        <v>4171</v>
      </c>
      <c r="G1999" s="4" t="s">
        <v>232</v>
      </c>
      <c r="H1999" s="4"/>
    </row>
    <row r="2000" s="1" customFormat="1" spans="1:8">
      <c r="A2000" s="4" t="s">
        <v>205</v>
      </c>
      <c r="B2000" s="4" t="s">
        <v>79</v>
      </c>
      <c r="C2000" s="4" t="s">
        <v>82</v>
      </c>
      <c r="D2000" s="11" t="s">
        <v>4172</v>
      </c>
      <c r="E2000" s="4">
        <v>3152402</v>
      </c>
      <c r="F2000" s="11" t="s">
        <v>4173</v>
      </c>
      <c r="G2000" s="4" t="s">
        <v>232</v>
      </c>
      <c r="H2000" s="4"/>
    </row>
    <row r="2001" s="1" customFormat="1" spans="1:8">
      <c r="A2001" s="4" t="s">
        <v>205</v>
      </c>
      <c r="B2001" s="4" t="s">
        <v>79</v>
      </c>
      <c r="C2001" s="4" t="s">
        <v>82</v>
      </c>
      <c r="D2001" s="11" t="s">
        <v>4174</v>
      </c>
      <c r="E2001" s="4">
        <v>3152501</v>
      </c>
      <c r="F2001" s="11" t="s">
        <v>4175</v>
      </c>
      <c r="G2001" s="4" t="s">
        <v>232</v>
      </c>
      <c r="H2001" s="4"/>
    </row>
    <row r="2002" s="1" customFormat="1" spans="1:8">
      <c r="A2002" s="4" t="s">
        <v>205</v>
      </c>
      <c r="B2002" s="4" t="s">
        <v>79</v>
      </c>
      <c r="C2002" s="4" t="s">
        <v>82</v>
      </c>
      <c r="D2002" s="11" t="s">
        <v>4176</v>
      </c>
      <c r="E2002" s="4">
        <v>3152600</v>
      </c>
      <c r="F2002" s="11" t="s">
        <v>4177</v>
      </c>
      <c r="G2002" s="4" t="s">
        <v>232</v>
      </c>
      <c r="H2002" s="4"/>
    </row>
    <row r="2003" s="1" customFormat="1" spans="1:8">
      <c r="A2003" s="4" t="s">
        <v>205</v>
      </c>
      <c r="B2003" s="4" t="s">
        <v>79</v>
      </c>
      <c r="C2003" s="4" t="s">
        <v>82</v>
      </c>
      <c r="D2003" s="11" t="s">
        <v>4178</v>
      </c>
      <c r="E2003" s="4">
        <v>3151701</v>
      </c>
      <c r="F2003" s="11" t="s">
        <v>4179</v>
      </c>
      <c r="G2003" s="4" t="s">
        <v>232</v>
      </c>
      <c r="H2003" s="4"/>
    </row>
    <row r="2004" s="1" customFormat="1" spans="1:8">
      <c r="A2004" s="4" t="s">
        <v>205</v>
      </c>
      <c r="B2004" s="4" t="s">
        <v>79</v>
      </c>
      <c r="C2004" s="4" t="s">
        <v>82</v>
      </c>
      <c r="D2004" s="11" t="s">
        <v>4180</v>
      </c>
      <c r="E2004" s="4">
        <v>3151800</v>
      </c>
      <c r="F2004" s="11" t="s">
        <v>4181</v>
      </c>
      <c r="G2004" s="4" t="s">
        <v>232</v>
      </c>
      <c r="H2004" s="4"/>
    </row>
    <row r="2005" s="1" customFormat="1" spans="1:8">
      <c r="A2005" s="4" t="s">
        <v>205</v>
      </c>
      <c r="B2005" s="4" t="s">
        <v>79</v>
      </c>
      <c r="C2005" s="4" t="s">
        <v>82</v>
      </c>
      <c r="D2005" s="11" t="s">
        <v>4182</v>
      </c>
      <c r="E2005" s="4">
        <v>3153004</v>
      </c>
      <c r="F2005" s="11" t="s">
        <v>4183</v>
      </c>
      <c r="G2005" s="4" t="s">
        <v>232</v>
      </c>
      <c r="H2005" s="4"/>
    </row>
    <row r="2006" s="1" customFormat="1" spans="1:8">
      <c r="A2006" s="4" t="s">
        <v>205</v>
      </c>
      <c r="B2006" s="4" t="s">
        <v>79</v>
      </c>
      <c r="C2006" s="4" t="s">
        <v>82</v>
      </c>
      <c r="D2006" s="11" t="s">
        <v>4184</v>
      </c>
      <c r="E2006" s="4">
        <v>3152907</v>
      </c>
      <c r="F2006" s="11" t="s">
        <v>4185</v>
      </c>
      <c r="G2006" s="4" t="s">
        <v>232</v>
      </c>
      <c r="H2006" s="4"/>
    </row>
    <row r="2007" s="1" customFormat="1" spans="1:8">
      <c r="A2007" s="4" t="s">
        <v>205</v>
      </c>
      <c r="B2007" s="4" t="s">
        <v>79</v>
      </c>
      <c r="C2007" s="4" t="s">
        <v>82</v>
      </c>
      <c r="D2007" s="11" t="s">
        <v>4186</v>
      </c>
      <c r="E2007" s="4">
        <v>3153301</v>
      </c>
      <c r="F2007" s="11" t="s">
        <v>4187</v>
      </c>
      <c r="G2007" s="4" t="s">
        <v>232</v>
      </c>
      <c r="H2007" s="4"/>
    </row>
    <row r="2008" s="1" customFormat="1" spans="1:8">
      <c r="A2008" s="4" t="s">
        <v>205</v>
      </c>
      <c r="B2008" s="4" t="s">
        <v>79</v>
      </c>
      <c r="C2008" s="4" t="s">
        <v>82</v>
      </c>
      <c r="D2008" s="11" t="s">
        <v>4188</v>
      </c>
      <c r="E2008" s="4">
        <v>3153400</v>
      </c>
      <c r="F2008" s="11" t="s">
        <v>4189</v>
      </c>
      <c r="G2008" s="4" t="s">
        <v>232</v>
      </c>
      <c r="H2008" s="4"/>
    </row>
    <row r="2009" s="1" customFormat="1" spans="1:8">
      <c r="A2009" s="4" t="s">
        <v>205</v>
      </c>
      <c r="B2009" s="4" t="s">
        <v>79</v>
      </c>
      <c r="C2009" s="4" t="s">
        <v>82</v>
      </c>
      <c r="D2009" s="11" t="s">
        <v>4190</v>
      </c>
      <c r="E2009" s="4">
        <v>3154101</v>
      </c>
      <c r="F2009" s="11" t="s">
        <v>4191</v>
      </c>
      <c r="G2009" s="4" t="s">
        <v>232</v>
      </c>
      <c r="H2009" s="4"/>
    </row>
    <row r="2010" s="1" customFormat="1" spans="1:8">
      <c r="A2010" s="4" t="s">
        <v>205</v>
      </c>
      <c r="B2010" s="4" t="s">
        <v>79</v>
      </c>
      <c r="C2010" s="4" t="s">
        <v>82</v>
      </c>
      <c r="D2010" s="11" t="s">
        <v>4192</v>
      </c>
      <c r="E2010" s="4">
        <v>3154309</v>
      </c>
      <c r="F2010" s="11" t="s">
        <v>4193</v>
      </c>
      <c r="G2010" s="4" t="s">
        <v>232</v>
      </c>
      <c r="H2010" s="4"/>
    </row>
    <row r="2011" s="1" customFormat="1" spans="1:8">
      <c r="A2011" s="4" t="s">
        <v>205</v>
      </c>
      <c r="B2011" s="4" t="s">
        <v>79</v>
      </c>
      <c r="C2011" s="4" t="s">
        <v>82</v>
      </c>
      <c r="D2011" s="11" t="s">
        <v>4194</v>
      </c>
      <c r="E2011" s="4">
        <v>3154507</v>
      </c>
      <c r="F2011" s="11" t="s">
        <v>4195</v>
      </c>
      <c r="G2011" s="4" t="s">
        <v>232</v>
      </c>
      <c r="H2011" s="4"/>
    </row>
    <row r="2012" s="1" customFormat="1" spans="1:8">
      <c r="A2012" s="4" t="s">
        <v>205</v>
      </c>
      <c r="B2012" s="4" t="s">
        <v>79</v>
      </c>
      <c r="C2012" s="4" t="s">
        <v>82</v>
      </c>
      <c r="D2012" s="11" t="s">
        <v>4196</v>
      </c>
      <c r="E2012" s="4">
        <v>3155504</v>
      </c>
      <c r="F2012" s="11" t="s">
        <v>4197</v>
      </c>
      <c r="G2012" s="4" t="s">
        <v>232</v>
      </c>
      <c r="H2012" s="4"/>
    </row>
    <row r="2013" s="1" customFormat="1" spans="1:8">
      <c r="A2013" s="4" t="s">
        <v>205</v>
      </c>
      <c r="B2013" s="4" t="s">
        <v>79</v>
      </c>
      <c r="C2013" s="4" t="s">
        <v>82</v>
      </c>
      <c r="D2013" s="11" t="s">
        <v>4198</v>
      </c>
      <c r="E2013" s="4">
        <v>3155900</v>
      </c>
      <c r="F2013" s="11" t="s">
        <v>4199</v>
      </c>
      <c r="G2013" s="4" t="s">
        <v>232</v>
      </c>
      <c r="H2013" s="4"/>
    </row>
    <row r="2014" s="1" customFormat="1" spans="1:8">
      <c r="A2014" s="4" t="s">
        <v>205</v>
      </c>
      <c r="B2014" s="4" t="s">
        <v>79</v>
      </c>
      <c r="C2014" s="4" t="s">
        <v>82</v>
      </c>
      <c r="D2014" s="11" t="s">
        <v>4200</v>
      </c>
      <c r="E2014" s="4">
        <v>3156007</v>
      </c>
      <c r="F2014" s="11" t="s">
        <v>4201</v>
      </c>
      <c r="G2014" s="4" t="s">
        <v>232</v>
      </c>
      <c r="H2014" s="4"/>
    </row>
    <row r="2015" s="1" customFormat="1" spans="1:8">
      <c r="A2015" s="4" t="s">
        <v>205</v>
      </c>
      <c r="B2015" s="4" t="s">
        <v>79</v>
      </c>
      <c r="C2015" s="4" t="s">
        <v>82</v>
      </c>
      <c r="D2015" s="11" t="s">
        <v>4202</v>
      </c>
      <c r="E2015" s="4">
        <v>3156205</v>
      </c>
      <c r="F2015" s="11" t="s">
        <v>4203</v>
      </c>
      <c r="G2015" s="4" t="s">
        <v>232</v>
      </c>
      <c r="H2015" s="4"/>
    </row>
    <row r="2016" s="1" customFormat="1" spans="1:8">
      <c r="A2016" s="4" t="s">
        <v>205</v>
      </c>
      <c r="B2016" s="4" t="s">
        <v>79</v>
      </c>
      <c r="C2016" s="4" t="s">
        <v>82</v>
      </c>
      <c r="D2016" s="11" t="s">
        <v>4204</v>
      </c>
      <c r="E2016" s="4">
        <v>3156403</v>
      </c>
      <c r="F2016" s="11" t="s">
        <v>4205</v>
      </c>
      <c r="G2016" s="4" t="s">
        <v>232</v>
      </c>
      <c r="H2016" s="4"/>
    </row>
    <row r="2017" s="1" customFormat="1" spans="1:8">
      <c r="A2017" s="4" t="s">
        <v>205</v>
      </c>
      <c r="B2017" s="4" t="s">
        <v>79</v>
      </c>
      <c r="C2017" s="4" t="s">
        <v>82</v>
      </c>
      <c r="D2017" s="11" t="s">
        <v>4206</v>
      </c>
      <c r="E2017" s="4">
        <v>3156908</v>
      </c>
      <c r="F2017" s="11" t="s">
        <v>4207</v>
      </c>
      <c r="G2017" s="4" t="s">
        <v>232</v>
      </c>
      <c r="H2017" s="4"/>
    </row>
    <row r="2018" s="1" customFormat="1" spans="1:8">
      <c r="A2018" s="4" t="s">
        <v>205</v>
      </c>
      <c r="B2018" s="4" t="s">
        <v>79</v>
      </c>
      <c r="C2018" s="4" t="s">
        <v>82</v>
      </c>
      <c r="D2018" s="11" t="s">
        <v>4208</v>
      </c>
      <c r="E2018" s="4">
        <v>3157252</v>
      </c>
      <c r="F2018" s="11" t="s">
        <v>4209</v>
      </c>
      <c r="G2018" s="4" t="s">
        <v>232</v>
      </c>
      <c r="H2018" s="4"/>
    </row>
    <row r="2019" s="1" customFormat="1" spans="1:8">
      <c r="A2019" s="4" t="s">
        <v>205</v>
      </c>
      <c r="B2019" s="4" t="s">
        <v>79</v>
      </c>
      <c r="C2019" s="4" t="s">
        <v>82</v>
      </c>
      <c r="D2019" s="11" t="s">
        <v>4210</v>
      </c>
      <c r="E2019" s="4">
        <v>3157278</v>
      </c>
      <c r="F2019" s="11" t="s">
        <v>4211</v>
      </c>
      <c r="G2019" s="4" t="s">
        <v>232</v>
      </c>
      <c r="H2019" s="4"/>
    </row>
    <row r="2020" s="1" customFormat="1" spans="1:8">
      <c r="A2020" s="4" t="s">
        <v>205</v>
      </c>
      <c r="B2020" s="4" t="s">
        <v>79</v>
      </c>
      <c r="C2020" s="4" t="s">
        <v>82</v>
      </c>
      <c r="D2020" s="11" t="s">
        <v>4212</v>
      </c>
      <c r="E2020" s="4">
        <v>3157500</v>
      </c>
      <c r="F2020" s="11" t="s">
        <v>4213</v>
      </c>
      <c r="G2020" s="4" t="s">
        <v>232</v>
      </c>
      <c r="H2020" s="4"/>
    </row>
    <row r="2021" s="1" customFormat="1" spans="1:8">
      <c r="A2021" s="4" t="s">
        <v>205</v>
      </c>
      <c r="B2021" s="4" t="s">
        <v>79</v>
      </c>
      <c r="C2021" s="4" t="s">
        <v>82</v>
      </c>
      <c r="D2021" s="11" t="s">
        <v>4214</v>
      </c>
      <c r="E2021" s="4">
        <v>3157609</v>
      </c>
      <c r="F2021" s="11" t="s">
        <v>4215</v>
      </c>
      <c r="G2021" s="4" t="s">
        <v>232</v>
      </c>
      <c r="H2021" s="4"/>
    </row>
    <row r="2022" s="1" customFormat="1" spans="1:8">
      <c r="A2022" s="4" t="s">
        <v>205</v>
      </c>
      <c r="B2022" s="4" t="s">
        <v>79</v>
      </c>
      <c r="C2022" s="4" t="s">
        <v>82</v>
      </c>
      <c r="D2022" s="11" t="s">
        <v>4216</v>
      </c>
      <c r="E2022" s="4">
        <v>3157708</v>
      </c>
      <c r="F2022" s="11" t="s">
        <v>4217</v>
      </c>
      <c r="G2022" s="4" t="s">
        <v>232</v>
      </c>
      <c r="H2022" s="4"/>
    </row>
    <row r="2023" s="1" customFormat="1" spans="1:8">
      <c r="A2023" s="4" t="s">
        <v>205</v>
      </c>
      <c r="B2023" s="4" t="s">
        <v>79</v>
      </c>
      <c r="C2023" s="4" t="s">
        <v>82</v>
      </c>
      <c r="D2023" s="11" t="s">
        <v>4218</v>
      </c>
      <c r="E2023" s="4">
        <v>3158201</v>
      </c>
      <c r="F2023" s="11" t="s">
        <v>4219</v>
      </c>
      <c r="G2023" s="4" t="s">
        <v>232</v>
      </c>
      <c r="H2023" s="4"/>
    </row>
    <row r="2024" s="1" customFormat="1" spans="1:8">
      <c r="A2024" s="4" t="s">
        <v>205</v>
      </c>
      <c r="B2024" s="4" t="s">
        <v>79</v>
      </c>
      <c r="C2024" s="4" t="s">
        <v>82</v>
      </c>
      <c r="D2024" s="11" t="s">
        <v>4220</v>
      </c>
      <c r="E2024" s="4">
        <v>3159209</v>
      </c>
      <c r="F2024" s="11" t="s">
        <v>4221</v>
      </c>
      <c r="G2024" s="4" t="s">
        <v>232</v>
      </c>
      <c r="H2024" s="4"/>
    </row>
    <row r="2025" s="1" customFormat="1" spans="1:8">
      <c r="A2025" s="4" t="s">
        <v>205</v>
      </c>
      <c r="B2025" s="4" t="s">
        <v>79</v>
      </c>
      <c r="C2025" s="4" t="s">
        <v>82</v>
      </c>
      <c r="D2025" s="11" t="s">
        <v>4222</v>
      </c>
      <c r="E2025" s="4">
        <v>3159308</v>
      </c>
      <c r="F2025" s="11" t="s">
        <v>4223</v>
      </c>
      <c r="G2025" s="4" t="s">
        <v>232</v>
      </c>
      <c r="H2025" s="4"/>
    </row>
    <row r="2026" s="1" customFormat="1" spans="1:8">
      <c r="A2026" s="4" t="s">
        <v>205</v>
      </c>
      <c r="B2026" s="4" t="s">
        <v>79</v>
      </c>
      <c r="C2026" s="4" t="s">
        <v>82</v>
      </c>
      <c r="D2026" s="11" t="s">
        <v>4224</v>
      </c>
      <c r="E2026" s="4">
        <v>3159357</v>
      </c>
      <c r="F2026" s="11" t="s">
        <v>4225</v>
      </c>
      <c r="G2026" s="4" t="s">
        <v>232</v>
      </c>
      <c r="H2026" s="4"/>
    </row>
    <row r="2027" s="1" customFormat="1" spans="1:8">
      <c r="A2027" s="4" t="s">
        <v>205</v>
      </c>
      <c r="B2027" s="4" t="s">
        <v>79</v>
      </c>
      <c r="C2027" s="4" t="s">
        <v>82</v>
      </c>
      <c r="D2027" s="11" t="s">
        <v>4226</v>
      </c>
      <c r="E2027" s="4">
        <v>3159506</v>
      </c>
      <c r="F2027" s="11" t="s">
        <v>4227</v>
      </c>
      <c r="G2027" s="4" t="s">
        <v>232</v>
      </c>
      <c r="H2027" s="4"/>
    </row>
    <row r="2028" s="1" customFormat="1" spans="1:8">
      <c r="A2028" s="4" t="s">
        <v>205</v>
      </c>
      <c r="B2028" s="4" t="s">
        <v>79</v>
      </c>
      <c r="C2028" s="4" t="s">
        <v>82</v>
      </c>
      <c r="D2028" s="11" t="s">
        <v>4228</v>
      </c>
      <c r="E2028" s="4">
        <v>3159605</v>
      </c>
      <c r="F2028" s="11" t="s">
        <v>4229</v>
      </c>
      <c r="G2028" s="4" t="s">
        <v>232</v>
      </c>
      <c r="H2028" s="4"/>
    </row>
    <row r="2029" s="1" customFormat="1" spans="1:8">
      <c r="A2029" s="4" t="s">
        <v>205</v>
      </c>
      <c r="B2029" s="4" t="s">
        <v>79</v>
      </c>
      <c r="C2029" s="4" t="s">
        <v>82</v>
      </c>
      <c r="D2029" s="11" t="s">
        <v>4230</v>
      </c>
      <c r="E2029" s="4">
        <v>3158409</v>
      </c>
      <c r="F2029" s="11" t="s">
        <v>4231</v>
      </c>
      <c r="G2029" s="4" t="s">
        <v>232</v>
      </c>
      <c r="H2029" s="4"/>
    </row>
    <row r="2030" s="1" customFormat="1" spans="1:8">
      <c r="A2030" s="4" t="s">
        <v>205</v>
      </c>
      <c r="B2030" s="4" t="s">
        <v>79</v>
      </c>
      <c r="C2030" s="4" t="s">
        <v>82</v>
      </c>
      <c r="D2030" s="11" t="s">
        <v>4232</v>
      </c>
      <c r="E2030" s="4">
        <v>3158607</v>
      </c>
      <c r="F2030" s="11" t="s">
        <v>4233</v>
      </c>
      <c r="G2030" s="4" t="s">
        <v>232</v>
      </c>
      <c r="H2030" s="4"/>
    </row>
    <row r="2031" s="1" customFormat="1" spans="1:8">
      <c r="A2031" s="4" t="s">
        <v>205</v>
      </c>
      <c r="B2031" s="4" t="s">
        <v>79</v>
      </c>
      <c r="C2031" s="4" t="s">
        <v>82</v>
      </c>
      <c r="D2031" s="11" t="s">
        <v>4234</v>
      </c>
      <c r="E2031" s="4">
        <v>3158904</v>
      </c>
      <c r="F2031" s="11" t="s">
        <v>4235</v>
      </c>
      <c r="G2031" s="4" t="s">
        <v>232</v>
      </c>
      <c r="H2031" s="4"/>
    </row>
    <row r="2032" s="1" customFormat="1" spans="1:8">
      <c r="A2032" s="4" t="s">
        <v>205</v>
      </c>
      <c r="B2032" s="4" t="s">
        <v>79</v>
      </c>
      <c r="C2032" s="4" t="s">
        <v>82</v>
      </c>
      <c r="D2032" s="11" t="s">
        <v>4236</v>
      </c>
      <c r="E2032" s="4">
        <v>3160009</v>
      </c>
      <c r="F2032" s="11" t="s">
        <v>4237</v>
      </c>
      <c r="G2032" s="4" t="s">
        <v>232</v>
      </c>
      <c r="H2032" s="4"/>
    </row>
    <row r="2033" s="1" customFormat="1" spans="1:8">
      <c r="A2033" s="4" t="s">
        <v>205</v>
      </c>
      <c r="B2033" s="4" t="s">
        <v>79</v>
      </c>
      <c r="C2033" s="4" t="s">
        <v>82</v>
      </c>
      <c r="D2033" s="11" t="s">
        <v>4238</v>
      </c>
      <c r="E2033" s="4">
        <v>3165404</v>
      </c>
      <c r="F2033" s="11" t="s">
        <v>4239</v>
      </c>
      <c r="G2033" s="4" t="s">
        <v>232</v>
      </c>
      <c r="H2033" s="4"/>
    </row>
    <row r="2034" s="1" customFormat="1" spans="1:8">
      <c r="A2034" s="4" t="s">
        <v>205</v>
      </c>
      <c r="B2034" s="4" t="s">
        <v>79</v>
      </c>
      <c r="C2034" s="4" t="s">
        <v>82</v>
      </c>
      <c r="D2034" s="11" t="s">
        <v>4240</v>
      </c>
      <c r="E2034" s="4">
        <v>3165503</v>
      </c>
      <c r="F2034" s="11" t="s">
        <v>4241</v>
      </c>
      <c r="G2034" s="4" t="s">
        <v>232</v>
      </c>
      <c r="H2034" s="4"/>
    </row>
    <row r="2035" s="1" customFormat="1" spans="1:8">
      <c r="A2035" s="4" t="s">
        <v>205</v>
      </c>
      <c r="B2035" s="4" t="s">
        <v>79</v>
      </c>
      <c r="C2035" s="4" t="s">
        <v>82</v>
      </c>
      <c r="D2035" s="11" t="s">
        <v>4242</v>
      </c>
      <c r="E2035" s="4">
        <v>3165578</v>
      </c>
      <c r="F2035" s="11" t="s">
        <v>4243</v>
      </c>
      <c r="G2035" s="4" t="s">
        <v>232</v>
      </c>
      <c r="H2035" s="4"/>
    </row>
    <row r="2036" s="1" customFormat="1" spans="1:8">
      <c r="A2036" s="4" t="s">
        <v>205</v>
      </c>
      <c r="B2036" s="4" t="s">
        <v>79</v>
      </c>
      <c r="C2036" s="4" t="s">
        <v>82</v>
      </c>
      <c r="D2036" s="11" t="s">
        <v>4244</v>
      </c>
      <c r="E2036" s="4">
        <v>3165602</v>
      </c>
      <c r="F2036" s="11" t="s">
        <v>4245</v>
      </c>
      <c r="G2036" s="4" t="s">
        <v>232</v>
      </c>
      <c r="H2036" s="4"/>
    </row>
    <row r="2037" s="1" customFormat="1" spans="1:8">
      <c r="A2037" s="4" t="s">
        <v>205</v>
      </c>
      <c r="B2037" s="4" t="s">
        <v>79</v>
      </c>
      <c r="C2037" s="4" t="s">
        <v>82</v>
      </c>
      <c r="D2037" s="11" t="s">
        <v>4246</v>
      </c>
      <c r="E2037" s="4">
        <v>3165800</v>
      </c>
      <c r="F2037" s="11" t="s">
        <v>4247</v>
      </c>
      <c r="G2037" s="4" t="s">
        <v>232</v>
      </c>
      <c r="H2037" s="4"/>
    </row>
    <row r="2038" s="1" customFormat="1" spans="1:8">
      <c r="A2038" s="4" t="s">
        <v>205</v>
      </c>
      <c r="B2038" s="4" t="s">
        <v>79</v>
      </c>
      <c r="C2038" s="4" t="s">
        <v>82</v>
      </c>
      <c r="D2038" s="11" t="s">
        <v>4248</v>
      </c>
      <c r="E2038" s="4">
        <v>3165909</v>
      </c>
      <c r="F2038" s="11" t="s">
        <v>4249</v>
      </c>
      <c r="G2038" s="4" t="s">
        <v>232</v>
      </c>
      <c r="H2038" s="4"/>
    </row>
    <row r="2039" s="1" customFormat="1" spans="1:8">
      <c r="A2039" s="4" t="s">
        <v>205</v>
      </c>
      <c r="B2039" s="4" t="s">
        <v>79</v>
      </c>
      <c r="C2039" s="4" t="s">
        <v>82</v>
      </c>
      <c r="D2039" s="11" t="s">
        <v>4250</v>
      </c>
      <c r="E2039" s="4">
        <v>3166402</v>
      </c>
      <c r="F2039" s="11" t="s">
        <v>4251</v>
      </c>
      <c r="G2039" s="4" t="s">
        <v>232</v>
      </c>
      <c r="H2039" s="4"/>
    </row>
    <row r="2040" s="1" customFormat="1" spans="1:8">
      <c r="A2040" s="4" t="s">
        <v>205</v>
      </c>
      <c r="B2040" s="4" t="s">
        <v>79</v>
      </c>
      <c r="C2040" s="4" t="s">
        <v>82</v>
      </c>
      <c r="D2040" s="11" t="s">
        <v>4252</v>
      </c>
      <c r="E2040" s="4">
        <v>3166808</v>
      </c>
      <c r="F2040" s="11" t="s">
        <v>4253</v>
      </c>
      <c r="G2040" s="4" t="s">
        <v>232</v>
      </c>
      <c r="H2040" s="4"/>
    </row>
    <row r="2041" s="1" customFormat="1" spans="1:8">
      <c r="A2041" s="4" t="s">
        <v>205</v>
      </c>
      <c r="B2041" s="4" t="s">
        <v>79</v>
      </c>
      <c r="C2041" s="4" t="s">
        <v>82</v>
      </c>
      <c r="D2041" s="11" t="s">
        <v>4254</v>
      </c>
      <c r="E2041" s="4">
        <v>3166907</v>
      </c>
      <c r="F2041" s="11" t="s">
        <v>4255</v>
      </c>
      <c r="G2041" s="4" t="s">
        <v>232</v>
      </c>
      <c r="H2041" s="4"/>
    </row>
    <row r="2042" s="1" customFormat="1" spans="1:8">
      <c r="A2042" s="4" t="s">
        <v>205</v>
      </c>
      <c r="B2042" s="4" t="s">
        <v>79</v>
      </c>
      <c r="C2042" s="4" t="s">
        <v>82</v>
      </c>
      <c r="D2042" s="11" t="s">
        <v>4256</v>
      </c>
      <c r="E2042" s="4">
        <v>3167004</v>
      </c>
      <c r="F2042" s="11" t="s">
        <v>4257</v>
      </c>
      <c r="G2042" s="4" t="s">
        <v>232</v>
      </c>
      <c r="H2042" s="4"/>
    </row>
    <row r="2043" s="1" customFormat="1" spans="1:8">
      <c r="A2043" s="4" t="s">
        <v>205</v>
      </c>
      <c r="B2043" s="4" t="s">
        <v>79</v>
      </c>
      <c r="C2043" s="4" t="s">
        <v>82</v>
      </c>
      <c r="D2043" s="11" t="s">
        <v>4258</v>
      </c>
      <c r="E2043" s="4">
        <v>3165552</v>
      </c>
      <c r="F2043" s="11" t="s">
        <v>4259</v>
      </c>
      <c r="G2043" s="4" t="s">
        <v>232</v>
      </c>
      <c r="H2043" s="4"/>
    </row>
    <row r="2044" s="1" customFormat="1" spans="1:8">
      <c r="A2044" s="4" t="s">
        <v>205</v>
      </c>
      <c r="B2044" s="4" t="s">
        <v>79</v>
      </c>
      <c r="C2044" s="4" t="s">
        <v>82</v>
      </c>
      <c r="D2044" s="11" t="s">
        <v>4260</v>
      </c>
      <c r="E2044" s="4">
        <v>3167400</v>
      </c>
      <c r="F2044" s="11" t="s">
        <v>4261</v>
      </c>
      <c r="G2044" s="4" t="s">
        <v>232</v>
      </c>
      <c r="H2044" s="4"/>
    </row>
    <row r="2045" s="1" customFormat="1" spans="1:8">
      <c r="A2045" s="4" t="s">
        <v>205</v>
      </c>
      <c r="B2045" s="4" t="s">
        <v>79</v>
      </c>
      <c r="C2045" s="4" t="s">
        <v>82</v>
      </c>
      <c r="D2045" s="11" t="s">
        <v>4262</v>
      </c>
      <c r="E2045" s="4">
        <v>3167608</v>
      </c>
      <c r="F2045" s="11" t="s">
        <v>4263</v>
      </c>
      <c r="G2045" s="4" t="s">
        <v>232</v>
      </c>
      <c r="H2045" s="4"/>
    </row>
    <row r="2046" s="1" customFormat="1" spans="1:8">
      <c r="A2046" s="4" t="s">
        <v>205</v>
      </c>
      <c r="B2046" s="4" t="s">
        <v>79</v>
      </c>
      <c r="C2046" s="4" t="s">
        <v>82</v>
      </c>
      <c r="D2046" s="11" t="s">
        <v>4264</v>
      </c>
      <c r="E2046" s="4">
        <v>3167707</v>
      </c>
      <c r="F2046" s="11" t="s">
        <v>4265</v>
      </c>
      <c r="G2046" s="4" t="s">
        <v>232</v>
      </c>
      <c r="H2046" s="4"/>
    </row>
    <row r="2047" s="1" customFormat="1" spans="1:8">
      <c r="A2047" s="4" t="s">
        <v>205</v>
      </c>
      <c r="B2047" s="4" t="s">
        <v>79</v>
      </c>
      <c r="C2047" s="4" t="s">
        <v>82</v>
      </c>
      <c r="D2047" s="11" t="s">
        <v>4266</v>
      </c>
      <c r="E2047" s="4">
        <v>3167806</v>
      </c>
      <c r="F2047" s="11" t="s">
        <v>4267</v>
      </c>
      <c r="G2047" s="4" t="s">
        <v>232</v>
      </c>
      <c r="H2047" s="4"/>
    </row>
    <row r="2048" s="1" customFormat="1" spans="1:8">
      <c r="A2048" s="4" t="s">
        <v>205</v>
      </c>
      <c r="B2048" s="4" t="s">
        <v>79</v>
      </c>
      <c r="C2048" s="4" t="s">
        <v>82</v>
      </c>
      <c r="D2048" s="11" t="s">
        <v>4268</v>
      </c>
      <c r="E2048" s="4">
        <v>3161106</v>
      </c>
      <c r="F2048" s="11" t="s">
        <v>4269</v>
      </c>
      <c r="G2048" s="4" t="s">
        <v>232</v>
      </c>
      <c r="H2048" s="4"/>
    </row>
    <row r="2049" s="1" customFormat="1" spans="1:8">
      <c r="A2049" s="4" t="s">
        <v>205</v>
      </c>
      <c r="B2049" s="4" t="s">
        <v>79</v>
      </c>
      <c r="C2049" s="4" t="s">
        <v>82</v>
      </c>
      <c r="D2049" s="11" t="s">
        <v>4270</v>
      </c>
      <c r="E2049" s="4">
        <v>3161403</v>
      </c>
      <c r="F2049" s="11" t="s">
        <v>4271</v>
      </c>
      <c r="G2049" s="4" t="s">
        <v>232</v>
      </c>
      <c r="H2049" s="4"/>
    </row>
    <row r="2050" s="1" customFormat="1" spans="1:8">
      <c r="A2050" s="4" t="s">
        <v>205</v>
      </c>
      <c r="B2050" s="4" t="s">
        <v>79</v>
      </c>
      <c r="C2050" s="4" t="s">
        <v>82</v>
      </c>
      <c r="D2050" s="11" t="s">
        <v>4272</v>
      </c>
      <c r="E2050" s="4">
        <v>3161056</v>
      </c>
      <c r="F2050" s="11" t="s">
        <v>4273</v>
      </c>
      <c r="G2050" s="4" t="s">
        <v>232</v>
      </c>
      <c r="H2050" s="4"/>
    </row>
    <row r="2051" s="1" customFormat="1" spans="1:8">
      <c r="A2051" s="4" t="s">
        <v>205</v>
      </c>
      <c r="B2051" s="4" t="s">
        <v>79</v>
      </c>
      <c r="C2051" s="4" t="s">
        <v>82</v>
      </c>
      <c r="D2051" s="11" t="s">
        <v>4274</v>
      </c>
      <c r="E2051" s="4">
        <v>3161601</v>
      </c>
      <c r="F2051" s="11" t="s">
        <v>4275</v>
      </c>
      <c r="G2051" s="4" t="s">
        <v>232</v>
      </c>
      <c r="H2051" s="4"/>
    </row>
    <row r="2052" s="1" customFormat="1" spans="1:8">
      <c r="A2052" s="4" t="s">
        <v>205</v>
      </c>
      <c r="B2052" s="4" t="s">
        <v>79</v>
      </c>
      <c r="C2052" s="4" t="s">
        <v>82</v>
      </c>
      <c r="D2052" s="11" t="s">
        <v>4276</v>
      </c>
      <c r="E2052" s="4">
        <v>3161650</v>
      </c>
      <c r="F2052" s="11" t="s">
        <v>4277</v>
      </c>
      <c r="G2052" s="4" t="s">
        <v>232</v>
      </c>
      <c r="H2052" s="4"/>
    </row>
    <row r="2053" s="1" customFormat="1" spans="1:8">
      <c r="A2053" s="4" t="s">
        <v>205</v>
      </c>
      <c r="B2053" s="4" t="s">
        <v>79</v>
      </c>
      <c r="C2053" s="4" t="s">
        <v>82</v>
      </c>
      <c r="D2053" s="11" t="s">
        <v>4278</v>
      </c>
      <c r="E2053" s="4">
        <v>3161700</v>
      </c>
      <c r="F2053" s="11" t="s">
        <v>4279</v>
      </c>
      <c r="G2053" s="4" t="s">
        <v>232</v>
      </c>
      <c r="H2053" s="4"/>
    </row>
    <row r="2054" s="1" customFormat="1" spans="1:8">
      <c r="A2054" s="4" t="s">
        <v>205</v>
      </c>
      <c r="B2054" s="4" t="s">
        <v>79</v>
      </c>
      <c r="C2054" s="4" t="s">
        <v>82</v>
      </c>
      <c r="D2054" s="11" t="s">
        <v>4280</v>
      </c>
      <c r="E2054" s="4">
        <v>3125507</v>
      </c>
      <c r="F2054" s="11" t="s">
        <v>4281</v>
      </c>
      <c r="G2054" s="4" t="s">
        <v>232</v>
      </c>
      <c r="H2054" s="4"/>
    </row>
    <row r="2055" s="1" customFormat="1" spans="1:8">
      <c r="A2055" s="4" t="s">
        <v>205</v>
      </c>
      <c r="B2055" s="4" t="s">
        <v>79</v>
      </c>
      <c r="C2055" s="4" t="s">
        <v>82</v>
      </c>
      <c r="D2055" s="11" t="s">
        <v>4282</v>
      </c>
      <c r="E2055" s="4">
        <v>3162005</v>
      </c>
      <c r="F2055" s="11" t="s">
        <v>4283</v>
      </c>
      <c r="G2055" s="4" t="s">
        <v>232</v>
      </c>
      <c r="H2055" s="4"/>
    </row>
    <row r="2056" s="1" customFormat="1" spans="1:8">
      <c r="A2056" s="4" t="s">
        <v>205</v>
      </c>
      <c r="B2056" s="4" t="s">
        <v>79</v>
      </c>
      <c r="C2056" s="4" t="s">
        <v>82</v>
      </c>
      <c r="D2056" s="11" t="s">
        <v>4284</v>
      </c>
      <c r="E2056" s="4">
        <v>3162104</v>
      </c>
      <c r="F2056" s="11" t="s">
        <v>4285</v>
      </c>
      <c r="G2056" s="4" t="s">
        <v>232</v>
      </c>
      <c r="H2056" s="4"/>
    </row>
    <row r="2057" s="1" customFormat="1" spans="1:8">
      <c r="A2057" s="4" t="s">
        <v>205</v>
      </c>
      <c r="B2057" s="4" t="s">
        <v>79</v>
      </c>
      <c r="C2057" s="4" t="s">
        <v>82</v>
      </c>
      <c r="D2057" s="11" t="s">
        <v>4286</v>
      </c>
      <c r="E2057" s="4">
        <v>3162948</v>
      </c>
      <c r="F2057" s="11" t="s">
        <v>4287</v>
      </c>
      <c r="G2057" s="4" t="s">
        <v>232</v>
      </c>
      <c r="H2057" s="4"/>
    </row>
    <row r="2058" s="1" customFormat="1" spans="1:8">
      <c r="A2058" s="4" t="s">
        <v>205</v>
      </c>
      <c r="B2058" s="4" t="s">
        <v>79</v>
      </c>
      <c r="C2058" s="4" t="s">
        <v>82</v>
      </c>
      <c r="D2058" s="11" t="s">
        <v>4288</v>
      </c>
      <c r="E2058" s="4">
        <v>3163003</v>
      </c>
      <c r="F2058" s="11" t="s">
        <v>4289</v>
      </c>
      <c r="G2058" s="4" t="s">
        <v>232</v>
      </c>
      <c r="H2058" s="4"/>
    </row>
    <row r="2059" s="1" customFormat="1" spans="1:8">
      <c r="A2059" s="4" t="s">
        <v>205</v>
      </c>
      <c r="B2059" s="4" t="s">
        <v>79</v>
      </c>
      <c r="C2059" s="4" t="s">
        <v>82</v>
      </c>
      <c r="D2059" s="11" t="s">
        <v>4290</v>
      </c>
      <c r="E2059" s="4">
        <v>3163201</v>
      </c>
      <c r="F2059" s="11" t="s">
        <v>4291</v>
      </c>
      <c r="G2059" s="4" t="s">
        <v>232</v>
      </c>
      <c r="H2059" s="4"/>
    </row>
    <row r="2060" s="1" customFormat="1" spans="1:8">
      <c r="A2060" s="4" t="s">
        <v>205</v>
      </c>
      <c r="B2060" s="4" t="s">
        <v>79</v>
      </c>
      <c r="C2060" s="4" t="s">
        <v>82</v>
      </c>
      <c r="D2060" s="11" t="s">
        <v>4292</v>
      </c>
      <c r="E2060" s="4">
        <v>3163300</v>
      </c>
      <c r="F2060" s="11" t="s">
        <v>4293</v>
      </c>
      <c r="G2060" s="4" t="s">
        <v>232</v>
      </c>
      <c r="H2060" s="4"/>
    </row>
    <row r="2061" s="1" customFormat="1" spans="1:8">
      <c r="A2061" s="4" t="s">
        <v>205</v>
      </c>
      <c r="B2061" s="4" t="s">
        <v>79</v>
      </c>
      <c r="C2061" s="4" t="s">
        <v>82</v>
      </c>
      <c r="D2061" s="11" t="s">
        <v>4294</v>
      </c>
      <c r="E2061" s="4">
        <v>3163508</v>
      </c>
      <c r="F2061" s="11" t="s">
        <v>4295</v>
      </c>
      <c r="G2061" s="4" t="s">
        <v>232</v>
      </c>
      <c r="H2061" s="4"/>
    </row>
    <row r="2062" s="1" customFormat="1" spans="1:8">
      <c r="A2062" s="4" t="s">
        <v>205</v>
      </c>
      <c r="B2062" s="4" t="s">
        <v>79</v>
      </c>
      <c r="C2062" s="4" t="s">
        <v>82</v>
      </c>
      <c r="D2062" s="11" t="s">
        <v>4296</v>
      </c>
      <c r="E2062" s="4">
        <v>3163607</v>
      </c>
      <c r="F2062" s="11" t="s">
        <v>4297</v>
      </c>
      <c r="G2062" s="4" t="s">
        <v>232</v>
      </c>
      <c r="H2062" s="4"/>
    </row>
    <row r="2063" s="1" customFormat="1" spans="1:8">
      <c r="A2063" s="4" t="s">
        <v>205</v>
      </c>
      <c r="B2063" s="4" t="s">
        <v>79</v>
      </c>
      <c r="C2063" s="4" t="s">
        <v>82</v>
      </c>
      <c r="D2063" s="11" t="s">
        <v>4298</v>
      </c>
      <c r="E2063" s="4">
        <v>3162203</v>
      </c>
      <c r="F2063" s="11" t="s">
        <v>4299</v>
      </c>
      <c r="G2063" s="4" t="s">
        <v>232</v>
      </c>
      <c r="H2063" s="4"/>
    </row>
    <row r="2064" s="1" customFormat="1" spans="1:8">
      <c r="A2064" s="4" t="s">
        <v>205</v>
      </c>
      <c r="B2064" s="4" t="s">
        <v>79</v>
      </c>
      <c r="C2064" s="4" t="s">
        <v>82</v>
      </c>
      <c r="D2064" s="11" t="s">
        <v>4300</v>
      </c>
      <c r="E2064" s="4">
        <v>3162252</v>
      </c>
      <c r="F2064" s="11" t="s">
        <v>4301</v>
      </c>
      <c r="G2064" s="4" t="s">
        <v>232</v>
      </c>
      <c r="H2064" s="4"/>
    </row>
    <row r="2065" s="1" customFormat="1" spans="1:8">
      <c r="A2065" s="4" t="s">
        <v>205</v>
      </c>
      <c r="B2065" s="4" t="s">
        <v>79</v>
      </c>
      <c r="C2065" s="4" t="s">
        <v>82</v>
      </c>
      <c r="D2065" s="11" t="s">
        <v>4302</v>
      </c>
      <c r="E2065" s="4">
        <v>3162302</v>
      </c>
      <c r="F2065" s="11" t="s">
        <v>4303</v>
      </c>
      <c r="G2065" s="4" t="s">
        <v>232</v>
      </c>
      <c r="H2065" s="4"/>
    </row>
    <row r="2066" s="1" customFormat="1" spans="1:8">
      <c r="A2066" s="4" t="s">
        <v>205</v>
      </c>
      <c r="B2066" s="4" t="s">
        <v>79</v>
      </c>
      <c r="C2066" s="4" t="s">
        <v>82</v>
      </c>
      <c r="D2066" s="11" t="s">
        <v>4304</v>
      </c>
      <c r="E2066" s="4">
        <v>3162401</v>
      </c>
      <c r="F2066" s="11" t="s">
        <v>4305</v>
      </c>
      <c r="G2066" s="4" t="s">
        <v>232</v>
      </c>
      <c r="H2066" s="4"/>
    </row>
    <row r="2067" s="1" customFormat="1" spans="1:8">
      <c r="A2067" s="4" t="s">
        <v>205</v>
      </c>
      <c r="B2067" s="4" t="s">
        <v>79</v>
      </c>
      <c r="C2067" s="4" t="s">
        <v>82</v>
      </c>
      <c r="D2067" s="11" t="s">
        <v>4306</v>
      </c>
      <c r="E2067" s="4">
        <v>3162575</v>
      </c>
      <c r="F2067" s="11" t="s">
        <v>4307</v>
      </c>
      <c r="G2067" s="4" t="s">
        <v>232</v>
      </c>
      <c r="H2067" s="4"/>
    </row>
    <row r="2068" s="1" customFormat="1" spans="1:8">
      <c r="A2068" s="4" t="s">
        <v>205</v>
      </c>
      <c r="B2068" s="4" t="s">
        <v>79</v>
      </c>
      <c r="C2068" s="4" t="s">
        <v>82</v>
      </c>
      <c r="D2068" s="11" t="s">
        <v>4308</v>
      </c>
      <c r="E2068" s="4">
        <v>3162658</v>
      </c>
      <c r="F2068" s="11" t="s">
        <v>4309</v>
      </c>
      <c r="G2068" s="4" t="s">
        <v>232</v>
      </c>
      <c r="H2068" s="4"/>
    </row>
    <row r="2069" s="1" customFormat="1" spans="1:8">
      <c r="A2069" s="4" t="s">
        <v>205</v>
      </c>
      <c r="B2069" s="4" t="s">
        <v>79</v>
      </c>
      <c r="C2069" s="4" t="s">
        <v>82</v>
      </c>
      <c r="D2069" s="11" t="s">
        <v>4310</v>
      </c>
      <c r="E2069" s="4">
        <v>3162906</v>
      </c>
      <c r="F2069" s="11" t="s">
        <v>4311</v>
      </c>
      <c r="G2069" s="4" t="s">
        <v>232</v>
      </c>
      <c r="H2069" s="4"/>
    </row>
    <row r="2070" s="1" customFormat="1" spans="1:8">
      <c r="A2070" s="4" t="s">
        <v>205</v>
      </c>
      <c r="B2070" s="4" t="s">
        <v>79</v>
      </c>
      <c r="C2070" s="4" t="s">
        <v>82</v>
      </c>
      <c r="D2070" s="11" t="s">
        <v>4312</v>
      </c>
      <c r="E2070" s="4">
        <v>3163706</v>
      </c>
      <c r="F2070" s="11" t="s">
        <v>4313</v>
      </c>
      <c r="G2070" s="4" t="s">
        <v>232</v>
      </c>
      <c r="H2070" s="4"/>
    </row>
    <row r="2071" s="1" customFormat="1" spans="1:8">
      <c r="A2071" s="4" t="s">
        <v>205</v>
      </c>
      <c r="B2071" s="4" t="s">
        <v>79</v>
      </c>
      <c r="C2071" s="4" t="s">
        <v>82</v>
      </c>
      <c r="D2071" s="11" t="s">
        <v>4314</v>
      </c>
      <c r="E2071" s="4">
        <v>3163904</v>
      </c>
      <c r="F2071" s="11" t="s">
        <v>4315</v>
      </c>
      <c r="G2071" s="4" t="s">
        <v>232</v>
      </c>
      <c r="H2071" s="4"/>
    </row>
    <row r="2072" s="1" customFormat="1" spans="1:8">
      <c r="A2072" s="4" t="s">
        <v>205</v>
      </c>
      <c r="B2072" s="4" t="s">
        <v>79</v>
      </c>
      <c r="C2072" s="4" t="s">
        <v>82</v>
      </c>
      <c r="D2072" s="11" t="s">
        <v>4316</v>
      </c>
      <c r="E2072" s="4">
        <v>3164100</v>
      </c>
      <c r="F2072" s="11" t="s">
        <v>4317</v>
      </c>
      <c r="G2072" s="4" t="s">
        <v>232</v>
      </c>
      <c r="H2072" s="4"/>
    </row>
    <row r="2073" s="1" customFormat="1" spans="1:8">
      <c r="A2073" s="4" t="s">
        <v>205</v>
      </c>
      <c r="B2073" s="4" t="s">
        <v>79</v>
      </c>
      <c r="C2073" s="4" t="s">
        <v>82</v>
      </c>
      <c r="D2073" s="11" t="s">
        <v>4318</v>
      </c>
      <c r="E2073" s="4">
        <v>3164209</v>
      </c>
      <c r="F2073" s="11" t="s">
        <v>4319</v>
      </c>
      <c r="G2073" s="4" t="s">
        <v>232</v>
      </c>
      <c r="H2073" s="4"/>
    </row>
    <row r="2074" s="1" customFormat="1" spans="1:8">
      <c r="A2074" s="4" t="s">
        <v>205</v>
      </c>
      <c r="B2074" s="4" t="s">
        <v>79</v>
      </c>
      <c r="C2074" s="4" t="s">
        <v>82</v>
      </c>
      <c r="D2074" s="11" t="s">
        <v>4320</v>
      </c>
      <c r="E2074" s="4">
        <v>3164308</v>
      </c>
      <c r="F2074" s="11" t="s">
        <v>4321</v>
      </c>
      <c r="G2074" s="4" t="s">
        <v>232</v>
      </c>
      <c r="H2074" s="4"/>
    </row>
    <row r="2075" s="1" customFormat="1" spans="1:8">
      <c r="A2075" s="4" t="s">
        <v>205</v>
      </c>
      <c r="B2075" s="4" t="s">
        <v>79</v>
      </c>
      <c r="C2075" s="4" t="s">
        <v>82</v>
      </c>
      <c r="D2075" s="11" t="s">
        <v>4322</v>
      </c>
      <c r="E2075" s="4">
        <v>3164407</v>
      </c>
      <c r="F2075" s="11" t="s">
        <v>4323</v>
      </c>
      <c r="G2075" s="4" t="s">
        <v>232</v>
      </c>
      <c r="H2075" s="4"/>
    </row>
    <row r="2076" s="1" customFormat="1" spans="1:8">
      <c r="A2076" s="4" t="s">
        <v>205</v>
      </c>
      <c r="B2076" s="4" t="s">
        <v>79</v>
      </c>
      <c r="C2076" s="4" t="s">
        <v>82</v>
      </c>
      <c r="D2076" s="11" t="s">
        <v>4324</v>
      </c>
      <c r="E2076" s="4">
        <v>3164431</v>
      </c>
      <c r="F2076" s="11" t="s">
        <v>4325</v>
      </c>
      <c r="G2076" s="4" t="s">
        <v>232</v>
      </c>
      <c r="H2076" s="4"/>
    </row>
    <row r="2077" s="1" customFormat="1" spans="1:8">
      <c r="A2077" s="4" t="s">
        <v>205</v>
      </c>
      <c r="B2077" s="4" t="s">
        <v>79</v>
      </c>
      <c r="C2077" s="4" t="s">
        <v>82</v>
      </c>
      <c r="D2077" s="11" t="s">
        <v>4326</v>
      </c>
      <c r="E2077" s="4">
        <v>3164472</v>
      </c>
      <c r="F2077" s="11" t="s">
        <v>4327</v>
      </c>
      <c r="G2077" s="4" t="s">
        <v>232</v>
      </c>
      <c r="H2077" s="4"/>
    </row>
    <row r="2078" s="1" customFormat="1" spans="1:8">
      <c r="A2078" s="4" t="s">
        <v>205</v>
      </c>
      <c r="B2078" s="4" t="s">
        <v>79</v>
      </c>
      <c r="C2078" s="4" t="s">
        <v>82</v>
      </c>
      <c r="D2078" s="11" t="s">
        <v>4328</v>
      </c>
      <c r="E2078" s="4">
        <v>3164506</v>
      </c>
      <c r="F2078" s="11" t="s">
        <v>4329</v>
      </c>
      <c r="G2078" s="4" t="s">
        <v>232</v>
      </c>
      <c r="H2078" s="4"/>
    </row>
    <row r="2079" s="1" customFormat="1" spans="1:8">
      <c r="A2079" s="4" t="s">
        <v>205</v>
      </c>
      <c r="B2079" s="4" t="s">
        <v>79</v>
      </c>
      <c r="C2079" s="4" t="s">
        <v>82</v>
      </c>
      <c r="D2079" s="11" t="s">
        <v>4330</v>
      </c>
      <c r="E2079" s="4">
        <v>3164704</v>
      </c>
      <c r="F2079" s="11" t="s">
        <v>4331</v>
      </c>
      <c r="G2079" s="4" t="s">
        <v>232</v>
      </c>
      <c r="H2079" s="4"/>
    </row>
    <row r="2080" s="1" customFormat="1" spans="1:8">
      <c r="A2080" s="4" t="s">
        <v>205</v>
      </c>
      <c r="B2080" s="4" t="s">
        <v>79</v>
      </c>
      <c r="C2080" s="4" t="s">
        <v>82</v>
      </c>
      <c r="D2080" s="11" t="s">
        <v>4332</v>
      </c>
      <c r="E2080" s="4">
        <v>3164902</v>
      </c>
      <c r="F2080" s="11" t="s">
        <v>4333</v>
      </c>
      <c r="G2080" s="4" t="s">
        <v>232</v>
      </c>
      <c r="H2080" s="4"/>
    </row>
    <row r="2081" s="1" customFormat="1" spans="1:8">
      <c r="A2081" s="4" t="s">
        <v>205</v>
      </c>
      <c r="B2081" s="4" t="s">
        <v>79</v>
      </c>
      <c r="C2081" s="4" t="s">
        <v>82</v>
      </c>
      <c r="D2081" s="11" t="s">
        <v>4334</v>
      </c>
      <c r="E2081" s="4">
        <v>3165206</v>
      </c>
      <c r="F2081" s="11" t="s">
        <v>4335</v>
      </c>
      <c r="G2081" s="4" t="s">
        <v>232</v>
      </c>
      <c r="H2081" s="4"/>
    </row>
    <row r="2082" s="1" customFormat="1" spans="1:8">
      <c r="A2082" s="4" t="s">
        <v>205</v>
      </c>
      <c r="B2082" s="4" t="s">
        <v>79</v>
      </c>
      <c r="C2082" s="4" t="s">
        <v>82</v>
      </c>
      <c r="D2082" s="11" t="s">
        <v>4336</v>
      </c>
      <c r="E2082" s="4">
        <v>3165107</v>
      </c>
      <c r="F2082" s="11" t="s">
        <v>4337</v>
      </c>
      <c r="G2082" s="4" t="s">
        <v>232</v>
      </c>
      <c r="H2082" s="4"/>
    </row>
    <row r="2083" s="1" customFormat="1" spans="1:8">
      <c r="A2083" s="4" t="s">
        <v>205</v>
      </c>
      <c r="B2083" s="4" t="s">
        <v>79</v>
      </c>
      <c r="C2083" s="4" t="s">
        <v>82</v>
      </c>
      <c r="D2083" s="11" t="s">
        <v>4338</v>
      </c>
      <c r="E2083" s="4">
        <v>3168051</v>
      </c>
      <c r="F2083" s="11" t="s">
        <v>4339</v>
      </c>
      <c r="G2083" s="4" t="s">
        <v>232</v>
      </c>
      <c r="H2083" s="4"/>
    </row>
    <row r="2084" s="1" customFormat="1" spans="1:8">
      <c r="A2084" s="4" t="s">
        <v>205</v>
      </c>
      <c r="B2084" s="4" t="s">
        <v>79</v>
      </c>
      <c r="C2084" s="4" t="s">
        <v>82</v>
      </c>
      <c r="D2084" s="11" t="s">
        <v>4340</v>
      </c>
      <c r="E2084" s="4">
        <v>3168101</v>
      </c>
      <c r="F2084" s="11" t="s">
        <v>4341</v>
      </c>
      <c r="G2084" s="4" t="s">
        <v>232</v>
      </c>
      <c r="H2084" s="4"/>
    </row>
    <row r="2085" s="1" customFormat="1" spans="1:8">
      <c r="A2085" s="4" t="s">
        <v>205</v>
      </c>
      <c r="B2085" s="4" t="s">
        <v>79</v>
      </c>
      <c r="C2085" s="4" t="s">
        <v>82</v>
      </c>
      <c r="D2085" s="11" t="s">
        <v>4342</v>
      </c>
      <c r="E2085" s="4">
        <v>3168606</v>
      </c>
      <c r="F2085" s="11" t="s">
        <v>4343</v>
      </c>
      <c r="G2085" s="4" t="s">
        <v>232</v>
      </c>
      <c r="H2085" s="4"/>
    </row>
    <row r="2086" s="1" customFormat="1" spans="1:8">
      <c r="A2086" s="4" t="s">
        <v>205</v>
      </c>
      <c r="B2086" s="4" t="s">
        <v>79</v>
      </c>
      <c r="C2086" s="4" t="s">
        <v>82</v>
      </c>
      <c r="D2086" s="11" t="s">
        <v>4344</v>
      </c>
      <c r="E2086" s="4">
        <v>3168903</v>
      </c>
      <c r="F2086" s="11" t="s">
        <v>4345</v>
      </c>
      <c r="G2086" s="4" t="s">
        <v>232</v>
      </c>
      <c r="H2086" s="4"/>
    </row>
    <row r="2087" s="1" customFormat="1" spans="1:8">
      <c r="A2087" s="4" t="s">
        <v>205</v>
      </c>
      <c r="B2087" s="4" t="s">
        <v>79</v>
      </c>
      <c r="C2087" s="4" t="s">
        <v>82</v>
      </c>
      <c r="D2087" s="11" t="s">
        <v>4346</v>
      </c>
      <c r="E2087" s="4">
        <v>3169059</v>
      </c>
      <c r="F2087" s="11" t="s">
        <v>4347</v>
      </c>
      <c r="G2087" s="4" t="s">
        <v>232</v>
      </c>
      <c r="H2087" s="4"/>
    </row>
    <row r="2088" s="1" customFormat="1" spans="1:8">
      <c r="A2088" s="4" t="s">
        <v>205</v>
      </c>
      <c r="B2088" s="4" t="s">
        <v>79</v>
      </c>
      <c r="C2088" s="4" t="s">
        <v>82</v>
      </c>
      <c r="D2088" s="11" t="s">
        <v>4348</v>
      </c>
      <c r="E2088" s="4">
        <v>3169109</v>
      </c>
      <c r="F2088" s="11" t="s">
        <v>4349</v>
      </c>
      <c r="G2088" s="4" t="s">
        <v>232</v>
      </c>
      <c r="H2088" s="4"/>
    </row>
    <row r="2089" s="1" customFormat="1" spans="1:8">
      <c r="A2089" s="4" t="s">
        <v>205</v>
      </c>
      <c r="B2089" s="4" t="s">
        <v>79</v>
      </c>
      <c r="C2089" s="4" t="s">
        <v>82</v>
      </c>
      <c r="D2089" s="11" t="s">
        <v>4350</v>
      </c>
      <c r="E2089" s="4">
        <v>3169208</v>
      </c>
      <c r="F2089" s="11" t="s">
        <v>4351</v>
      </c>
      <c r="G2089" s="4" t="s">
        <v>232</v>
      </c>
      <c r="H2089" s="4"/>
    </row>
    <row r="2090" s="1" customFormat="1" spans="1:8">
      <c r="A2090" s="4" t="s">
        <v>205</v>
      </c>
      <c r="B2090" s="4" t="s">
        <v>79</v>
      </c>
      <c r="C2090" s="4" t="s">
        <v>82</v>
      </c>
      <c r="D2090" s="11" t="s">
        <v>4352</v>
      </c>
      <c r="E2090" s="4">
        <v>3169307</v>
      </c>
      <c r="F2090" s="11" t="s">
        <v>4353</v>
      </c>
      <c r="G2090" s="4" t="s">
        <v>232</v>
      </c>
      <c r="H2090" s="4"/>
    </row>
    <row r="2091" s="1" customFormat="1" spans="1:8">
      <c r="A2091" s="4" t="s">
        <v>205</v>
      </c>
      <c r="B2091" s="4" t="s">
        <v>79</v>
      </c>
      <c r="C2091" s="4" t="s">
        <v>82</v>
      </c>
      <c r="D2091" s="11" t="s">
        <v>4354</v>
      </c>
      <c r="E2091" s="4">
        <v>3169505</v>
      </c>
      <c r="F2091" s="11" t="s">
        <v>4355</v>
      </c>
      <c r="G2091" s="4" t="s">
        <v>232</v>
      </c>
      <c r="H2091" s="4"/>
    </row>
    <row r="2092" s="1" customFormat="1" spans="1:8">
      <c r="A2092" s="4" t="s">
        <v>205</v>
      </c>
      <c r="B2092" s="4" t="s">
        <v>79</v>
      </c>
      <c r="C2092" s="4" t="s">
        <v>82</v>
      </c>
      <c r="D2092" s="11" t="s">
        <v>4356</v>
      </c>
      <c r="E2092" s="4">
        <v>3169703</v>
      </c>
      <c r="F2092" s="11" t="s">
        <v>4357</v>
      </c>
      <c r="G2092" s="4" t="s">
        <v>232</v>
      </c>
      <c r="H2092" s="4"/>
    </row>
    <row r="2093" s="1" customFormat="1" spans="1:8">
      <c r="A2093" s="4" t="s">
        <v>205</v>
      </c>
      <c r="B2093" s="4" t="s">
        <v>79</v>
      </c>
      <c r="C2093" s="4" t="s">
        <v>82</v>
      </c>
      <c r="D2093" s="11" t="s">
        <v>4358</v>
      </c>
      <c r="E2093" s="4">
        <v>3169802</v>
      </c>
      <c r="F2093" s="11" t="s">
        <v>4359</v>
      </c>
      <c r="G2093" s="4" t="s">
        <v>232</v>
      </c>
      <c r="H2093" s="4"/>
    </row>
    <row r="2094" s="1" customFormat="1" spans="1:8">
      <c r="A2094" s="4" t="s">
        <v>205</v>
      </c>
      <c r="B2094" s="4" t="s">
        <v>79</v>
      </c>
      <c r="C2094" s="4" t="s">
        <v>82</v>
      </c>
      <c r="D2094" s="11" t="s">
        <v>4360</v>
      </c>
      <c r="E2094" s="4">
        <v>3170008</v>
      </c>
      <c r="F2094" s="11" t="s">
        <v>4361</v>
      </c>
      <c r="G2094" s="4" t="s">
        <v>232</v>
      </c>
      <c r="H2094" s="4"/>
    </row>
    <row r="2095" s="1" customFormat="1" spans="1:8">
      <c r="A2095" s="4" t="s">
        <v>205</v>
      </c>
      <c r="B2095" s="4" t="s">
        <v>79</v>
      </c>
      <c r="C2095" s="4" t="s">
        <v>82</v>
      </c>
      <c r="D2095" s="11" t="s">
        <v>4362</v>
      </c>
      <c r="E2095" s="4">
        <v>3170107</v>
      </c>
      <c r="F2095" s="11" t="s">
        <v>4363</v>
      </c>
      <c r="G2095" s="4" t="s">
        <v>232</v>
      </c>
      <c r="H2095" s="4"/>
    </row>
    <row r="2096" s="1" customFormat="1" spans="1:8">
      <c r="A2096" s="4" t="s">
        <v>205</v>
      </c>
      <c r="B2096" s="4" t="s">
        <v>79</v>
      </c>
      <c r="C2096" s="4" t="s">
        <v>82</v>
      </c>
      <c r="D2096" s="11" t="s">
        <v>4364</v>
      </c>
      <c r="E2096" s="4">
        <v>3170206</v>
      </c>
      <c r="F2096" s="11" t="s">
        <v>4365</v>
      </c>
      <c r="G2096" s="4" t="s">
        <v>232</v>
      </c>
      <c r="H2096" s="4"/>
    </row>
    <row r="2097" s="1" customFormat="1" spans="1:8">
      <c r="A2097" s="4" t="s">
        <v>205</v>
      </c>
      <c r="B2097" s="4" t="s">
        <v>79</v>
      </c>
      <c r="C2097" s="4" t="s">
        <v>82</v>
      </c>
      <c r="D2097" s="11" t="s">
        <v>4366</v>
      </c>
      <c r="E2097" s="4">
        <v>3170602</v>
      </c>
      <c r="F2097" s="11" t="s">
        <v>4367</v>
      </c>
      <c r="G2097" s="4" t="s">
        <v>232</v>
      </c>
      <c r="H2097" s="4"/>
    </row>
    <row r="2098" s="1" customFormat="1" spans="1:8">
      <c r="A2098" s="4" t="s">
        <v>205</v>
      </c>
      <c r="B2098" s="4" t="s">
        <v>79</v>
      </c>
      <c r="C2098" s="4" t="s">
        <v>82</v>
      </c>
      <c r="D2098" s="11" t="s">
        <v>4368</v>
      </c>
      <c r="E2098" s="4">
        <v>3170701</v>
      </c>
      <c r="F2098" s="11" t="s">
        <v>4369</v>
      </c>
      <c r="G2098" s="4" t="s">
        <v>232</v>
      </c>
      <c r="H2098" s="4"/>
    </row>
    <row r="2099" s="1" customFormat="1" spans="1:8">
      <c r="A2099" s="4" t="s">
        <v>205</v>
      </c>
      <c r="B2099" s="4" t="s">
        <v>79</v>
      </c>
      <c r="C2099" s="4" t="s">
        <v>82</v>
      </c>
      <c r="D2099" s="11" t="s">
        <v>4370</v>
      </c>
      <c r="E2099" s="4">
        <v>3170750</v>
      </c>
      <c r="F2099" s="11" t="s">
        <v>4371</v>
      </c>
      <c r="G2099" s="4" t="s">
        <v>232</v>
      </c>
      <c r="H2099" s="4"/>
    </row>
    <row r="2100" s="1" customFormat="1" spans="1:8">
      <c r="A2100" s="4" t="s">
        <v>205</v>
      </c>
      <c r="B2100" s="4" t="s">
        <v>79</v>
      </c>
      <c r="C2100" s="4" t="s">
        <v>82</v>
      </c>
      <c r="D2100" s="11" t="s">
        <v>4372</v>
      </c>
      <c r="E2100" s="4">
        <v>3170909</v>
      </c>
      <c r="F2100" s="11" t="s">
        <v>4373</v>
      </c>
      <c r="G2100" s="4" t="s">
        <v>232</v>
      </c>
      <c r="H2100" s="4"/>
    </row>
    <row r="2101" s="1" customFormat="1" spans="1:8">
      <c r="A2101" s="4" t="s">
        <v>205</v>
      </c>
      <c r="B2101" s="4" t="s">
        <v>79</v>
      </c>
      <c r="C2101" s="4" t="s">
        <v>82</v>
      </c>
      <c r="D2101" s="11" t="s">
        <v>4374</v>
      </c>
      <c r="E2101" s="4">
        <v>3171006</v>
      </c>
      <c r="F2101" s="11" t="s">
        <v>4375</v>
      </c>
      <c r="G2101" s="4" t="s">
        <v>232</v>
      </c>
      <c r="H2101" s="4"/>
    </row>
    <row r="2102" s="1" customFormat="1" spans="1:8">
      <c r="A2102" s="4" t="s">
        <v>205</v>
      </c>
      <c r="B2102" s="4" t="s">
        <v>79</v>
      </c>
      <c r="C2102" s="4" t="s">
        <v>82</v>
      </c>
      <c r="D2102" s="11" t="s">
        <v>4376</v>
      </c>
      <c r="E2102" s="4">
        <v>3171071</v>
      </c>
      <c r="F2102" s="11" t="s">
        <v>4377</v>
      </c>
      <c r="G2102" s="4" t="s">
        <v>232</v>
      </c>
      <c r="H2102" s="4"/>
    </row>
    <row r="2103" s="1" customFormat="1" spans="1:8">
      <c r="A2103" s="4" t="s">
        <v>205</v>
      </c>
      <c r="B2103" s="4" t="s">
        <v>79</v>
      </c>
      <c r="C2103" s="4" t="s">
        <v>82</v>
      </c>
      <c r="D2103" s="11" t="s">
        <v>4378</v>
      </c>
      <c r="E2103" s="4">
        <v>3171105</v>
      </c>
      <c r="F2103" s="11" t="s">
        <v>4379</v>
      </c>
      <c r="G2103" s="4" t="s">
        <v>232</v>
      </c>
      <c r="H2103" s="4"/>
    </row>
    <row r="2104" s="1" customFormat="1" spans="1:8">
      <c r="A2104" s="4" t="s">
        <v>205</v>
      </c>
      <c r="B2104" s="4" t="s">
        <v>79</v>
      </c>
      <c r="C2104" s="4" t="s">
        <v>82</v>
      </c>
      <c r="D2104" s="11" t="s">
        <v>4380</v>
      </c>
      <c r="E2104" s="4">
        <v>3171402</v>
      </c>
      <c r="F2104" s="11" t="s">
        <v>4381</v>
      </c>
      <c r="G2104" s="4" t="s">
        <v>232</v>
      </c>
      <c r="H2104" s="4"/>
    </row>
    <row r="2105" s="1" customFormat="1" spans="1:8">
      <c r="A2105" s="4" t="s">
        <v>205</v>
      </c>
      <c r="B2105" s="4" t="s">
        <v>79</v>
      </c>
      <c r="C2105" s="4" t="s">
        <v>82</v>
      </c>
      <c r="D2105" s="11" t="s">
        <v>4382</v>
      </c>
      <c r="E2105" s="4">
        <v>3171600</v>
      </c>
      <c r="F2105" s="11" t="s">
        <v>4383</v>
      </c>
      <c r="G2105" s="4" t="s">
        <v>232</v>
      </c>
      <c r="H2105" s="4"/>
    </row>
    <row r="2106" s="1" customFormat="1" spans="1:8">
      <c r="A2106" s="4" t="s">
        <v>205</v>
      </c>
      <c r="B2106" s="4" t="s">
        <v>79</v>
      </c>
      <c r="C2106" s="4" t="s">
        <v>82</v>
      </c>
      <c r="D2106" s="11" t="s">
        <v>4384</v>
      </c>
      <c r="E2106" s="4">
        <v>3171907</v>
      </c>
      <c r="F2106" s="11" t="s">
        <v>4385</v>
      </c>
      <c r="G2106" s="4" t="s">
        <v>232</v>
      </c>
      <c r="H2106" s="4"/>
    </row>
    <row r="2107" s="1" customFormat="1" spans="1:8">
      <c r="A2107" s="4" t="s">
        <v>205</v>
      </c>
      <c r="B2107" s="4" t="s">
        <v>79</v>
      </c>
      <c r="C2107" s="4" t="s">
        <v>82</v>
      </c>
      <c r="D2107" s="11" t="s">
        <v>4386</v>
      </c>
      <c r="E2107" s="4">
        <v>3171709</v>
      </c>
      <c r="F2107" s="11" t="s">
        <v>4387</v>
      </c>
      <c r="G2107" s="4" t="s">
        <v>232</v>
      </c>
      <c r="H2107" s="4"/>
    </row>
    <row r="2108" s="1" customFormat="1" spans="1:8">
      <c r="A2108" s="4" t="s">
        <v>205</v>
      </c>
      <c r="B2108" s="4" t="s">
        <v>79</v>
      </c>
      <c r="C2108" s="4" t="s">
        <v>82</v>
      </c>
      <c r="D2108" s="11" t="s">
        <v>4388</v>
      </c>
      <c r="E2108" s="4">
        <v>3172103</v>
      </c>
      <c r="F2108" s="11" t="s">
        <v>4389</v>
      </c>
      <c r="G2108" s="4" t="s">
        <v>232</v>
      </c>
      <c r="H2108" s="4"/>
    </row>
    <row r="2109" s="1" customFormat="1" spans="1:8">
      <c r="A2109" s="4" t="s">
        <v>205</v>
      </c>
      <c r="B2109" s="4" t="s">
        <v>79</v>
      </c>
      <c r="C2109" s="4" t="s">
        <v>82</v>
      </c>
      <c r="D2109" s="11" t="s">
        <v>4390</v>
      </c>
      <c r="E2109" s="4">
        <v>3170800</v>
      </c>
      <c r="F2109" s="11" t="s">
        <v>4391</v>
      </c>
      <c r="G2109" s="4" t="s">
        <v>232</v>
      </c>
      <c r="H2109" s="4"/>
    </row>
    <row r="2110" s="1" customFormat="1" spans="1:8">
      <c r="A2110" s="4" t="s">
        <v>205</v>
      </c>
      <c r="B2110" s="4" t="s">
        <v>79</v>
      </c>
      <c r="C2110" s="4" t="s">
        <v>82</v>
      </c>
      <c r="D2110" s="11" t="s">
        <v>4392</v>
      </c>
      <c r="E2110" s="4">
        <v>3172202</v>
      </c>
      <c r="F2110" s="11" t="s">
        <v>2924</v>
      </c>
      <c r="G2110" s="4" t="s">
        <v>232</v>
      </c>
      <c r="H2110" s="4"/>
    </row>
    <row r="2111" s="1" customFormat="1" spans="1:8">
      <c r="A2111" s="4" t="s">
        <v>205</v>
      </c>
      <c r="B2111" s="4" t="s">
        <v>79</v>
      </c>
      <c r="C2111" s="4" t="s">
        <v>82</v>
      </c>
      <c r="D2111" s="11" t="s">
        <v>4393</v>
      </c>
      <c r="E2111" s="4">
        <v>3100609</v>
      </c>
      <c r="F2111" s="11" t="s">
        <v>4394</v>
      </c>
      <c r="G2111" s="4" t="s">
        <v>232</v>
      </c>
      <c r="H2111" s="4"/>
    </row>
    <row r="2112" s="1" customFormat="1" spans="1:8">
      <c r="A2112" s="4" t="s">
        <v>205</v>
      </c>
      <c r="B2112" s="4" t="s">
        <v>79</v>
      </c>
      <c r="C2112" s="4" t="s">
        <v>82</v>
      </c>
      <c r="D2112" s="11" t="s">
        <v>4395</v>
      </c>
      <c r="E2112" s="4">
        <v>3100708</v>
      </c>
      <c r="F2112" s="11" t="s">
        <v>4396</v>
      </c>
      <c r="G2112" s="4" t="s">
        <v>232</v>
      </c>
      <c r="H2112" s="4"/>
    </row>
    <row r="2113" s="1" customFormat="1" spans="1:8">
      <c r="A2113" s="4" t="s">
        <v>205</v>
      </c>
      <c r="B2113" s="4" t="s">
        <v>79</v>
      </c>
      <c r="C2113" s="4" t="s">
        <v>82</v>
      </c>
      <c r="D2113" s="11" t="s">
        <v>4397</v>
      </c>
      <c r="E2113" s="4">
        <v>3101706</v>
      </c>
      <c r="F2113" s="11" t="s">
        <v>4398</v>
      </c>
      <c r="G2113" s="4" t="s">
        <v>243</v>
      </c>
      <c r="H2113" s="4"/>
    </row>
    <row r="2114" s="1" customFormat="1" spans="1:8">
      <c r="A2114" s="4" t="s">
        <v>205</v>
      </c>
      <c r="B2114" s="4" t="s">
        <v>79</v>
      </c>
      <c r="C2114" s="4" t="s">
        <v>82</v>
      </c>
      <c r="D2114" s="11" t="s">
        <v>4399</v>
      </c>
      <c r="E2114" s="4">
        <v>3103751</v>
      </c>
      <c r="F2114" s="11" t="s">
        <v>4400</v>
      </c>
      <c r="G2114" s="4" t="s">
        <v>243</v>
      </c>
      <c r="H2114" s="4"/>
    </row>
    <row r="2115" s="1" customFormat="1" spans="1:8">
      <c r="A2115" s="4" t="s">
        <v>205</v>
      </c>
      <c r="B2115" s="4" t="s">
        <v>79</v>
      </c>
      <c r="C2115" s="4" t="s">
        <v>82</v>
      </c>
      <c r="D2115" s="11" t="s">
        <v>4401</v>
      </c>
      <c r="E2115" s="4">
        <v>3103405</v>
      </c>
      <c r="F2115" s="11" t="s">
        <v>4402</v>
      </c>
      <c r="G2115" s="4" t="s">
        <v>243</v>
      </c>
      <c r="H2115" s="4"/>
    </row>
    <row r="2116" s="1" customFormat="1" spans="1:8">
      <c r="A2116" s="4" t="s">
        <v>205</v>
      </c>
      <c r="B2116" s="4" t="s">
        <v>79</v>
      </c>
      <c r="C2116" s="4" t="s">
        <v>82</v>
      </c>
      <c r="D2116" s="11" t="s">
        <v>4403</v>
      </c>
      <c r="E2116" s="4">
        <v>3104502</v>
      </c>
      <c r="F2116" s="11" t="s">
        <v>4404</v>
      </c>
      <c r="G2116" s="4" t="s">
        <v>243</v>
      </c>
      <c r="H2116" s="4"/>
    </row>
    <row r="2117" s="1" customFormat="1" spans="1:8">
      <c r="A2117" s="4" t="s">
        <v>205</v>
      </c>
      <c r="B2117" s="4" t="s">
        <v>79</v>
      </c>
      <c r="C2117" s="4" t="s">
        <v>82</v>
      </c>
      <c r="D2117" s="11" t="s">
        <v>4405</v>
      </c>
      <c r="E2117" s="4">
        <v>3105202</v>
      </c>
      <c r="F2117" s="11" t="s">
        <v>4406</v>
      </c>
      <c r="G2117" s="4" t="s">
        <v>243</v>
      </c>
      <c r="H2117" s="4"/>
    </row>
    <row r="2118" s="1" customFormat="1" spans="1:8">
      <c r="A2118" s="4" t="s">
        <v>205</v>
      </c>
      <c r="B2118" s="4" t="s">
        <v>79</v>
      </c>
      <c r="C2118" s="4" t="s">
        <v>82</v>
      </c>
      <c r="D2118" s="11" t="s">
        <v>4407</v>
      </c>
      <c r="E2118" s="4">
        <v>3106655</v>
      </c>
      <c r="F2118" s="11" t="s">
        <v>4408</v>
      </c>
      <c r="G2118" s="4" t="s">
        <v>243</v>
      </c>
      <c r="H2118" s="4"/>
    </row>
    <row r="2119" s="1" customFormat="1" spans="1:8">
      <c r="A2119" s="4" t="s">
        <v>205</v>
      </c>
      <c r="B2119" s="4" t="s">
        <v>79</v>
      </c>
      <c r="C2119" s="4" t="s">
        <v>82</v>
      </c>
      <c r="D2119" s="11" t="s">
        <v>4409</v>
      </c>
      <c r="E2119" s="4">
        <v>3106606</v>
      </c>
      <c r="F2119" s="11" t="s">
        <v>4410</v>
      </c>
      <c r="G2119" s="4" t="s">
        <v>243</v>
      </c>
      <c r="H2119" s="4"/>
    </row>
    <row r="2120" s="1" customFormat="1" spans="1:8">
      <c r="A2120" s="4" t="s">
        <v>205</v>
      </c>
      <c r="B2120" s="4" t="s">
        <v>79</v>
      </c>
      <c r="C2120" s="4" t="s">
        <v>82</v>
      </c>
      <c r="D2120" s="11" t="s">
        <v>4411</v>
      </c>
      <c r="E2120" s="4">
        <v>3108255</v>
      </c>
      <c r="F2120" s="11" t="s">
        <v>4412</v>
      </c>
      <c r="G2120" s="4" t="s">
        <v>243</v>
      </c>
      <c r="H2120" s="4"/>
    </row>
    <row r="2121" s="1" customFormat="1" spans="1:8">
      <c r="A2121" s="4" t="s">
        <v>205</v>
      </c>
      <c r="B2121" s="4" t="s">
        <v>79</v>
      </c>
      <c r="C2121" s="4" t="s">
        <v>82</v>
      </c>
      <c r="D2121" s="11" t="s">
        <v>4413</v>
      </c>
      <c r="E2121" s="4">
        <v>3109303</v>
      </c>
      <c r="F2121" s="11" t="s">
        <v>4414</v>
      </c>
      <c r="G2121" s="4" t="s">
        <v>243</v>
      </c>
      <c r="H2121" s="4"/>
    </row>
    <row r="2122" s="1" customFormat="1" spans="1:8">
      <c r="A2122" s="4" t="s">
        <v>205</v>
      </c>
      <c r="B2122" s="4" t="s">
        <v>79</v>
      </c>
      <c r="C2122" s="4" t="s">
        <v>82</v>
      </c>
      <c r="D2122" s="11" t="s">
        <v>4415</v>
      </c>
      <c r="E2122" s="4">
        <v>3109451</v>
      </c>
      <c r="F2122" s="11" t="s">
        <v>4416</v>
      </c>
      <c r="G2122" s="4" t="s">
        <v>243</v>
      </c>
      <c r="H2122" s="4"/>
    </row>
    <row r="2123" s="1" customFormat="1" spans="1:8">
      <c r="A2123" s="4" t="s">
        <v>205</v>
      </c>
      <c r="B2123" s="4" t="s">
        <v>79</v>
      </c>
      <c r="C2123" s="4" t="s">
        <v>82</v>
      </c>
      <c r="D2123" s="11" t="s">
        <v>4417</v>
      </c>
      <c r="E2123" s="4">
        <v>3102704</v>
      </c>
      <c r="F2123" s="11" t="s">
        <v>4418</v>
      </c>
      <c r="G2123" s="4" t="s">
        <v>243</v>
      </c>
      <c r="H2123" s="4"/>
    </row>
    <row r="2124" s="1" customFormat="1" spans="1:8">
      <c r="A2124" s="4" t="s">
        <v>205</v>
      </c>
      <c r="B2124" s="4" t="s">
        <v>79</v>
      </c>
      <c r="C2124" s="4" t="s">
        <v>82</v>
      </c>
      <c r="D2124" s="11" t="s">
        <v>2072</v>
      </c>
      <c r="E2124" s="4">
        <v>3109808</v>
      </c>
      <c r="F2124" s="11" t="s">
        <v>4419</v>
      </c>
      <c r="G2124" s="4" t="s">
        <v>243</v>
      </c>
      <c r="H2124" s="4"/>
    </row>
    <row r="2125" s="1" customFormat="1" spans="1:8">
      <c r="A2125" s="4" t="s">
        <v>205</v>
      </c>
      <c r="B2125" s="4" t="s">
        <v>79</v>
      </c>
      <c r="C2125" s="4" t="s">
        <v>82</v>
      </c>
      <c r="D2125" s="11" t="s">
        <v>4420</v>
      </c>
      <c r="E2125" s="4">
        <v>3111101</v>
      </c>
      <c r="F2125" s="11" t="s">
        <v>4421</v>
      </c>
      <c r="G2125" s="4" t="s">
        <v>243</v>
      </c>
      <c r="H2125" s="4"/>
    </row>
    <row r="2126" s="1" customFormat="1" spans="1:8">
      <c r="A2126" s="4" t="s">
        <v>205</v>
      </c>
      <c r="B2126" s="4" t="s">
        <v>79</v>
      </c>
      <c r="C2126" s="4" t="s">
        <v>82</v>
      </c>
      <c r="D2126" s="11" t="s">
        <v>1310</v>
      </c>
      <c r="E2126" s="4">
        <v>3111804</v>
      </c>
      <c r="F2126" s="11" t="s">
        <v>4422</v>
      </c>
      <c r="G2126" s="4" t="s">
        <v>243</v>
      </c>
      <c r="H2126" s="4"/>
    </row>
    <row r="2127" s="1" customFormat="1" spans="1:8">
      <c r="A2127" s="4" t="s">
        <v>205</v>
      </c>
      <c r="B2127" s="4" t="s">
        <v>79</v>
      </c>
      <c r="C2127" s="4" t="s">
        <v>82</v>
      </c>
      <c r="D2127" s="11" t="s">
        <v>4423</v>
      </c>
      <c r="E2127" s="4">
        <v>3112604</v>
      </c>
      <c r="F2127" s="11" t="s">
        <v>4424</v>
      </c>
      <c r="G2127" s="4" t="s">
        <v>243</v>
      </c>
      <c r="H2127" s="4"/>
    </row>
    <row r="2128" s="1" customFormat="1" spans="1:8">
      <c r="A2128" s="4" t="s">
        <v>205</v>
      </c>
      <c r="B2128" s="4" t="s">
        <v>79</v>
      </c>
      <c r="C2128" s="4" t="s">
        <v>82</v>
      </c>
      <c r="D2128" s="11" t="s">
        <v>4425</v>
      </c>
      <c r="E2128" s="4">
        <v>3114550</v>
      </c>
      <c r="F2128" s="11" t="s">
        <v>4426</v>
      </c>
      <c r="G2128" s="4" t="s">
        <v>243</v>
      </c>
      <c r="H2128" s="4"/>
    </row>
    <row r="2129" s="1" customFormat="1" spans="1:8">
      <c r="A2129" s="4" t="s">
        <v>205</v>
      </c>
      <c r="B2129" s="4" t="s">
        <v>79</v>
      </c>
      <c r="C2129" s="4" t="s">
        <v>82</v>
      </c>
      <c r="D2129" s="11" t="s">
        <v>4427</v>
      </c>
      <c r="E2129" s="4">
        <v>3115474</v>
      </c>
      <c r="F2129" s="11" t="s">
        <v>4428</v>
      </c>
      <c r="G2129" s="4" t="s">
        <v>243</v>
      </c>
      <c r="H2129" s="4"/>
    </row>
    <row r="2130" s="1" customFormat="1" spans="1:8">
      <c r="A2130" s="4" t="s">
        <v>205</v>
      </c>
      <c r="B2130" s="4" t="s">
        <v>79</v>
      </c>
      <c r="C2130" s="4" t="s">
        <v>82</v>
      </c>
      <c r="D2130" s="11" t="s">
        <v>4429</v>
      </c>
      <c r="E2130" s="4">
        <v>3115805</v>
      </c>
      <c r="F2130" s="11" t="s">
        <v>4430</v>
      </c>
      <c r="G2130" s="4" t="s">
        <v>243</v>
      </c>
      <c r="H2130" s="4"/>
    </row>
    <row r="2131" s="1" customFormat="1" spans="1:8">
      <c r="A2131" s="4" t="s">
        <v>205</v>
      </c>
      <c r="B2131" s="4" t="s">
        <v>79</v>
      </c>
      <c r="C2131" s="4" t="s">
        <v>82</v>
      </c>
      <c r="D2131" s="11" t="s">
        <v>4431</v>
      </c>
      <c r="E2131" s="4">
        <v>3116159</v>
      </c>
      <c r="F2131" s="11" t="s">
        <v>4432</v>
      </c>
      <c r="G2131" s="4" t="s">
        <v>243</v>
      </c>
      <c r="H2131" s="4"/>
    </row>
    <row r="2132" s="1" customFormat="1" spans="1:8">
      <c r="A2132" s="4" t="s">
        <v>205</v>
      </c>
      <c r="B2132" s="4" t="s">
        <v>79</v>
      </c>
      <c r="C2132" s="4" t="s">
        <v>82</v>
      </c>
      <c r="D2132" s="11" t="s">
        <v>4433</v>
      </c>
      <c r="E2132" s="4">
        <v>3116902</v>
      </c>
      <c r="F2132" s="11" t="s">
        <v>4434</v>
      </c>
      <c r="G2132" s="4" t="s">
        <v>243</v>
      </c>
      <c r="H2132" s="4"/>
    </row>
    <row r="2133" s="1" customFormat="1" spans="1:8">
      <c r="A2133" s="4" t="s">
        <v>205</v>
      </c>
      <c r="B2133" s="4" t="s">
        <v>79</v>
      </c>
      <c r="C2133" s="4" t="s">
        <v>82</v>
      </c>
      <c r="D2133" s="11" t="s">
        <v>4435</v>
      </c>
      <c r="E2133" s="4">
        <v>3117009</v>
      </c>
      <c r="F2133" s="11" t="s">
        <v>4436</v>
      </c>
      <c r="G2133" s="4" t="s">
        <v>243</v>
      </c>
      <c r="H2133" s="4"/>
    </row>
    <row r="2134" s="1" customFormat="1" spans="1:8">
      <c r="A2134" s="4" t="s">
        <v>205</v>
      </c>
      <c r="B2134" s="4" t="s">
        <v>79</v>
      </c>
      <c r="C2134" s="4" t="s">
        <v>82</v>
      </c>
      <c r="D2134" s="11" t="s">
        <v>4437</v>
      </c>
      <c r="E2134" s="4">
        <v>3119500</v>
      </c>
      <c r="F2134" s="11" t="s">
        <v>4438</v>
      </c>
      <c r="G2134" s="4" t="s">
        <v>243</v>
      </c>
      <c r="H2134" s="4"/>
    </row>
    <row r="2135" s="1" customFormat="1" spans="1:8">
      <c r="A2135" s="4" t="s">
        <v>205</v>
      </c>
      <c r="B2135" s="4" t="s">
        <v>79</v>
      </c>
      <c r="C2135" s="4" t="s">
        <v>82</v>
      </c>
      <c r="D2135" s="11" t="s">
        <v>4439</v>
      </c>
      <c r="E2135" s="4">
        <v>3120870</v>
      </c>
      <c r="F2135" s="11" t="s">
        <v>4440</v>
      </c>
      <c r="G2135" s="4" t="s">
        <v>243</v>
      </c>
      <c r="H2135" s="4"/>
    </row>
    <row r="2136" s="1" customFormat="1" spans="1:8">
      <c r="A2136" s="4" t="s">
        <v>205</v>
      </c>
      <c r="B2136" s="4" t="s">
        <v>79</v>
      </c>
      <c r="C2136" s="4" t="s">
        <v>82</v>
      </c>
      <c r="D2136" s="11" t="s">
        <v>4441</v>
      </c>
      <c r="E2136" s="4">
        <v>3117836</v>
      </c>
      <c r="F2136" s="11" t="s">
        <v>4442</v>
      </c>
      <c r="G2136" s="4" t="s">
        <v>243</v>
      </c>
      <c r="H2136" s="4"/>
    </row>
    <row r="2137" s="1" customFormat="1" spans="1:8">
      <c r="A2137" s="4" t="s">
        <v>205</v>
      </c>
      <c r="B2137" s="4" t="s">
        <v>79</v>
      </c>
      <c r="C2137" s="4" t="s">
        <v>82</v>
      </c>
      <c r="D2137" s="11" t="s">
        <v>4443</v>
      </c>
      <c r="E2137" s="4">
        <v>3122355</v>
      </c>
      <c r="F2137" s="11" t="s">
        <v>4444</v>
      </c>
      <c r="G2137" s="4" t="s">
        <v>243</v>
      </c>
      <c r="H2137" s="4"/>
    </row>
    <row r="2138" s="1" customFormat="1" spans="1:8">
      <c r="A2138" s="4" t="s">
        <v>205</v>
      </c>
      <c r="B2138" s="4" t="s">
        <v>79</v>
      </c>
      <c r="C2138" s="4" t="s">
        <v>82</v>
      </c>
      <c r="D2138" s="11" t="s">
        <v>4445</v>
      </c>
      <c r="E2138" s="4">
        <v>3122454</v>
      </c>
      <c r="F2138" s="11" t="s">
        <v>4446</v>
      </c>
      <c r="G2138" s="4" t="s">
        <v>243</v>
      </c>
      <c r="H2138" s="4"/>
    </row>
    <row r="2139" s="1" customFormat="1" spans="1:8">
      <c r="A2139" s="4" t="s">
        <v>205</v>
      </c>
      <c r="B2139" s="4" t="s">
        <v>79</v>
      </c>
      <c r="C2139" s="4" t="s">
        <v>82</v>
      </c>
      <c r="D2139" s="11" t="s">
        <v>4447</v>
      </c>
      <c r="E2139" s="4">
        <v>3124302</v>
      </c>
      <c r="F2139" s="11" t="s">
        <v>4448</v>
      </c>
      <c r="G2139" s="4" t="s">
        <v>243</v>
      </c>
      <c r="H2139" s="4"/>
    </row>
    <row r="2140" s="1" customFormat="1" spans="1:8">
      <c r="A2140" s="4" t="s">
        <v>205</v>
      </c>
      <c r="B2140" s="4" t="s">
        <v>79</v>
      </c>
      <c r="C2140" s="4" t="s">
        <v>82</v>
      </c>
      <c r="D2140" s="11" t="s">
        <v>4449</v>
      </c>
      <c r="E2140" s="4">
        <v>3125606</v>
      </c>
      <c r="F2140" s="11" t="s">
        <v>4450</v>
      </c>
      <c r="G2140" s="4" t="s">
        <v>243</v>
      </c>
      <c r="H2140" s="4"/>
    </row>
    <row r="2141" s="1" customFormat="1" spans="1:8">
      <c r="A2141" s="4" t="s">
        <v>205</v>
      </c>
      <c r="B2141" s="4" t="s">
        <v>79</v>
      </c>
      <c r="C2141" s="4" t="s">
        <v>82</v>
      </c>
      <c r="D2141" s="11" t="s">
        <v>2400</v>
      </c>
      <c r="E2141" s="4">
        <v>3126208</v>
      </c>
      <c r="F2141" s="11" t="s">
        <v>4451</v>
      </c>
      <c r="G2141" s="4" t="s">
        <v>243</v>
      </c>
      <c r="H2141" s="4"/>
    </row>
    <row r="2142" s="1" customFormat="1" spans="1:8">
      <c r="A2142" s="4" t="s">
        <v>205</v>
      </c>
      <c r="B2142" s="4" t="s">
        <v>79</v>
      </c>
      <c r="C2142" s="4" t="s">
        <v>82</v>
      </c>
      <c r="D2142" s="11" t="s">
        <v>4452</v>
      </c>
      <c r="E2142" s="4">
        <v>3126505</v>
      </c>
      <c r="F2142" s="11" t="s">
        <v>4453</v>
      </c>
      <c r="G2142" s="4" t="s">
        <v>243</v>
      </c>
      <c r="H2142" s="4"/>
    </row>
    <row r="2143" s="1" customFormat="1" spans="1:8">
      <c r="A2143" s="4" t="s">
        <v>205</v>
      </c>
      <c r="B2143" s="4" t="s">
        <v>79</v>
      </c>
      <c r="C2143" s="4" t="s">
        <v>82</v>
      </c>
      <c r="D2143" s="11" t="s">
        <v>4454</v>
      </c>
      <c r="E2143" s="4">
        <v>3127008</v>
      </c>
      <c r="F2143" s="11" t="s">
        <v>4455</v>
      </c>
      <c r="G2143" s="4" t="s">
        <v>243</v>
      </c>
      <c r="H2143" s="4"/>
    </row>
    <row r="2144" s="1" customFormat="1" spans="1:8">
      <c r="A2144" s="4" t="s">
        <v>205</v>
      </c>
      <c r="B2144" s="4" t="s">
        <v>79</v>
      </c>
      <c r="C2144" s="4" t="s">
        <v>82</v>
      </c>
      <c r="D2144" s="11" t="s">
        <v>4456</v>
      </c>
      <c r="E2144" s="4">
        <v>3127057</v>
      </c>
      <c r="F2144" s="11" t="s">
        <v>4457</v>
      </c>
      <c r="G2144" s="4" t="s">
        <v>243</v>
      </c>
      <c r="H2144" s="4"/>
    </row>
    <row r="2145" s="1" customFormat="1" spans="1:8">
      <c r="A2145" s="4" t="s">
        <v>205</v>
      </c>
      <c r="B2145" s="4" t="s">
        <v>79</v>
      </c>
      <c r="C2145" s="4" t="s">
        <v>82</v>
      </c>
      <c r="D2145" s="11" t="s">
        <v>4458</v>
      </c>
      <c r="E2145" s="4">
        <v>3127073</v>
      </c>
      <c r="F2145" s="11" t="s">
        <v>4459</v>
      </c>
      <c r="G2145" s="4" t="s">
        <v>243</v>
      </c>
      <c r="H2145" s="4"/>
    </row>
    <row r="2146" s="1" customFormat="1" spans="1:8">
      <c r="A2146" s="4" t="s">
        <v>205</v>
      </c>
      <c r="B2146" s="4" t="s">
        <v>79</v>
      </c>
      <c r="C2146" s="4" t="s">
        <v>82</v>
      </c>
      <c r="D2146" s="11" t="s">
        <v>4460</v>
      </c>
      <c r="E2146" s="4">
        <v>3127107</v>
      </c>
      <c r="F2146" s="11" t="s">
        <v>4461</v>
      </c>
      <c r="G2146" s="4" t="s">
        <v>243</v>
      </c>
      <c r="H2146" s="4"/>
    </row>
    <row r="2147" s="1" customFormat="1" spans="1:8">
      <c r="A2147" s="4" t="s">
        <v>205</v>
      </c>
      <c r="B2147" s="4" t="s">
        <v>79</v>
      </c>
      <c r="C2147" s="4" t="s">
        <v>82</v>
      </c>
      <c r="D2147" s="11" t="s">
        <v>4462</v>
      </c>
      <c r="E2147" s="4">
        <v>3127339</v>
      </c>
      <c r="F2147" s="11" t="s">
        <v>4463</v>
      </c>
      <c r="G2147" s="4" t="s">
        <v>243</v>
      </c>
      <c r="H2147" s="4"/>
    </row>
    <row r="2148" s="1" customFormat="1" spans="1:8">
      <c r="A2148" s="4" t="s">
        <v>205</v>
      </c>
      <c r="B2148" s="4" t="s">
        <v>79</v>
      </c>
      <c r="C2148" s="4" t="s">
        <v>82</v>
      </c>
      <c r="D2148" s="11" t="s">
        <v>4464</v>
      </c>
      <c r="E2148" s="4">
        <v>3129103</v>
      </c>
      <c r="F2148" s="11" t="s">
        <v>4465</v>
      </c>
      <c r="G2148" s="4" t="s">
        <v>243</v>
      </c>
      <c r="H2148" s="4"/>
    </row>
    <row r="2149" s="1" customFormat="1" spans="1:8">
      <c r="A2149" s="4" t="s">
        <v>205</v>
      </c>
      <c r="B2149" s="4" t="s">
        <v>79</v>
      </c>
      <c r="C2149" s="4" t="s">
        <v>82</v>
      </c>
      <c r="D2149" s="11" t="s">
        <v>4466</v>
      </c>
      <c r="E2149" s="4">
        <v>3130051</v>
      </c>
      <c r="F2149" s="11" t="s">
        <v>4467</v>
      </c>
      <c r="G2149" s="4" t="s">
        <v>243</v>
      </c>
      <c r="H2149" s="4"/>
    </row>
    <row r="2150" s="1" customFormat="1" spans="1:8">
      <c r="A2150" s="4" t="s">
        <v>205</v>
      </c>
      <c r="B2150" s="4" t="s">
        <v>79</v>
      </c>
      <c r="C2150" s="4" t="s">
        <v>82</v>
      </c>
      <c r="D2150" s="11" t="s">
        <v>4468</v>
      </c>
      <c r="E2150" s="4">
        <v>3130655</v>
      </c>
      <c r="F2150" s="11" t="s">
        <v>4469</v>
      </c>
      <c r="G2150" s="4" t="s">
        <v>243</v>
      </c>
      <c r="H2150" s="4"/>
    </row>
    <row r="2151" s="1" customFormat="1" spans="1:8">
      <c r="A2151" s="4" t="s">
        <v>205</v>
      </c>
      <c r="B2151" s="4" t="s">
        <v>79</v>
      </c>
      <c r="C2151" s="4" t="s">
        <v>82</v>
      </c>
      <c r="D2151" s="11" t="s">
        <v>4470</v>
      </c>
      <c r="E2151" s="4">
        <v>3131406</v>
      </c>
      <c r="F2151" s="11" t="s">
        <v>4471</v>
      </c>
      <c r="G2151" s="4" t="s">
        <v>243</v>
      </c>
      <c r="H2151" s="4"/>
    </row>
    <row r="2152" s="1" customFormat="1" spans="1:8">
      <c r="A2152" s="4" t="s">
        <v>205</v>
      </c>
      <c r="B2152" s="4" t="s">
        <v>79</v>
      </c>
      <c r="C2152" s="4" t="s">
        <v>82</v>
      </c>
      <c r="D2152" s="11" t="s">
        <v>4472</v>
      </c>
      <c r="E2152" s="4">
        <v>3132107</v>
      </c>
      <c r="F2152" s="11" t="s">
        <v>4473</v>
      </c>
      <c r="G2152" s="4" t="s">
        <v>243</v>
      </c>
      <c r="H2152" s="4"/>
    </row>
    <row r="2153" s="1" customFormat="1" spans="1:8">
      <c r="A2153" s="4" t="s">
        <v>205</v>
      </c>
      <c r="B2153" s="4" t="s">
        <v>79</v>
      </c>
      <c r="C2153" s="4" t="s">
        <v>82</v>
      </c>
      <c r="D2153" s="11" t="s">
        <v>4474</v>
      </c>
      <c r="E2153" s="4">
        <v>3133303</v>
      </c>
      <c r="F2153" s="11" t="s">
        <v>4475</v>
      </c>
      <c r="G2153" s="4" t="s">
        <v>243</v>
      </c>
      <c r="H2153" s="4"/>
    </row>
    <row r="2154" s="1" customFormat="1" spans="1:8">
      <c r="A2154" s="4" t="s">
        <v>205</v>
      </c>
      <c r="B2154" s="4" t="s">
        <v>79</v>
      </c>
      <c r="C2154" s="4" t="s">
        <v>82</v>
      </c>
      <c r="D2154" s="11" t="s">
        <v>4476</v>
      </c>
      <c r="E2154" s="4">
        <v>3133402</v>
      </c>
      <c r="F2154" s="11" t="s">
        <v>4477</v>
      </c>
      <c r="G2154" s="4" t="s">
        <v>243</v>
      </c>
      <c r="H2154" s="4"/>
    </row>
    <row r="2155" s="1" customFormat="1" spans="1:8">
      <c r="A2155" s="4" t="s">
        <v>205</v>
      </c>
      <c r="B2155" s="4" t="s">
        <v>79</v>
      </c>
      <c r="C2155" s="4" t="s">
        <v>82</v>
      </c>
      <c r="D2155" s="11" t="s">
        <v>4478</v>
      </c>
      <c r="E2155" s="4">
        <v>3134004</v>
      </c>
      <c r="F2155" s="11" t="s">
        <v>4479</v>
      </c>
      <c r="G2155" s="4" t="s">
        <v>243</v>
      </c>
      <c r="H2155" s="4"/>
    </row>
    <row r="2156" s="1" customFormat="1" spans="1:8">
      <c r="A2156" s="4" t="s">
        <v>205</v>
      </c>
      <c r="B2156" s="4" t="s">
        <v>79</v>
      </c>
      <c r="C2156" s="4" t="s">
        <v>82</v>
      </c>
      <c r="D2156" s="11" t="s">
        <v>4480</v>
      </c>
      <c r="E2156" s="4">
        <v>3134202</v>
      </c>
      <c r="F2156" s="11" t="s">
        <v>4481</v>
      </c>
      <c r="G2156" s="4" t="s">
        <v>243</v>
      </c>
      <c r="H2156" s="4"/>
    </row>
    <row r="2157" s="1" customFormat="1" spans="1:8">
      <c r="A2157" s="4" t="s">
        <v>205</v>
      </c>
      <c r="B2157" s="4" t="s">
        <v>79</v>
      </c>
      <c r="C2157" s="4" t="s">
        <v>82</v>
      </c>
      <c r="D2157" s="11" t="s">
        <v>4482</v>
      </c>
      <c r="E2157" s="4">
        <v>3134400</v>
      </c>
      <c r="F2157" s="11" t="s">
        <v>4483</v>
      </c>
      <c r="G2157" s="4" t="s">
        <v>243</v>
      </c>
      <c r="H2157" s="4"/>
    </row>
    <row r="2158" s="1" customFormat="1" spans="1:8">
      <c r="A2158" s="4" t="s">
        <v>205</v>
      </c>
      <c r="B2158" s="4" t="s">
        <v>79</v>
      </c>
      <c r="C2158" s="4" t="s">
        <v>82</v>
      </c>
      <c r="D2158" s="11" t="s">
        <v>4484</v>
      </c>
      <c r="E2158" s="4">
        <v>3134707</v>
      </c>
      <c r="F2158" s="11" t="s">
        <v>4485</v>
      </c>
      <c r="G2158" s="4" t="s">
        <v>243</v>
      </c>
      <c r="H2158" s="4"/>
    </row>
    <row r="2159" s="1" customFormat="1" spans="1:8">
      <c r="A2159" s="4" t="s">
        <v>205</v>
      </c>
      <c r="B2159" s="4" t="s">
        <v>79</v>
      </c>
      <c r="C2159" s="4" t="s">
        <v>82</v>
      </c>
      <c r="D2159" s="11" t="s">
        <v>4486</v>
      </c>
      <c r="E2159" s="4">
        <v>3135209</v>
      </c>
      <c r="F2159" s="11" t="s">
        <v>4487</v>
      </c>
      <c r="G2159" s="4" t="s">
        <v>243</v>
      </c>
      <c r="H2159" s="4"/>
    </row>
    <row r="2160" s="1" customFormat="1" spans="1:8">
      <c r="A2160" s="4" t="s">
        <v>205</v>
      </c>
      <c r="B2160" s="4" t="s">
        <v>79</v>
      </c>
      <c r="C2160" s="4" t="s">
        <v>82</v>
      </c>
      <c r="D2160" s="11" t="s">
        <v>4488</v>
      </c>
      <c r="E2160" s="4">
        <v>3135050</v>
      </c>
      <c r="F2160" s="11" t="s">
        <v>4489</v>
      </c>
      <c r="G2160" s="4" t="s">
        <v>243</v>
      </c>
      <c r="H2160" s="4"/>
    </row>
    <row r="2161" s="1" customFormat="1" spans="1:8">
      <c r="A2161" s="4" t="s">
        <v>205</v>
      </c>
      <c r="B2161" s="4" t="s">
        <v>79</v>
      </c>
      <c r="C2161" s="4" t="s">
        <v>82</v>
      </c>
      <c r="D2161" s="11" t="s">
        <v>4490</v>
      </c>
      <c r="E2161" s="4">
        <v>3135456</v>
      </c>
      <c r="F2161" s="11" t="s">
        <v>4491</v>
      </c>
      <c r="G2161" s="4" t="s">
        <v>243</v>
      </c>
      <c r="H2161" s="4"/>
    </row>
    <row r="2162" s="1" customFormat="1" spans="1:8">
      <c r="A2162" s="4" t="s">
        <v>205</v>
      </c>
      <c r="B2162" s="4" t="s">
        <v>79</v>
      </c>
      <c r="C2162" s="4" t="s">
        <v>82</v>
      </c>
      <c r="D2162" s="11" t="s">
        <v>4492</v>
      </c>
      <c r="E2162" s="4">
        <v>3135803</v>
      </c>
      <c r="F2162" s="11" t="s">
        <v>4493</v>
      </c>
      <c r="G2162" s="4" t="s">
        <v>243</v>
      </c>
      <c r="H2162" s="4"/>
    </row>
    <row r="2163" s="1" customFormat="1" spans="1:8">
      <c r="A2163" s="4" t="s">
        <v>205</v>
      </c>
      <c r="B2163" s="4" t="s">
        <v>79</v>
      </c>
      <c r="C2163" s="4" t="s">
        <v>82</v>
      </c>
      <c r="D2163" s="11" t="s">
        <v>4494</v>
      </c>
      <c r="E2163" s="4">
        <v>3136009</v>
      </c>
      <c r="F2163" s="11" t="s">
        <v>4495</v>
      </c>
      <c r="G2163" s="4" t="s">
        <v>243</v>
      </c>
      <c r="H2163" s="4"/>
    </row>
    <row r="2164" s="1" customFormat="1" spans="1:8">
      <c r="A2164" s="4" t="s">
        <v>205</v>
      </c>
      <c r="B2164" s="4" t="s">
        <v>79</v>
      </c>
      <c r="C2164" s="4" t="s">
        <v>82</v>
      </c>
      <c r="D2164" s="11" t="s">
        <v>4496</v>
      </c>
      <c r="E2164" s="4">
        <v>3136504</v>
      </c>
      <c r="F2164" s="11" t="s">
        <v>4497</v>
      </c>
      <c r="G2164" s="4" t="s">
        <v>243</v>
      </c>
      <c r="H2164" s="4"/>
    </row>
    <row r="2165" s="1" customFormat="1" spans="1:8">
      <c r="A2165" s="4" t="s">
        <v>205</v>
      </c>
      <c r="B2165" s="4" t="s">
        <v>79</v>
      </c>
      <c r="C2165" s="4" t="s">
        <v>82</v>
      </c>
      <c r="D2165" s="11" t="s">
        <v>4498</v>
      </c>
      <c r="E2165" s="4">
        <v>3136579</v>
      </c>
      <c r="F2165" s="11" t="s">
        <v>4499</v>
      </c>
      <c r="G2165" s="4" t="s">
        <v>243</v>
      </c>
      <c r="H2165" s="4"/>
    </row>
    <row r="2166" s="1" customFormat="1" spans="1:8">
      <c r="A2166" s="4" t="s">
        <v>205</v>
      </c>
      <c r="B2166" s="4" t="s">
        <v>79</v>
      </c>
      <c r="C2166" s="4" t="s">
        <v>82</v>
      </c>
      <c r="D2166" s="11" t="s">
        <v>4500</v>
      </c>
      <c r="E2166" s="4">
        <v>3136959</v>
      </c>
      <c r="F2166" s="11" t="s">
        <v>4501</v>
      </c>
      <c r="G2166" s="4" t="s">
        <v>243</v>
      </c>
      <c r="H2166" s="4"/>
    </row>
    <row r="2167" s="1" customFormat="1" spans="1:8">
      <c r="A2167" s="4" t="s">
        <v>205</v>
      </c>
      <c r="B2167" s="4" t="s">
        <v>79</v>
      </c>
      <c r="C2167" s="4" t="s">
        <v>82</v>
      </c>
      <c r="D2167" s="11" t="s">
        <v>4502</v>
      </c>
      <c r="E2167" s="4">
        <v>3138625</v>
      </c>
      <c r="F2167" s="11" t="s">
        <v>4503</v>
      </c>
      <c r="G2167" s="4" t="s">
        <v>243</v>
      </c>
      <c r="H2167" s="4"/>
    </row>
    <row r="2168" s="1" customFormat="1" spans="1:8">
      <c r="A2168" s="4" t="s">
        <v>205</v>
      </c>
      <c r="B2168" s="4" t="s">
        <v>79</v>
      </c>
      <c r="C2168" s="4" t="s">
        <v>82</v>
      </c>
      <c r="D2168" s="11" t="s">
        <v>4504</v>
      </c>
      <c r="E2168" s="4">
        <v>3138906</v>
      </c>
      <c r="F2168" s="11" t="s">
        <v>4505</v>
      </c>
      <c r="G2168" s="4" t="s">
        <v>243</v>
      </c>
      <c r="H2168" s="4"/>
    </row>
    <row r="2169" s="1" customFormat="1" spans="1:8">
      <c r="A2169" s="4" t="s">
        <v>205</v>
      </c>
      <c r="B2169" s="4" t="s">
        <v>79</v>
      </c>
      <c r="C2169" s="4" t="s">
        <v>82</v>
      </c>
      <c r="D2169" s="11" t="s">
        <v>4506</v>
      </c>
      <c r="E2169" s="4">
        <v>3139250</v>
      </c>
      <c r="F2169" s="11" t="s">
        <v>4507</v>
      </c>
      <c r="G2169" s="4" t="s">
        <v>243</v>
      </c>
      <c r="H2169" s="4"/>
    </row>
    <row r="2170" s="1" customFormat="1" spans="1:8">
      <c r="A2170" s="4" t="s">
        <v>205</v>
      </c>
      <c r="B2170" s="4" t="s">
        <v>79</v>
      </c>
      <c r="C2170" s="4" t="s">
        <v>82</v>
      </c>
      <c r="D2170" s="11" t="s">
        <v>4508</v>
      </c>
      <c r="E2170" s="4">
        <v>3139300</v>
      </c>
      <c r="F2170" s="11" t="s">
        <v>4509</v>
      </c>
      <c r="G2170" s="4" t="s">
        <v>243</v>
      </c>
      <c r="H2170" s="4"/>
    </row>
    <row r="2171" s="1" customFormat="1" spans="1:8">
      <c r="A2171" s="4" t="s">
        <v>205</v>
      </c>
      <c r="B2171" s="4" t="s">
        <v>79</v>
      </c>
      <c r="C2171" s="4" t="s">
        <v>82</v>
      </c>
      <c r="D2171" s="11" t="s">
        <v>4510</v>
      </c>
      <c r="E2171" s="4">
        <v>3140555</v>
      </c>
      <c r="F2171" s="11" t="s">
        <v>4511</v>
      </c>
      <c r="G2171" s="4" t="s">
        <v>243</v>
      </c>
      <c r="H2171" s="4"/>
    </row>
    <row r="2172" s="1" customFormat="1" spans="1:8">
      <c r="A2172" s="4" t="s">
        <v>205</v>
      </c>
      <c r="B2172" s="4" t="s">
        <v>79</v>
      </c>
      <c r="C2172" s="4" t="s">
        <v>82</v>
      </c>
      <c r="D2172" s="11" t="s">
        <v>4512</v>
      </c>
      <c r="E2172" s="4">
        <v>3140852</v>
      </c>
      <c r="F2172" s="11" t="s">
        <v>4513</v>
      </c>
      <c r="G2172" s="4" t="s">
        <v>243</v>
      </c>
      <c r="H2172" s="4"/>
    </row>
    <row r="2173" s="1" customFormat="1" spans="1:8">
      <c r="A2173" s="4" t="s">
        <v>205</v>
      </c>
      <c r="B2173" s="4" t="s">
        <v>79</v>
      </c>
      <c r="C2173" s="4" t="s">
        <v>82</v>
      </c>
      <c r="D2173" s="11" t="s">
        <v>4514</v>
      </c>
      <c r="E2173" s="4">
        <v>3141009</v>
      </c>
      <c r="F2173" s="11" t="s">
        <v>4515</v>
      </c>
      <c r="G2173" s="4" t="s">
        <v>243</v>
      </c>
      <c r="H2173" s="4"/>
    </row>
    <row r="2174" s="1" customFormat="1" spans="1:8">
      <c r="A2174" s="4" t="s">
        <v>205</v>
      </c>
      <c r="B2174" s="4" t="s">
        <v>79</v>
      </c>
      <c r="C2174" s="4" t="s">
        <v>82</v>
      </c>
      <c r="D2174" s="11" t="s">
        <v>4516</v>
      </c>
      <c r="E2174" s="4">
        <v>3141405</v>
      </c>
      <c r="F2174" s="11" t="s">
        <v>4517</v>
      </c>
      <c r="G2174" s="4" t="s">
        <v>243</v>
      </c>
      <c r="H2174" s="4"/>
    </row>
    <row r="2175" s="1" customFormat="1" spans="1:8">
      <c r="A2175" s="4" t="s">
        <v>205</v>
      </c>
      <c r="B2175" s="4" t="s">
        <v>79</v>
      </c>
      <c r="C2175" s="4" t="s">
        <v>82</v>
      </c>
      <c r="D2175" s="11" t="s">
        <v>4518</v>
      </c>
      <c r="E2175" s="4">
        <v>3142254</v>
      </c>
      <c r="F2175" s="11" t="s">
        <v>4519</v>
      </c>
      <c r="G2175" s="4" t="s">
        <v>243</v>
      </c>
      <c r="H2175" s="4"/>
    </row>
    <row r="2176" s="1" customFormat="1" spans="1:8">
      <c r="A2176" s="4" t="s">
        <v>205</v>
      </c>
      <c r="B2176" s="4" t="s">
        <v>79</v>
      </c>
      <c r="C2176" s="4" t="s">
        <v>82</v>
      </c>
      <c r="D2176" s="11" t="s">
        <v>4520</v>
      </c>
      <c r="E2176" s="4">
        <v>3142700</v>
      </c>
      <c r="F2176" s="11" t="s">
        <v>4521</v>
      </c>
      <c r="G2176" s="4" t="s">
        <v>243</v>
      </c>
      <c r="H2176" s="4"/>
    </row>
    <row r="2177" s="1" customFormat="1" spans="1:8">
      <c r="A2177" s="4" t="s">
        <v>205</v>
      </c>
      <c r="B2177" s="4" t="s">
        <v>79</v>
      </c>
      <c r="C2177" s="4" t="s">
        <v>82</v>
      </c>
      <c r="D2177" s="11" t="s">
        <v>4522</v>
      </c>
      <c r="E2177" s="4">
        <v>3142809</v>
      </c>
      <c r="F2177" s="11" t="s">
        <v>4523</v>
      </c>
      <c r="G2177" s="4" t="s">
        <v>243</v>
      </c>
      <c r="H2177" s="4"/>
    </row>
    <row r="2178" s="1" customFormat="1" spans="1:8">
      <c r="A2178" s="4" t="s">
        <v>205</v>
      </c>
      <c r="B2178" s="4" t="s">
        <v>79</v>
      </c>
      <c r="C2178" s="4" t="s">
        <v>82</v>
      </c>
      <c r="D2178" s="11" t="s">
        <v>4524</v>
      </c>
      <c r="E2178" s="4">
        <v>3142908</v>
      </c>
      <c r="F2178" s="11" t="s">
        <v>4525</v>
      </c>
      <c r="G2178" s="4" t="s">
        <v>243</v>
      </c>
      <c r="H2178" s="4"/>
    </row>
    <row r="2179" s="1" customFormat="1" spans="1:8">
      <c r="A2179" s="4" t="s">
        <v>205</v>
      </c>
      <c r="B2179" s="4" t="s">
        <v>79</v>
      </c>
      <c r="C2179" s="4" t="s">
        <v>82</v>
      </c>
      <c r="D2179" s="11" t="s">
        <v>4526</v>
      </c>
      <c r="E2179" s="4">
        <v>3143153</v>
      </c>
      <c r="F2179" s="11" t="s">
        <v>4527</v>
      </c>
      <c r="G2179" s="4" t="s">
        <v>243</v>
      </c>
      <c r="H2179" s="4"/>
    </row>
    <row r="2180" s="1" customFormat="1" spans="1:8">
      <c r="A2180" s="4" t="s">
        <v>205</v>
      </c>
      <c r="B2180" s="4" t="s">
        <v>79</v>
      </c>
      <c r="C2180" s="4" t="s">
        <v>82</v>
      </c>
      <c r="D2180" s="11" t="s">
        <v>4528</v>
      </c>
      <c r="E2180" s="4">
        <v>3143450</v>
      </c>
      <c r="F2180" s="11" t="s">
        <v>4529</v>
      </c>
      <c r="G2180" s="4" t="s">
        <v>243</v>
      </c>
      <c r="H2180" s="4"/>
    </row>
    <row r="2181" s="1" customFormat="1" spans="1:8">
      <c r="A2181" s="4" t="s">
        <v>205</v>
      </c>
      <c r="B2181" s="4" t="s">
        <v>79</v>
      </c>
      <c r="C2181" s="4" t="s">
        <v>82</v>
      </c>
      <c r="D2181" s="11" t="s">
        <v>4530</v>
      </c>
      <c r="E2181" s="4">
        <v>3144300</v>
      </c>
      <c r="F2181" s="11" t="s">
        <v>4531</v>
      </c>
      <c r="G2181" s="4" t="s">
        <v>243</v>
      </c>
      <c r="H2181" s="4"/>
    </row>
    <row r="2182" s="1" customFormat="1" spans="1:8">
      <c r="A2182" s="4" t="s">
        <v>205</v>
      </c>
      <c r="B2182" s="4" t="s">
        <v>79</v>
      </c>
      <c r="C2182" s="4" t="s">
        <v>82</v>
      </c>
      <c r="D2182" s="11" t="s">
        <v>4532</v>
      </c>
      <c r="E2182" s="4">
        <v>3144656</v>
      </c>
      <c r="F2182" s="11" t="s">
        <v>4533</v>
      </c>
      <c r="G2182" s="4" t="s">
        <v>243</v>
      </c>
      <c r="H2182" s="4"/>
    </row>
    <row r="2183" s="1" customFormat="1" spans="1:8">
      <c r="A2183" s="4" t="s">
        <v>205</v>
      </c>
      <c r="B2183" s="4" t="s">
        <v>79</v>
      </c>
      <c r="C2183" s="4" t="s">
        <v>82</v>
      </c>
      <c r="D2183" s="11" t="s">
        <v>4534</v>
      </c>
      <c r="E2183" s="4">
        <v>3145372</v>
      </c>
      <c r="F2183" s="11" t="s">
        <v>4535</v>
      </c>
      <c r="G2183" s="4" t="s">
        <v>243</v>
      </c>
      <c r="H2183" s="4"/>
    </row>
    <row r="2184" s="1" customFormat="1" spans="1:8">
      <c r="A2184" s="4" t="s">
        <v>205</v>
      </c>
      <c r="B2184" s="4" t="s">
        <v>79</v>
      </c>
      <c r="C2184" s="4" t="s">
        <v>82</v>
      </c>
      <c r="D2184" s="11" t="s">
        <v>4536</v>
      </c>
      <c r="E2184" s="4">
        <v>3146255</v>
      </c>
      <c r="F2184" s="11" t="s">
        <v>4537</v>
      </c>
      <c r="G2184" s="4" t="s">
        <v>243</v>
      </c>
      <c r="H2184" s="4"/>
    </row>
    <row r="2185" s="1" customFormat="1" spans="1:8">
      <c r="A2185" s="4" t="s">
        <v>205</v>
      </c>
      <c r="B2185" s="4" t="s">
        <v>79</v>
      </c>
      <c r="C2185" s="4" t="s">
        <v>82</v>
      </c>
      <c r="D2185" s="11" t="s">
        <v>4538</v>
      </c>
      <c r="E2185" s="4">
        <v>3146552</v>
      </c>
      <c r="F2185" s="11" t="s">
        <v>4539</v>
      </c>
      <c r="G2185" s="4" t="s">
        <v>243</v>
      </c>
      <c r="H2185" s="4"/>
    </row>
    <row r="2186" s="1" customFormat="1" spans="1:8">
      <c r="A2186" s="4" t="s">
        <v>205</v>
      </c>
      <c r="B2186" s="4" t="s">
        <v>79</v>
      </c>
      <c r="C2186" s="4" t="s">
        <v>82</v>
      </c>
      <c r="D2186" s="11" t="s">
        <v>4540</v>
      </c>
      <c r="E2186" s="4">
        <v>3146750</v>
      </c>
      <c r="F2186" s="11" t="s">
        <v>4541</v>
      </c>
      <c r="G2186" s="4" t="s">
        <v>243</v>
      </c>
      <c r="H2186" s="4"/>
    </row>
    <row r="2187" s="1" customFormat="1" spans="1:8">
      <c r="A2187" s="4" t="s">
        <v>205</v>
      </c>
      <c r="B2187" s="4" t="s">
        <v>79</v>
      </c>
      <c r="C2187" s="4" t="s">
        <v>82</v>
      </c>
      <c r="D2187" s="11" t="s">
        <v>4542</v>
      </c>
      <c r="E2187" s="4">
        <v>3148707</v>
      </c>
      <c r="F2187" s="11" t="s">
        <v>4543</v>
      </c>
      <c r="G2187" s="4" t="s">
        <v>243</v>
      </c>
      <c r="H2187" s="4"/>
    </row>
    <row r="2188" s="1" customFormat="1" spans="1:8">
      <c r="A2188" s="4" t="s">
        <v>205</v>
      </c>
      <c r="B2188" s="4" t="s">
        <v>79</v>
      </c>
      <c r="C2188" s="4" t="s">
        <v>82</v>
      </c>
      <c r="D2188" s="11" t="s">
        <v>4544</v>
      </c>
      <c r="E2188" s="4">
        <v>3150570</v>
      </c>
      <c r="F2188" s="11" t="s">
        <v>4545</v>
      </c>
      <c r="G2188" s="4" t="s">
        <v>243</v>
      </c>
      <c r="H2188" s="4"/>
    </row>
    <row r="2189" s="1" customFormat="1" spans="1:8">
      <c r="A2189" s="4" t="s">
        <v>205</v>
      </c>
      <c r="B2189" s="4" t="s">
        <v>79</v>
      </c>
      <c r="C2189" s="4" t="s">
        <v>82</v>
      </c>
      <c r="D2189" s="11" t="s">
        <v>4546</v>
      </c>
      <c r="E2189" s="4">
        <v>3152204</v>
      </c>
      <c r="F2189" s="11" t="s">
        <v>4547</v>
      </c>
      <c r="G2189" s="4" t="s">
        <v>243</v>
      </c>
      <c r="H2189" s="4"/>
    </row>
    <row r="2190" s="1" customFormat="1" spans="1:8">
      <c r="A2190" s="4" t="s">
        <v>205</v>
      </c>
      <c r="B2190" s="4" t="s">
        <v>79</v>
      </c>
      <c r="C2190" s="4" t="s">
        <v>82</v>
      </c>
      <c r="D2190" s="11" t="s">
        <v>4548</v>
      </c>
      <c r="E2190" s="4">
        <v>3152808</v>
      </c>
      <c r="F2190" s="11" t="s">
        <v>4549</v>
      </c>
      <c r="G2190" s="4" t="s">
        <v>243</v>
      </c>
      <c r="H2190" s="4"/>
    </row>
    <row r="2191" s="1" customFormat="1" spans="1:8">
      <c r="A2191" s="4" t="s">
        <v>205</v>
      </c>
      <c r="B2191" s="4" t="s">
        <v>79</v>
      </c>
      <c r="C2191" s="4" t="s">
        <v>82</v>
      </c>
      <c r="D2191" s="11" t="s">
        <v>4550</v>
      </c>
      <c r="E2191" s="4">
        <v>3154457</v>
      </c>
      <c r="F2191" s="11" t="s">
        <v>4551</v>
      </c>
      <c r="G2191" s="4" t="s">
        <v>243</v>
      </c>
      <c r="H2191" s="4"/>
    </row>
    <row r="2192" s="1" customFormat="1" spans="1:8">
      <c r="A2192" s="4" t="s">
        <v>205</v>
      </c>
      <c r="B2192" s="4" t="s">
        <v>79</v>
      </c>
      <c r="C2192" s="4" t="s">
        <v>82</v>
      </c>
      <c r="D2192" s="11" t="s">
        <v>4552</v>
      </c>
      <c r="E2192" s="4">
        <v>3155108</v>
      </c>
      <c r="F2192" s="11" t="s">
        <v>4553</v>
      </c>
      <c r="G2192" s="4" t="s">
        <v>243</v>
      </c>
      <c r="H2192" s="4"/>
    </row>
    <row r="2193" s="1" customFormat="1" spans="1:8">
      <c r="A2193" s="4" t="s">
        <v>205</v>
      </c>
      <c r="B2193" s="4" t="s">
        <v>79</v>
      </c>
      <c r="C2193" s="4" t="s">
        <v>82</v>
      </c>
      <c r="D2193" s="11" t="s">
        <v>4554</v>
      </c>
      <c r="E2193" s="4">
        <v>3155603</v>
      </c>
      <c r="F2193" s="11" t="s">
        <v>4555</v>
      </c>
      <c r="G2193" s="4" t="s">
        <v>243</v>
      </c>
      <c r="H2193" s="4"/>
    </row>
    <row r="2194" s="1" customFormat="1" spans="1:8">
      <c r="A2194" s="4" t="s">
        <v>205</v>
      </c>
      <c r="B2194" s="4" t="s">
        <v>79</v>
      </c>
      <c r="C2194" s="4" t="s">
        <v>82</v>
      </c>
      <c r="D2194" s="11" t="s">
        <v>4556</v>
      </c>
      <c r="E2194" s="4">
        <v>3156502</v>
      </c>
      <c r="F2194" s="11" t="s">
        <v>4557</v>
      </c>
      <c r="G2194" s="4" t="s">
        <v>243</v>
      </c>
      <c r="H2194" s="4"/>
    </row>
    <row r="2195" s="1" customFormat="1" spans="1:8">
      <c r="A2195" s="4" t="s">
        <v>205</v>
      </c>
      <c r="B2195" s="4" t="s">
        <v>79</v>
      </c>
      <c r="C2195" s="4" t="s">
        <v>82</v>
      </c>
      <c r="D2195" s="11" t="s">
        <v>4558</v>
      </c>
      <c r="E2195" s="4">
        <v>3156601</v>
      </c>
      <c r="F2195" s="11" t="s">
        <v>4559</v>
      </c>
      <c r="G2195" s="4" t="s">
        <v>243</v>
      </c>
      <c r="H2195" s="4"/>
    </row>
    <row r="2196" s="1" customFormat="1" spans="1:8">
      <c r="A2196" s="4" t="s">
        <v>205</v>
      </c>
      <c r="B2196" s="4" t="s">
        <v>79</v>
      </c>
      <c r="C2196" s="4" t="s">
        <v>82</v>
      </c>
      <c r="D2196" s="11" t="s">
        <v>4560</v>
      </c>
      <c r="E2196" s="4">
        <v>3157005</v>
      </c>
      <c r="F2196" s="11" t="s">
        <v>4561</v>
      </c>
      <c r="G2196" s="4" t="s">
        <v>243</v>
      </c>
      <c r="H2196" s="4"/>
    </row>
    <row r="2197" s="1" customFormat="1" spans="1:8">
      <c r="A2197" s="4" t="s">
        <v>205</v>
      </c>
      <c r="B2197" s="4" t="s">
        <v>79</v>
      </c>
      <c r="C2197" s="4" t="s">
        <v>82</v>
      </c>
      <c r="D2197" s="11" t="s">
        <v>4562</v>
      </c>
      <c r="E2197" s="4">
        <v>3157104</v>
      </c>
      <c r="F2197" s="11" t="s">
        <v>4563</v>
      </c>
      <c r="G2197" s="4" t="s">
        <v>243</v>
      </c>
      <c r="H2197" s="4"/>
    </row>
    <row r="2198" s="1" customFormat="1" spans="1:8">
      <c r="A2198" s="4" t="s">
        <v>205</v>
      </c>
      <c r="B2198" s="4" t="s">
        <v>79</v>
      </c>
      <c r="C2198" s="4" t="s">
        <v>82</v>
      </c>
      <c r="D2198" s="11" t="s">
        <v>4564</v>
      </c>
      <c r="E2198" s="4">
        <v>3157377</v>
      </c>
      <c r="F2198" s="11" t="s">
        <v>4565</v>
      </c>
      <c r="G2198" s="4" t="s">
        <v>243</v>
      </c>
      <c r="H2198" s="4"/>
    </row>
    <row r="2199" s="1" customFormat="1" spans="1:8">
      <c r="A2199" s="4" t="s">
        <v>205</v>
      </c>
      <c r="B2199" s="4" t="s">
        <v>79</v>
      </c>
      <c r="C2199" s="4" t="s">
        <v>82</v>
      </c>
      <c r="D2199" s="11" t="s">
        <v>4566</v>
      </c>
      <c r="E2199" s="4">
        <v>3157658</v>
      </c>
      <c r="F2199" s="11" t="s">
        <v>4567</v>
      </c>
      <c r="G2199" s="4" t="s">
        <v>243</v>
      </c>
      <c r="H2199" s="4"/>
    </row>
    <row r="2200" s="1" customFormat="1" spans="1:8">
      <c r="A2200" s="4" t="s">
        <v>205</v>
      </c>
      <c r="B2200" s="4" t="s">
        <v>79</v>
      </c>
      <c r="C2200" s="4" t="s">
        <v>82</v>
      </c>
      <c r="D2200" s="11" t="s">
        <v>4568</v>
      </c>
      <c r="E2200" s="4">
        <v>3158102</v>
      </c>
      <c r="F2200" s="11" t="s">
        <v>4569</v>
      </c>
      <c r="G2200" s="4" t="s">
        <v>243</v>
      </c>
      <c r="H2200" s="4"/>
    </row>
    <row r="2201" s="1" customFormat="1" spans="1:8">
      <c r="A2201" s="4" t="s">
        <v>205</v>
      </c>
      <c r="B2201" s="4" t="s">
        <v>79</v>
      </c>
      <c r="C2201" s="4" t="s">
        <v>82</v>
      </c>
      <c r="D2201" s="11" t="s">
        <v>4570</v>
      </c>
      <c r="E2201" s="4">
        <v>3159803</v>
      </c>
      <c r="F2201" s="11" t="s">
        <v>4571</v>
      </c>
      <c r="G2201" s="4" t="s">
        <v>243</v>
      </c>
      <c r="H2201" s="4"/>
    </row>
    <row r="2202" s="1" customFormat="1" spans="1:8">
      <c r="A2202" s="4" t="s">
        <v>205</v>
      </c>
      <c r="B2202" s="4" t="s">
        <v>79</v>
      </c>
      <c r="C2202" s="4" t="s">
        <v>82</v>
      </c>
      <c r="D2202" s="11" t="s">
        <v>4572</v>
      </c>
      <c r="E2202" s="4">
        <v>3160306</v>
      </c>
      <c r="F2202" s="11" t="s">
        <v>4573</v>
      </c>
      <c r="G2202" s="4" t="s">
        <v>243</v>
      </c>
      <c r="H2202" s="4"/>
    </row>
    <row r="2203" s="1" customFormat="1" spans="1:8">
      <c r="A2203" s="4" t="s">
        <v>205</v>
      </c>
      <c r="B2203" s="4" t="s">
        <v>79</v>
      </c>
      <c r="C2203" s="4" t="s">
        <v>82</v>
      </c>
      <c r="D2203" s="11" t="s">
        <v>4574</v>
      </c>
      <c r="E2203" s="4">
        <v>3160454</v>
      </c>
      <c r="F2203" s="11" t="s">
        <v>4575</v>
      </c>
      <c r="G2203" s="4" t="s">
        <v>243</v>
      </c>
      <c r="H2203" s="4"/>
    </row>
    <row r="2204" s="1" customFormat="1" spans="1:8">
      <c r="A2204" s="4" t="s">
        <v>205</v>
      </c>
      <c r="B2204" s="4" t="s">
        <v>79</v>
      </c>
      <c r="C2204" s="4" t="s">
        <v>82</v>
      </c>
      <c r="D2204" s="11" t="s">
        <v>4576</v>
      </c>
      <c r="E2204" s="4">
        <v>3166709</v>
      </c>
      <c r="F2204" s="11" t="s">
        <v>4577</v>
      </c>
      <c r="G2204" s="4" t="s">
        <v>243</v>
      </c>
      <c r="H2204" s="4"/>
    </row>
    <row r="2205" s="1" customFormat="1" spans="1:8">
      <c r="A2205" s="4" t="s">
        <v>205</v>
      </c>
      <c r="B2205" s="4" t="s">
        <v>79</v>
      </c>
      <c r="C2205" s="4" t="s">
        <v>82</v>
      </c>
      <c r="D2205" s="11" t="s">
        <v>4578</v>
      </c>
      <c r="E2205" s="4">
        <v>3166956</v>
      </c>
      <c r="F2205" s="11" t="s">
        <v>4579</v>
      </c>
      <c r="G2205" s="4" t="s">
        <v>243</v>
      </c>
      <c r="H2205" s="4"/>
    </row>
    <row r="2206" s="1" customFormat="1" spans="1:8">
      <c r="A2206" s="4" t="s">
        <v>205</v>
      </c>
      <c r="B2206" s="4" t="s">
        <v>79</v>
      </c>
      <c r="C2206" s="4" t="s">
        <v>82</v>
      </c>
      <c r="D2206" s="11" t="s">
        <v>4580</v>
      </c>
      <c r="E2206" s="4">
        <v>3161304</v>
      </c>
      <c r="F2206" s="11" t="s">
        <v>4581</v>
      </c>
      <c r="G2206" s="4" t="s">
        <v>243</v>
      </c>
      <c r="H2206" s="4"/>
    </row>
    <row r="2207" s="1" customFormat="1" spans="1:8">
      <c r="A2207" s="4" t="s">
        <v>205</v>
      </c>
      <c r="B2207" s="4" t="s">
        <v>79</v>
      </c>
      <c r="C2207" s="4" t="s">
        <v>82</v>
      </c>
      <c r="D2207" s="11" t="s">
        <v>4582</v>
      </c>
      <c r="E2207" s="4">
        <v>3162450</v>
      </c>
      <c r="F2207" s="11" t="s">
        <v>4583</v>
      </c>
      <c r="G2207" s="4" t="s">
        <v>243</v>
      </c>
      <c r="H2207" s="4"/>
    </row>
    <row r="2208" s="1" customFormat="1" spans="1:8">
      <c r="A2208" s="4" t="s">
        <v>205</v>
      </c>
      <c r="B2208" s="4" t="s">
        <v>79</v>
      </c>
      <c r="C2208" s="4" t="s">
        <v>82</v>
      </c>
      <c r="D2208" s="11" t="s">
        <v>2899</v>
      </c>
      <c r="E2208" s="4">
        <v>3162708</v>
      </c>
      <c r="F2208" s="11" t="s">
        <v>4584</v>
      </c>
      <c r="G2208" s="4" t="s">
        <v>243</v>
      </c>
      <c r="H2208" s="4"/>
    </row>
    <row r="2209" s="1" customFormat="1" spans="1:8">
      <c r="A2209" s="4" t="s">
        <v>205</v>
      </c>
      <c r="B2209" s="4" t="s">
        <v>79</v>
      </c>
      <c r="C2209" s="4" t="s">
        <v>82</v>
      </c>
      <c r="D2209" s="11" t="s">
        <v>4585</v>
      </c>
      <c r="E2209" s="4">
        <v>3168002</v>
      </c>
      <c r="F2209" s="11" t="s">
        <v>4586</v>
      </c>
      <c r="G2209" s="4" t="s">
        <v>243</v>
      </c>
      <c r="H2209" s="4"/>
    </row>
    <row r="2210" s="1" customFormat="1" spans="1:8">
      <c r="A2210" s="4" t="s">
        <v>205</v>
      </c>
      <c r="B2210" s="4" t="s">
        <v>79</v>
      </c>
      <c r="C2210" s="4" t="s">
        <v>82</v>
      </c>
      <c r="D2210" s="11" t="s">
        <v>4587</v>
      </c>
      <c r="E2210" s="4">
        <v>3169604</v>
      </c>
      <c r="F2210" s="11" t="s">
        <v>4588</v>
      </c>
      <c r="G2210" s="4" t="s">
        <v>243</v>
      </c>
      <c r="H2210" s="4"/>
    </row>
    <row r="2211" s="1" customFormat="1" spans="1:8">
      <c r="A2211" s="4" t="s">
        <v>205</v>
      </c>
      <c r="B2211" s="4" t="s">
        <v>79</v>
      </c>
      <c r="C2211" s="4" t="s">
        <v>82</v>
      </c>
      <c r="D2211" s="11" t="s">
        <v>4589</v>
      </c>
      <c r="E2211" s="4">
        <v>3170305</v>
      </c>
      <c r="F2211" s="11" t="s">
        <v>4590</v>
      </c>
      <c r="G2211" s="4" t="s">
        <v>243</v>
      </c>
      <c r="H2211" s="4"/>
    </row>
    <row r="2212" s="1" customFormat="1" spans="1:8">
      <c r="A2212" s="4" t="s">
        <v>205</v>
      </c>
      <c r="B2212" s="4" t="s">
        <v>79</v>
      </c>
      <c r="C2212" s="4" t="s">
        <v>82</v>
      </c>
      <c r="D2212" s="11" t="s">
        <v>4591</v>
      </c>
      <c r="E2212" s="4">
        <v>3170404</v>
      </c>
      <c r="F2212" s="11" t="s">
        <v>4592</v>
      </c>
      <c r="G2212" s="4" t="s">
        <v>243</v>
      </c>
      <c r="H2212" s="4"/>
    </row>
    <row r="2213" s="1" customFormat="1" spans="1:8">
      <c r="A2213" s="4" t="s">
        <v>205</v>
      </c>
      <c r="B2213" s="4" t="s">
        <v>79</v>
      </c>
      <c r="C2213" s="4" t="s">
        <v>82</v>
      </c>
      <c r="D2213" s="11" t="s">
        <v>4593</v>
      </c>
      <c r="E2213" s="4">
        <v>3170438</v>
      </c>
      <c r="F2213" s="11" t="s">
        <v>4594</v>
      </c>
      <c r="G2213" s="4" t="s">
        <v>243</v>
      </c>
      <c r="H2213" s="4"/>
    </row>
    <row r="2214" s="1" customFormat="1" spans="1:8">
      <c r="A2214" s="4" t="s">
        <v>205</v>
      </c>
      <c r="B2214" s="4" t="s">
        <v>79</v>
      </c>
      <c r="C2214" s="4" t="s">
        <v>82</v>
      </c>
      <c r="D2214" s="11" t="s">
        <v>4595</v>
      </c>
      <c r="E2214" s="4">
        <v>3170479</v>
      </c>
      <c r="F2214" s="11" t="s">
        <v>4596</v>
      </c>
      <c r="G2214" s="4" t="s">
        <v>243</v>
      </c>
      <c r="H2214" s="4"/>
    </row>
    <row r="2215" s="1" customFormat="1" spans="1:8">
      <c r="A2215" s="4" t="s">
        <v>205</v>
      </c>
      <c r="B2215" s="4" t="s">
        <v>79</v>
      </c>
      <c r="C2215" s="4" t="s">
        <v>82</v>
      </c>
      <c r="D2215" s="11" t="s">
        <v>4597</v>
      </c>
      <c r="E2215" s="4">
        <v>3170529</v>
      </c>
      <c r="F2215" s="11" t="s">
        <v>4598</v>
      </c>
      <c r="G2215" s="4" t="s">
        <v>243</v>
      </c>
      <c r="H2215" s="4"/>
    </row>
    <row r="2216" s="1" customFormat="1" spans="1:8">
      <c r="A2216" s="4" t="s">
        <v>205</v>
      </c>
      <c r="B2216" s="4" t="s">
        <v>79</v>
      </c>
      <c r="C2216" s="4" t="s">
        <v>82</v>
      </c>
      <c r="D2216" s="11" t="s">
        <v>4599</v>
      </c>
      <c r="E2216" s="4">
        <v>3170651</v>
      </c>
      <c r="F2216" s="11" t="s">
        <v>4600</v>
      </c>
      <c r="G2216" s="4" t="s">
        <v>243</v>
      </c>
      <c r="H2216" s="4"/>
    </row>
    <row r="2217" s="1" customFormat="1" spans="1:8">
      <c r="A2217" s="4" t="s">
        <v>205</v>
      </c>
      <c r="B2217" s="4" t="s">
        <v>79</v>
      </c>
      <c r="C2217" s="4" t="s">
        <v>82</v>
      </c>
      <c r="D2217" s="11" t="s">
        <v>4601</v>
      </c>
      <c r="E2217" s="4">
        <v>3171030</v>
      </c>
      <c r="F2217" s="11" t="s">
        <v>4602</v>
      </c>
      <c r="G2217" s="4" t="s">
        <v>243</v>
      </c>
      <c r="H2217" s="4"/>
    </row>
    <row r="2218" s="1" customFormat="1" spans="1:8">
      <c r="A2218" s="4" t="s">
        <v>205</v>
      </c>
      <c r="B2218" s="4" t="s">
        <v>79</v>
      </c>
      <c r="C2218" s="4" t="s">
        <v>82</v>
      </c>
      <c r="D2218" s="11" t="s">
        <v>4603</v>
      </c>
      <c r="E2218" s="4">
        <v>3100906</v>
      </c>
      <c r="F2218" s="11" t="s">
        <v>4604</v>
      </c>
      <c r="G2218" s="4" t="s">
        <v>243</v>
      </c>
      <c r="H2218" s="4"/>
    </row>
    <row r="2219" s="1" customFormat="1" spans="1:8">
      <c r="A2219" s="4" t="s">
        <v>205</v>
      </c>
      <c r="B2219" s="4" t="s">
        <v>79</v>
      </c>
      <c r="C2219" s="4" t="s">
        <v>82</v>
      </c>
      <c r="D2219" s="11" t="s">
        <v>4605</v>
      </c>
      <c r="E2219" s="4">
        <v>3101003</v>
      </c>
      <c r="F2219" s="11" t="s">
        <v>4606</v>
      </c>
      <c r="G2219" s="4" t="s">
        <v>243</v>
      </c>
      <c r="H2219" s="4"/>
    </row>
    <row r="2220" s="1" customFormat="1" spans="1:8">
      <c r="A2220" s="4" t="s">
        <v>205</v>
      </c>
      <c r="B2220" s="4" t="s">
        <v>93</v>
      </c>
      <c r="C2220" s="4" t="s">
        <v>99</v>
      </c>
      <c r="D2220" s="4" t="s">
        <v>100</v>
      </c>
      <c r="E2220" s="4">
        <v>5002704</v>
      </c>
      <c r="F2220" s="4" t="s">
        <v>4607</v>
      </c>
      <c r="G2220" s="4" t="s">
        <v>207</v>
      </c>
      <c r="H2220" s="13"/>
    </row>
    <row r="2221" s="1" customFormat="1" spans="1:8">
      <c r="A2221" s="4" t="s">
        <v>205</v>
      </c>
      <c r="B2221" s="4" t="s">
        <v>93</v>
      </c>
      <c r="C2221" s="4" t="s">
        <v>99</v>
      </c>
      <c r="D2221" s="4" t="s">
        <v>4608</v>
      </c>
      <c r="E2221" s="4">
        <v>5008008</v>
      </c>
      <c r="F2221" s="4" t="s">
        <v>4609</v>
      </c>
      <c r="G2221" s="4" t="s">
        <v>210</v>
      </c>
      <c r="H2221" s="13"/>
    </row>
    <row r="2222" s="1" customFormat="1" spans="1:8">
      <c r="A2222" s="4" t="s">
        <v>205</v>
      </c>
      <c r="B2222" s="4" t="s">
        <v>93</v>
      </c>
      <c r="C2222" s="4" t="s">
        <v>99</v>
      </c>
      <c r="D2222" s="4" t="s">
        <v>4610</v>
      </c>
      <c r="E2222" s="4">
        <v>5000708</v>
      </c>
      <c r="F2222" s="4" t="s">
        <v>4611</v>
      </c>
      <c r="G2222" s="4" t="s">
        <v>215</v>
      </c>
      <c r="H2222" s="13"/>
    </row>
    <row r="2223" s="1" customFormat="1" spans="1:8">
      <c r="A2223" s="4" t="s">
        <v>205</v>
      </c>
      <c r="B2223" s="4" t="s">
        <v>93</v>
      </c>
      <c r="C2223" s="4" t="s">
        <v>99</v>
      </c>
      <c r="D2223" s="4" t="s">
        <v>4612</v>
      </c>
      <c r="E2223" s="4">
        <v>5001102</v>
      </c>
      <c r="F2223" s="4" t="s">
        <v>4613</v>
      </c>
      <c r="G2223" s="4" t="s">
        <v>215</v>
      </c>
      <c r="H2223" s="13"/>
    </row>
    <row r="2224" s="1" customFormat="1" spans="1:8">
      <c r="A2224" s="4" t="s">
        <v>205</v>
      </c>
      <c r="B2224" s="4" t="s">
        <v>93</v>
      </c>
      <c r="C2224" s="4" t="s">
        <v>99</v>
      </c>
      <c r="D2224" s="4" t="s">
        <v>4614</v>
      </c>
      <c r="E2224" s="4">
        <v>5001508</v>
      </c>
      <c r="F2224" s="4" t="s">
        <v>4615</v>
      </c>
      <c r="G2224" s="4" t="s">
        <v>215</v>
      </c>
      <c r="H2224" s="13"/>
    </row>
    <row r="2225" s="1" customFormat="1" spans="1:8">
      <c r="A2225" s="4" t="s">
        <v>205</v>
      </c>
      <c r="B2225" s="4" t="s">
        <v>93</v>
      </c>
      <c r="C2225" s="4" t="s">
        <v>99</v>
      </c>
      <c r="D2225" s="4" t="s">
        <v>4616</v>
      </c>
      <c r="E2225" s="4">
        <v>5002605</v>
      </c>
      <c r="F2225" s="4" t="s">
        <v>4617</v>
      </c>
      <c r="G2225" s="4" t="s">
        <v>215</v>
      </c>
      <c r="H2225" s="13"/>
    </row>
    <row r="2226" s="1" customFormat="1" spans="1:8">
      <c r="A2226" s="4" t="s">
        <v>205</v>
      </c>
      <c r="B2226" s="4" t="s">
        <v>93</v>
      </c>
      <c r="C2226" s="4" t="s">
        <v>99</v>
      </c>
      <c r="D2226" s="4" t="s">
        <v>4618</v>
      </c>
      <c r="E2226" s="4">
        <v>5003108</v>
      </c>
      <c r="F2226" s="4" t="s">
        <v>4619</v>
      </c>
      <c r="G2226" s="4" t="s">
        <v>215</v>
      </c>
      <c r="H2226" s="13"/>
    </row>
    <row r="2227" s="1" customFormat="1" spans="1:8">
      <c r="A2227" s="4" t="s">
        <v>205</v>
      </c>
      <c r="B2227" s="4" t="s">
        <v>93</v>
      </c>
      <c r="C2227" s="4" t="s">
        <v>99</v>
      </c>
      <c r="D2227" s="4" t="s">
        <v>4620</v>
      </c>
      <c r="E2227" s="4">
        <v>5003488</v>
      </c>
      <c r="F2227" s="4" t="s">
        <v>4621</v>
      </c>
      <c r="G2227" s="4" t="s">
        <v>215</v>
      </c>
      <c r="H2227" s="13"/>
    </row>
    <row r="2228" s="1" customFormat="1" spans="1:8">
      <c r="A2228" s="4" t="s">
        <v>205</v>
      </c>
      <c r="B2228" s="4" t="s">
        <v>93</v>
      </c>
      <c r="C2228" s="4" t="s">
        <v>99</v>
      </c>
      <c r="D2228" s="4" t="s">
        <v>4622</v>
      </c>
      <c r="E2228" s="4">
        <v>5004908</v>
      </c>
      <c r="F2228" s="4" t="s">
        <v>4623</v>
      </c>
      <c r="G2228" s="4" t="s">
        <v>215</v>
      </c>
      <c r="H2228" s="13"/>
    </row>
    <row r="2229" s="1" customFormat="1" spans="1:8">
      <c r="A2229" s="4" t="s">
        <v>205</v>
      </c>
      <c r="B2229" s="4" t="s">
        <v>93</v>
      </c>
      <c r="C2229" s="4" t="s">
        <v>99</v>
      </c>
      <c r="D2229" s="4" t="s">
        <v>4624</v>
      </c>
      <c r="E2229" s="4">
        <v>5006002</v>
      </c>
      <c r="F2229" s="4" t="s">
        <v>4625</v>
      </c>
      <c r="G2229" s="4" t="s">
        <v>215</v>
      </c>
      <c r="H2229" s="13"/>
    </row>
    <row r="2230" s="1" customFormat="1" spans="1:8">
      <c r="A2230" s="4" t="s">
        <v>205</v>
      </c>
      <c r="B2230" s="4" t="s">
        <v>93</v>
      </c>
      <c r="C2230" s="4" t="s">
        <v>99</v>
      </c>
      <c r="D2230" s="4" t="s">
        <v>4626</v>
      </c>
      <c r="E2230" s="4">
        <v>5007109</v>
      </c>
      <c r="F2230" s="4" t="s">
        <v>4627</v>
      </c>
      <c r="G2230" s="4" t="s">
        <v>215</v>
      </c>
      <c r="H2230" s="13"/>
    </row>
    <row r="2231" s="1" customFormat="1" spans="1:8">
      <c r="A2231" s="4" t="s">
        <v>205</v>
      </c>
      <c r="B2231" s="4" t="s">
        <v>93</v>
      </c>
      <c r="C2231" s="4" t="s">
        <v>99</v>
      </c>
      <c r="D2231" s="4" t="s">
        <v>4628</v>
      </c>
      <c r="E2231" s="4">
        <v>5007307</v>
      </c>
      <c r="F2231" s="4" t="s">
        <v>4629</v>
      </c>
      <c r="G2231" s="4" t="s">
        <v>215</v>
      </c>
      <c r="H2231" s="13"/>
    </row>
    <row r="2232" s="1" customFormat="1" spans="1:8">
      <c r="A2232" s="4" t="s">
        <v>205</v>
      </c>
      <c r="B2232" s="4" t="s">
        <v>93</v>
      </c>
      <c r="C2232" s="4" t="s">
        <v>99</v>
      </c>
      <c r="D2232" s="4" t="s">
        <v>4630</v>
      </c>
      <c r="E2232" s="4">
        <v>5007505</v>
      </c>
      <c r="F2232" s="4" t="s">
        <v>4631</v>
      </c>
      <c r="G2232" s="4" t="s">
        <v>215</v>
      </c>
      <c r="H2232" s="13"/>
    </row>
    <row r="2233" s="1" customFormat="1" spans="1:8">
      <c r="A2233" s="4" t="s">
        <v>205</v>
      </c>
      <c r="B2233" s="4" t="s">
        <v>93</v>
      </c>
      <c r="C2233" s="4" t="s">
        <v>99</v>
      </c>
      <c r="D2233" s="4" t="s">
        <v>4632</v>
      </c>
      <c r="E2233" s="4">
        <v>5007901</v>
      </c>
      <c r="F2233" s="4" t="s">
        <v>4633</v>
      </c>
      <c r="G2233" s="4" t="s">
        <v>215</v>
      </c>
      <c r="H2233" s="13"/>
    </row>
    <row r="2234" s="1" customFormat="1" spans="1:8">
      <c r="A2234" s="4" t="s">
        <v>205</v>
      </c>
      <c r="B2234" s="4" t="s">
        <v>93</v>
      </c>
      <c r="C2234" s="4" t="s">
        <v>99</v>
      </c>
      <c r="D2234" s="4" t="s">
        <v>4634</v>
      </c>
      <c r="E2234" s="4">
        <v>5007695</v>
      </c>
      <c r="F2234" s="4" t="s">
        <v>4635</v>
      </c>
      <c r="G2234" s="4" t="s">
        <v>215</v>
      </c>
      <c r="H2234" s="13"/>
    </row>
    <row r="2235" s="1" customFormat="1" spans="1:8">
      <c r="A2235" s="4" t="s">
        <v>205</v>
      </c>
      <c r="B2235" s="4" t="s">
        <v>93</v>
      </c>
      <c r="C2235" s="4" t="s">
        <v>99</v>
      </c>
      <c r="D2235" s="4" t="s">
        <v>4636</v>
      </c>
      <c r="E2235" s="4">
        <v>5000856</v>
      </c>
      <c r="F2235" s="4" t="s">
        <v>4637</v>
      </c>
      <c r="G2235" s="4" t="s">
        <v>232</v>
      </c>
      <c r="H2235" s="13"/>
    </row>
    <row r="2236" s="1" customFormat="1" spans="1:8">
      <c r="A2236" s="4" t="s">
        <v>205</v>
      </c>
      <c r="B2236" s="4" t="s">
        <v>93</v>
      </c>
      <c r="C2236" s="4" t="s">
        <v>99</v>
      </c>
      <c r="D2236" s="4" t="s">
        <v>4638</v>
      </c>
      <c r="E2236" s="4">
        <v>5000906</v>
      </c>
      <c r="F2236" s="4" t="s">
        <v>4639</v>
      </c>
      <c r="G2236" s="4" t="s">
        <v>232</v>
      </c>
      <c r="H2236" s="13"/>
    </row>
    <row r="2237" s="1" customFormat="1" spans="1:8">
      <c r="A2237" s="4" t="s">
        <v>205</v>
      </c>
      <c r="B2237" s="4" t="s">
        <v>93</v>
      </c>
      <c r="C2237" s="4" t="s">
        <v>99</v>
      </c>
      <c r="D2237" s="4" t="s">
        <v>4640</v>
      </c>
      <c r="E2237" s="4">
        <v>5002001</v>
      </c>
      <c r="F2237" s="4" t="s">
        <v>4641</v>
      </c>
      <c r="G2237" s="4" t="s">
        <v>232</v>
      </c>
      <c r="H2237" s="13"/>
    </row>
    <row r="2238" s="1" customFormat="1" spans="1:8">
      <c r="A2238" s="4" t="s">
        <v>205</v>
      </c>
      <c r="B2238" s="4" t="s">
        <v>93</v>
      </c>
      <c r="C2238" s="4" t="s">
        <v>99</v>
      </c>
      <c r="D2238" s="4" t="s">
        <v>4642</v>
      </c>
      <c r="E2238" s="4">
        <v>5002159</v>
      </c>
      <c r="F2238" s="4" t="s">
        <v>4643</v>
      </c>
      <c r="G2238" s="4" t="s">
        <v>232</v>
      </c>
      <c r="H2238" s="13"/>
    </row>
    <row r="2239" s="1" customFormat="1" spans="1:8">
      <c r="A2239" s="4" t="s">
        <v>205</v>
      </c>
      <c r="B2239" s="4" t="s">
        <v>93</v>
      </c>
      <c r="C2239" s="4" t="s">
        <v>99</v>
      </c>
      <c r="D2239" s="4" t="s">
        <v>949</v>
      </c>
      <c r="E2239" s="4">
        <v>5002209</v>
      </c>
      <c r="F2239" s="4" t="s">
        <v>4644</v>
      </c>
      <c r="G2239" s="4" t="s">
        <v>232</v>
      </c>
      <c r="H2239" s="13"/>
    </row>
    <row r="2240" s="1" customFormat="1" spans="1:8">
      <c r="A2240" s="4" t="s">
        <v>205</v>
      </c>
      <c r="B2240" s="4" t="s">
        <v>93</v>
      </c>
      <c r="C2240" s="4" t="s">
        <v>99</v>
      </c>
      <c r="D2240" s="4" t="s">
        <v>4645</v>
      </c>
      <c r="E2240" s="4">
        <v>5002407</v>
      </c>
      <c r="F2240" s="4" t="s">
        <v>4646</v>
      </c>
      <c r="G2240" s="4" t="s">
        <v>232</v>
      </c>
      <c r="H2240" s="13"/>
    </row>
    <row r="2241" s="1" customFormat="1" spans="1:8">
      <c r="A2241" s="4" t="s">
        <v>205</v>
      </c>
      <c r="B2241" s="4" t="s">
        <v>93</v>
      </c>
      <c r="C2241" s="4" t="s">
        <v>99</v>
      </c>
      <c r="D2241" s="4" t="s">
        <v>4647</v>
      </c>
      <c r="E2241" s="4">
        <v>5003306</v>
      </c>
      <c r="F2241" s="4" t="s">
        <v>4648</v>
      </c>
      <c r="G2241" s="4" t="s">
        <v>232</v>
      </c>
      <c r="H2241" s="13"/>
    </row>
    <row r="2242" s="1" customFormat="1" spans="1:8">
      <c r="A2242" s="4" t="s">
        <v>205</v>
      </c>
      <c r="B2242" s="4" t="s">
        <v>93</v>
      </c>
      <c r="C2242" s="4" t="s">
        <v>99</v>
      </c>
      <c r="D2242" s="4" t="s">
        <v>4649</v>
      </c>
      <c r="E2242" s="4">
        <v>5003454</v>
      </c>
      <c r="F2242" s="4" t="s">
        <v>4650</v>
      </c>
      <c r="G2242" s="4" t="s">
        <v>232</v>
      </c>
      <c r="H2242" s="13"/>
    </row>
    <row r="2243" s="1" customFormat="1" spans="1:8">
      <c r="A2243" s="4" t="s">
        <v>205</v>
      </c>
      <c r="B2243" s="4" t="s">
        <v>93</v>
      </c>
      <c r="C2243" s="4" t="s">
        <v>99</v>
      </c>
      <c r="D2243" s="4" t="s">
        <v>4651</v>
      </c>
      <c r="E2243" s="4">
        <v>5003504</v>
      </c>
      <c r="F2243" s="4" t="s">
        <v>4652</v>
      </c>
      <c r="G2243" s="4" t="s">
        <v>232</v>
      </c>
      <c r="H2243" s="13"/>
    </row>
    <row r="2244" s="1" customFormat="1" spans="1:8">
      <c r="A2244" s="4" t="s">
        <v>205</v>
      </c>
      <c r="B2244" s="4" t="s">
        <v>93</v>
      </c>
      <c r="C2244" s="4" t="s">
        <v>99</v>
      </c>
      <c r="D2244" s="4" t="s">
        <v>4653</v>
      </c>
      <c r="E2244" s="4">
        <v>5003702</v>
      </c>
      <c r="F2244" s="4" t="s">
        <v>4654</v>
      </c>
      <c r="G2244" s="4" t="s">
        <v>232</v>
      </c>
      <c r="H2244" s="13"/>
    </row>
    <row r="2245" s="1" customFormat="1" spans="1:8">
      <c r="A2245" s="4" t="s">
        <v>205</v>
      </c>
      <c r="B2245" s="4" t="s">
        <v>93</v>
      </c>
      <c r="C2245" s="4" t="s">
        <v>99</v>
      </c>
      <c r="D2245" s="4" t="s">
        <v>4655</v>
      </c>
      <c r="E2245" s="4">
        <v>5003900</v>
      </c>
      <c r="F2245" s="4" t="s">
        <v>4656</v>
      </c>
      <c r="G2245" s="4" t="s">
        <v>232</v>
      </c>
      <c r="H2245" s="13"/>
    </row>
    <row r="2246" s="1" customFormat="1" spans="1:8">
      <c r="A2246" s="4" t="s">
        <v>205</v>
      </c>
      <c r="B2246" s="4" t="s">
        <v>93</v>
      </c>
      <c r="C2246" s="4" t="s">
        <v>99</v>
      </c>
      <c r="D2246" s="4" t="s">
        <v>4657</v>
      </c>
      <c r="E2246" s="4">
        <v>5003801</v>
      </c>
      <c r="F2246" s="4" t="s">
        <v>4658</v>
      </c>
      <c r="G2246" s="4" t="s">
        <v>232</v>
      </c>
      <c r="H2246" s="13"/>
    </row>
    <row r="2247" s="1" customFormat="1" spans="1:8">
      <c r="A2247" s="4" t="s">
        <v>205</v>
      </c>
      <c r="B2247" s="4" t="s">
        <v>93</v>
      </c>
      <c r="C2247" s="4" t="s">
        <v>99</v>
      </c>
      <c r="D2247" s="4" t="s">
        <v>4659</v>
      </c>
      <c r="E2247" s="4">
        <v>5004007</v>
      </c>
      <c r="F2247" s="4" t="s">
        <v>4660</v>
      </c>
      <c r="G2247" s="4" t="s">
        <v>232</v>
      </c>
      <c r="H2247" s="13"/>
    </row>
    <row r="2248" s="1" customFormat="1" spans="1:8">
      <c r="A2248" s="4" t="s">
        <v>205</v>
      </c>
      <c r="B2248" s="4" t="s">
        <v>93</v>
      </c>
      <c r="C2248" s="4" t="s">
        <v>99</v>
      </c>
      <c r="D2248" s="4" t="s">
        <v>4661</v>
      </c>
      <c r="E2248" s="4">
        <v>5004106</v>
      </c>
      <c r="F2248" s="4" t="s">
        <v>4662</v>
      </c>
      <c r="G2248" s="4" t="s">
        <v>232</v>
      </c>
      <c r="H2248" s="13"/>
    </row>
    <row r="2249" s="1" customFormat="1" spans="1:8">
      <c r="A2249" s="4" t="s">
        <v>205</v>
      </c>
      <c r="B2249" s="4" t="s">
        <v>93</v>
      </c>
      <c r="C2249" s="4" t="s">
        <v>99</v>
      </c>
      <c r="D2249" s="4" t="s">
        <v>4663</v>
      </c>
      <c r="E2249" s="4">
        <v>5004502</v>
      </c>
      <c r="F2249" s="4" t="s">
        <v>4664</v>
      </c>
      <c r="G2249" s="4" t="s">
        <v>232</v>
      </c>
      <c r="H2249" s="13"/>
    </row>
    <row r="2250" s="1" customFormat="1" spans="1:8">
      <c r="A2250" s="4" t="s">
        <v>205</v>
      </c>
      <c r="B2250" s="4" t="s">
        <v>93</v>
      </c>
      <c r="C2250" s="4" t="s">
        <v>99</v>
      </c>
      <c r="D2250" s="4" t="s">
        <v>4665</v>
      </c>
      <c r="E2250" s="4">
        <v>5004700</v>
      </c>
      <c r="F2250" s="4" t="s">
        <v>4666</v>
      </c>
      <c r="G2250" s="4" t="s">
        <v>232</v>
      </c>
      <c r="H2250" s="13"/>
    </row>
    <row r="2251" s="1" customFormat="1" spans="1:8">
      <c r="A2251" s="4" t="s">
        <v>205</v>
      </c>
      <c r="B2251" s="4" t="s">
        <v>93</v>
      </c>
      <c r="C2251" s="4" t="s">
        <v>99</v>
      </c>
      <c r="D2251" s="4" t="s">
        <v>1511</v>
      </c>
      <c r="E2251" s="4" t="s">
        <v>4667</v>
      </c>
      <c r="F2251" s="4" t="s">
        <v>4668</v>
      </c>
      <c r="G2251" s="4" t="s">
        <v>232</v>
      </c>
      <c r="H2251" s="13"/>
    </row>
    <row r="2252" s="1" customFormat="1" spans="1:8">
      <c r="A2252" s="4" t="s">
        <v>205</v>
      </c>
      <c r="B2252" s="4" t="s">
        <v>93</v>
      </c>
      <c r="C2252" s="4" t="s">
        <v>99</v>
      </c>
      <c r="D2252" s="4" t="s">
        <v>4669</v>
      </c>
      <c r="E2252" s="4">
        <v>5005103</v>
      </c>
      <c r="F2252" s="4" t="s">
        <v>4670</v>
      </c>
      <c r="G2252" s="4" t="s">
        <v>232</v>
      </c>
      <c r="H2252" s="13"/>
    </row>
    <row r="2253" s="1" customFormat="1" spans="1:8">
      <c r="A2253" s="4" t="s">
        <v>205</v>
      </c>
      <c r="B2253" s="4" t="s">
        <v>93</v>
      </c>
      <c r="C2253" s="4" t="s">
        <v>99</v>
      </c>
      <c r="D2253" s="4" t="s">
        <v>4671</v>
      </c>
      <c r="E2253" s="4">
        <v>5005152</v>
      </c>
      <c r="F2253" s="4" t="s">
        <v>4672</v>
      </c>
      <c r="G2253" s="4" t="s">
        <v>232</v>
      </c>
      <c r="H2253" s="13"/>
    </row>
    <row r="2254" s="1" customFormat="1" spans="1:8">
      <c r="A2254" s="4" t="s">
        <v>205</v>
      </c>
      <c r="B2254" s="4" t="s">
        <v>93</v>
      </c>
      <c r="C2254" s="4" t="s">
        <v>99</v>
      </c>
      <c r="D2254" s="4" t="s">
        <v>4673</v>
      </c>
      <c r="E2254" s="4">
        <v>5005251</v>
      </c>
      <c r="F2254" s="4" t="s">
        <v>4674</v>
      </c>
      <c r="G2254" s="4" t="s">
        <v>232</v>
      </c>
      <c r="H2254" s="13"/>
    </row>
    <row r="2255" s="1" customFormat="1" spans="1:8">
      <c r="A2255" s="4" t="s">
        <v>205</v>
      </c>
      <c r="B2255" s="4" t="s">
        <v>93</v>
      </c>
      <c r="C2255" s="4" t="s">
        <v>99</v>
      </c>
      <c r="D2255" s="4" t="s">
        <v>4675</v>
      </c>
      <c r="E2255" s="4">
        <v>5005400</v>
      </c>
      <c r="F2255" s="4" t="s">
        <v>4676</v>
      </c>
      <c r="G2255" s="4" t="s">
        <v>232</v>
      </c>
      <c r="H2255" s="13"/>
    </row>
    <row r="2256" s="1" customFormat="1" spans="1:8">
      <c r="A2256" s="4" t="s">
        <v>205</v>
      </c>
      <c r="B2256" s="4" t="s">
        <v>93</v>
      </c>
      <c r="C2256" s="4" t="s">
        <v>99</v>
      </c>
      <c r="D2256" s="4" t="s">
        <v>4677</v>
      </c>
      <c r="E2256" s="4">
        <v>5005608</v>
      </c>
      <c r="F2256" s="4" t="s">
        <v>4678</v>
      </c>
      <c r="G2256" s="4" t="s">
        <v>232</v>
      </c>
      <c r="H2256" s="13"/>
    </row>
    <row r="2257" s="1" customFormat="1" spans="1:8">
      <c r="A2257" s="4" t="s">
        <v>205</v>
      </c>
      <c r="B2257" s="4" t="s">
        <v>93</v>
      </c>
      <c r="C2257" s="4" t="s">
        <v>99</v>
      </c>
      <c r="D2257" s="4" t="s">
        <v>4679</v>
      </c>
      <c r="E2257" s="4">
        <v>5005806</v>
      </c>
      <c r="F2257" s="4" t="s">
        <v>4680</v>
      </c>
      <c r="G2257" s="4" t="s">
        <v>232</v>
      </c>
      <c r="H2257" s="13"/>
    </row>
    <row r="2258" s="1" customFormat="1" spans="1:8">
      <c r="A2258" s="4" t="s">
        <v>205</v>
      </c>
      <c r="B2258" s="4" t="s">
        <v>93</v>
      </c>
      <c r="C2258" s="4" t="s">
        <v>99</v>
      </c>
      <c r="D2258" s="4" t="s">
        <v>4681</v>
      </c>
      <c r="E2258" s="4">
        <v>5006200</v>
      </c>
      <c r="F2258" s="4" t="s">
        <v>4682</v>
      </c>
      <c r="G2258" s="4" t="s">
        <v>232</v>
      </c>
      <c r="H2258" s="13"/>
    </row>
    <row r="2259" s="1" customFormat="1" spans="1:8">
      <c r="A2259" s="4" t="s">
        <v>205</v>
      </c>
      <c r="B2259" s="4" t="s">
        <v>93</v>
      </c>
      <c r="C2259" s="4" t="s">
        <v>99</v>
      </c>
      <c r="D2259" s="4" t="s">
        <v>4683</v>
      </c>
      <c r="E2259" s="4">
        <v>5006275</v>
      </c>
      <c r="F2259" s="4" t="s">
        <v>4684</v>
      </c>
      <c r="G2259" s="4" t="s">
        <v>232</v>
      </c>
      <c r="H2259" s="13"/>
    </row>
    <row r="2260" s="1" customFormat="1" spans="1:8">
      <c r="A2260" s="4" t="s">
        <v>205</v>
      </c>
      <c r="B2260" s="4" t="s">
        <v>93</v>
      </c>
      <c r="C2260" s="4" t="s">
        <v>99</v>
      </c>
      <c r="D2260" s="4" t="s">
        <v>4685</v>
      </c>
      <c r="E2260" s="4">
        <v>5006408</v>
      </c>
      <c r="F2260" s="4" t="s">
        <v>4686</v>
      </c>
      <c r="G2260" s="4" t="s">
        <v>232</v>
      </c>
      <c r="H2260" s="13"/>
    </row>
    <row r="2261" s="1" customFormat="1" spans="1:8">
      <c r="A2261" s="4" t="s">
        <v>205</v>
      </c>
      <c r="B2261" s="4" t="s">
        <v>93</v>
      </c>
      <c r="C2261" s="4" t="s">
        <v>99</v>
      </c>
      <c r="D2261" s="4" t="s">
        <v>4687</v>
      </c>
      <c r="E2261" s="4">
        <v>5006606</v>
      </c>
      <c r="F2261" s="4" t="s">
        <v>4688</v>
      </c>
      <c r="G2261" s="4" t="s">
        <v>232</v>
      </c>
      <c r="H2261" s="13"/>
    </row>
    <row r="2262" s="1" customFormat="1" spans="1:8">
      <c r="A2262" s="4" t="s">
        <v>205</v>
      </c>
      <c r="B2262" s="4" t="s">
        <v>93</v>
      </c>
      <c r="C2262" s="4" t="s">
        <v>99</v>
      </c>
      <c r="D2262" s="4" t="s">
        <v>4689</v>
      </c>
      <c r="E2262" s="4">
        <v>5007208</v>
      </c>
      <c r="F2262" s="4" t="s">
        <v>4690</v>
      </c>
      <c r="G2262" s="4" t="s">
        <v>232</v>
      </c>
      <c r="H2262" s="13"/>
    </row>
    <row r="2263" s="1" customFormat="1" spans="1:8">
      <c r="A2263" s="4" t="s">
        <v>205</v>
      </c>
      <c r="B2263" s="4" t="s">
        <v>93</v>
      </c>
      <c r="C2263" s="4" t="s">
        <v>99</v>
      </c>
      <c r="D2263" s="4" t="s">
        <v>4691</v>
      </c>
      <c r="E2263" s="4">
        <v>5007406</v>
      </c>
      <c r="F2263" s="4" t="s">
        <v>4692</v>
      </c>
      <c r="G2263" s="4" t="s">
        <v>232</v>
      </c>
      <c r="H2263" s="13"/>
    </row>
    <row r="2264" s="1" customFormat="1" spans="1:8">
      <c r="A2264" s="4" t="s">
        <v>205</v>
      </c>
      <c r="B2264" s="4" t="s">
        <v>93</v>
      </c>
      <c r="C2264" s="4" t="s">
        <v>99</v>
      </c>
      <c r="D2264" s="4" t="s">
        <v>4693</v>
      </c>
      <c r="E2264" s="4">
        <v>5007554</v>
      </c>
      <c r="F2264" s="4" t="s">
        <v>4694</v>
      </c>
      <c r="G2264" s="4" t="s">
        <v>232</v>
      </c>
      <c r="H2264" s="13"/>
    </row>
    <row r="2265" s="1" customFormat="1" spans="1:8">
      <c r="A2265" s="4" t="s">
        <v>205</v>
      </c>
      <c r="B2265" s="4" t="s">
        <v>93</v>
      </c>
      <c r="C2265" s="4" t="s">
        <v>99</v>
      </c>
      <c r="D2265" s="4" t="s">
        <v>4695</v>
      </c>
      <c r="E2265" s="4">
        <v>5008404</v>
      </c>
      <c r="F2265" s="4" t="s">
        <v>4696</v>
      </c>
      <c r="G2265" s="4" t="s">
        <v>232</v>
      </c>
      <c r="H2265" s="13"/>
    </row>
    <row r="2266" s="1" customFormat="1" spans="1:8">
      <c r="A2266" s="4" t="s">
        <v>205</v>
      </c>
      <c r="B2266" s="4" t="s">
        <v>93</v>
      </c>
      <c r="C2266" s="4" t="s">
        <v>99</v>
      </c>
      <c r="D2266" s="4" t="s">
        <v>4697</v>
      </c>
      <c r="E2266" s="4">
        <v>5000203</v>
      </c>
      <c r="F2266" s="4" t="s">
        <v>4698</v>
      </c>
      <c r="G2266" s="4" t="s">
        <v>232</v>
      </c>
      <c r="H2266" s="13"/>
    </row>
    <row r="2267" s="1" customFormat="1" spans="1:8">
      <c r="A2267" s="4" t="s">
        <v>205</v>
      </c>
      <c r="B2267" s="4" t="s">
        <v>93</v>
      </c>
      <c r="C2267" s="4" t="s">
        <v>99</v>
      </c>
      <c r="D2267" s="4" t="s">
        <v>4699</v>
      </c>
      <c r="E2267" s="4">
        <v>5000252</v>
      </c>
      <c r="F2267" s="4" t="s">
        <v>4700</v>
      </c>
      <c r="G2267" s="4" t="s">
        <v>243</v>
      </c>
      <c r="H2267" s="13"/>
    </row>
    <row r="2268" s="1" customFormat="1" spans="1:8">
      <c r="A2268" s="4" t="s">
        <v>205</v>
      </c>
      <c r="B2268" s="4" t="s">
        <v>93</v>
      </c>
      <c r="C2268" s="4" t="s">
        <v>99</v>
      </c>
      <c r="D2268" s="4" t="s">
        <v>4701</v>
      </c>
      <c r="E2268" s="4">
        <v>5000609</v>
      </c>
      <c r="F2268" s="4" t="s">
        <v>4702</v>
      </c>
      <c r="G2268" s="4" t="s">
        <v>243</v>
      </c>
      <c r="H2268" s="13"/>
    </row>
    <row r="2269" s="1" customFormat="1" spans="1:8">
      <c r="A2269" s="4" t="s">
        <v>205</v>
      </c>
      <c r="B2269" s="4" t="s">
        <v>93</v>
      </c>
      <c r="C2269" s="4" t="s">
        <v>99</v>
      </c>
      <c r="D2269" s="4" t="s">
        <v>4703</v>
      </c>
      <c r="E2269" s="4">
        <v>5000807</v>
      </c>
      <c r="F2269" s="4" t="s">
        <v>4704</v>
      </c>
      <c r="G2269" s="4" t="s">
        <v>243</v>
      </c>
      <c r="H2269" s="13"/>
    </row>
    <row r="2270" s="1" customFormat="1" spans="1:8">
      <c r="A2270" s="4" t="s">
        <v>205</v>
      </c>
      <c r="B2270" s="4" t="s">
        <v>93</v>
      </c>
      <c r="C2270" s="4" t="s">
        <v>99</v>
      </c>
      <c r="D2270" s="4" t="s">
        <v>4705</v>
      </c>
      <c r="E2270" s="4">
        <v>5001003</v>
      </c>
      <c r="F2270" s="4" t="s">
        <v>4706</v>
      </c>
      <c r="G2270" s="4" t="s">
        <v>243</v>
      </c>
      <c r="H2270" s="13"/>
    </row>
    <row r="2271" s="1" customFormat="1" spans="1:8">
      <c r="A2271" s="4" t="s">
        <v>205</v>
      </c>
      <c r="B2271" s="4" t="s">
        <v>93</v>
      </c>
      <c r="C2271" s="4" t="s">
        <v>99</v>
      </c>
      <c r="D2271" s="4" t="s">
        <v>4707</v>
      </c>
      <c r="E2271" s="4">
        <v>5001243</v>
      </c>
      <c r="F2271" s="4" t="s">
        <v>4708</v>
      </c>
      <c r="G2271" s="4" t="s">
        <v>243</v>
      </c>
      <c r="H2271" s="13"/>
    </row>
    <row r="2272" s="1" customFormat="1" spans="1:8">
      <c r="A2272" s="4" t="s">
        <v>205</v>
      </c>
      <c r="B2272" s="4" t="s">
        <v>93</v>
      </c>
      <c r="C2272" s="4" t="s">
        <v>99</v>
      </c>
      <c r="D2272" s="4" t="s">
        <v>4709</v>
      </c>
      <c r="E2272" s="4">
        <v>5001904</v>
      </c>
      <c r="F2272" s="4" t="s">
        <v>4710</v>
      </c>
      <c r="G2272" s="4" t="s">
        <v>243</v>
      </c>
      <c r="H2272" s="13"/>
    </row>
    <row r="2273" s="1" customFormat="1" spans="1:8">
      <c r="A2273" s="4" t="s">
        <v>205</v>
      </c>
      <c r="B2273" s="4" t="s">
        <v>93</v>
      </c>
      <c r="C2273" s="4" t="s">
        <v>99</v>
      </c>
      <c r="D2273" s="4" t="s">
        <v>4711</v>
      </c>
      <c r="E2273" s="4">
        <v>5002100</v>
      </c>
      <c r="F2273" s="4" t="s">
        <v>4712</v>
      </c>
      <c r="G2273" s="4" t="s">
        <v>243</v>
      </c>
      <c r="H2273" s="13"/>
    </row>
    <row r="2274" s="1" customFormat="1" spans="1:8">
      <c r="A2274" s="4" t="s">
        <v>205</v>
      </c>
      <c r="B2274" s="4" t="s">
        <v>93</v>
      </c>
      <c r="C2274" s="4" t="s">
        <v>99</v>
      </c>
      <c r="D2274" s="4" t="s">
        <v>4713</v>
      </c>
      <c r="E2274" s="4">
        <v>5002308</v>
      </c>
      <c r="F2274" s="4" t="s">
        <v>4714</v>
      </c>
      <c r="G2274" s="4" t="s">
        <v>243</v>
      </c>
      <c r="H2274" s="13"/>
    </row>
    <row r="2275" s="1" customFormat="1" spans="1:8">
      <c r="A2275" s="4" t="s">
        <v>205</v>
      </c>
      <c r="B2275" s="4" t="s">
        <v>93</v>
      </c>
      <c r="C2275" s="4" t="s">
        <v>99</v>
      </c>
      <c r="D2275" s="4" t="s">
        <v>4715</v>
      </c>
      <c r="E2275" s="4">
        <v>5002803</v>
      </c>
      <c r="F2275" s="4" t="s">
        <v>4716</v>
      </c>
      <c r="G2275" s="4" t="s">
        <v>243</v>
      </c>
      <c r="H2275" s="13"/>
    </row>
    <row r="2276" s="1" customFormat="1" spans="1:8">
      <c r="A2276" s="4" t="s">
        <v>205</v>
      </c>
      <c r="B2276" s="4" t="s">
        <v>93</v>
      </c>
      <c r="C2276" s="4" t="s">
        <v>99</v>
      </c>
      <c r="D2276" s="4" t="s">
        <v>4717</v>
      </c>
      <c r="E2276" s="4">
        <v>5002902</v>
      </c>
      <c r="F2276" s="4" t="s">
        <v>4718</v>
      </c>
      <c r="G2276" s="4" t="s">
        <v>243</v>
      </c>
      <c r="H2276" s="13"/>
    </row>
    <row r="2277" s="1" customFormat="1" spans="1:8">
      <c r="A2277" s="4" t="s">
        <v>205</v>
      </c>
      <c r="B2277" s="4" t="s">
        <v>93</v>
      </c>
      <c r="C2277" s="4" t="s">
        <v>99</v>
      </c>
      <c r="D2277" s="4" t="s">
        <v>4719</v>
      </c>
      <c r="E2277" s="4">
        <v>5002951</v>
      </c>
      <c r="F2277" s="4" t="s">
        <v>4720</v>
      </c>
      <c r="G2277" s="4" t="s">
        <v>243</v>
      </c>
      <c r="H2277" s="13"/>
    </row>
    <row r="2278" s="1" customFormat="1" spans="1:8">
      <c r="A2278" s="4" t="s">
        <v>205</v>
      </c>
      <c r="B2278" s="4" t="s">
        <v>93</v>
      </c>
      <c r="C2278" s="4" t="s">
        <v>99</v>
      </c>
      <c r="D2278" s="4" t="s">
        <v>4721</v>
      </c>
      <c r="E2278" s="4">
        <v>5003157</v>
      </c>
      <c r="F2278" s="4" t="s">
        <v>4722</v>
      </c>
      <c r="G2278" s="4" t="s">
        <v>243</v>
      </c>
      <c r="H2278" s="13"/>
    </row>
    <row r="2279" s="1" customFormat="1" spans="1:8">
      <c r="A2279" s="4" t="s">
        <v>205</v>
      </c>
      <c r="B2279" s="4" t="s">
        <v>93</v>
      </c>
      <c r="C2279" s="4" t="s">
        <v>99</v>
      </c>
      <c r="D2279" s="4" t="s">
        <v>4723</v>
      </c>
      <c r="E2279" s="4">
        <v>5003207</v>
      </c>
      <c r="F2279" s="4" t="s">
        <v>4724</v>
      </c>
      <c r="G2279" s="4" t="s">
        <v>243</v>
      </c>
      <c r="H2279" s="13"/>
    </row>
    <row r="2280" s="1" customFormat="1" spans="1:8">
      <c r="A2280" s="4" t="s">
        <v>205</v>
      </c>
      <c r="B2280" s="4" t="s">
        <v>93</v>
      </c>
      <c r="C2280" s="4" t="s">
        <v>99</v>
      </c>
      <c r="D2280" s="4" t="s">
        <v>4725</v>
      </c>
      <c r="E2280" s="4">
        <v>5003256</v>
      </c>
      <c r="F2280" s="4" t="s">
        <v>4726</v>
      </c>
      <c r="G2280" s="4" t="s">
        <v>243</v>
      </c>
      <c r="H2280" s="13"/>
    </row>
    <row r="2281" s="1" customFormat="1" spans="1:8">
      <c r="A2281" s="4" t="s">
        <v>205</v>
      </c>
      <c r="B2281" s="4" t="s">
        <v>93</v>
      </c>
      <c r="C2281" s="4" t="s">
        <v>99</v>
      </c>
      <c r="D2281" s="4" t="s">
        <v>4727</v>
      </c>
      <c r="E2281" s="4">
        <v>5003751</v>
      </c>
      <c r="F2281" s="4" t="s">
        <v>4728</v>
      </c>
      <c r="G2281" s="4" t="s">
        <v>243</v>
      </c>
      <c r="H2281" s="13"/>
    </row>
    <row r="2282" s="1" customFormat="1" spans="1:8">
      <c r="A2282" s="4" t="s">
        <v>205</v>
      </c>
      <c r="B2282" s="4" t="s">
        <v>93</v>
      </c>
      <c r="C2282" s="4" t="s">
        <v>99</v>
      </c>
      <c r="D2282" s="4" t="s">
        <v>4729</v>
      </c>
      <c r="E2282" s="4">
        <v>5004304</v>
      </c>
      <c r="F2282" s="4" t="s">
        <v>4730</v>
      </c>
      <c r="G2282" s="4" t="s">
        <v>243</v>
      </c>
      <c r="H2282" s="13"/>
    </row>
    <row r="2283" s="1" customFormat="1" spans="1:8">
      <c r="A2283" s="4" t="s">
        <v>205</v>
      </c>
      <c r="B2283" s="4" t="s">
        <v>93</v>
      </c>
      <c r="C2283" s="4" t="s">
        <v>99</v>
      </c>
      <c r="D2283" s="4" t="s">
        <v>4731</v>
      </c>
      <c r="E2283" s="4">
        <v>5004403</v>
      </c>
      <c r="F2283" s="4" t="s">
        <v>4732</v>
      </c>
      <c r="G2283" s="4" t="s">
        <v>243</v>
      </c>
      <c r="H2283" s="13"/>
    </row>
    <row r="2284" s="1" customFormat="1" spans="1:8">
      <c r="A2284" s="4" t="s">
        <v>205</v>
      </c>
      <c r="B2284" s="4" t="s">
        <v>93</v>
      </c>
      <c r="C2284" s="4" t="s">
        <v>99</v>
      </c>
      <c r="D2284" s="4" t="s">
        <v>4733</v>
      </c>
      <c r="E2284" s="4">
        <v>5004601</v>
      </c>
      <c r="F2284" s="4" t="s">
        <v>4734</v>
      </c>
      <c r="G2284" s="4" t="s">
        <v>243</v>
      </c>
      <c r="H2284" s="13"/>
    </row>
    <row r="2285" s="1" customFormat="1" spans="1:8">
      <c r="A2285" s="4" t="s">
        <v>205</v>
      </c>
      <c r="B2285" s="4" t="s">
        <v>93</v>
      </c>
      <c r="C2285" s="4" t="s">
        <v>99</v>
      </c>
      <c r="D2285" s="4" t="s">
        <v>4735</v>
      </c>
      <c r="E2285" s="4">
        <v>5004809</v>
      </c>
      <c r="F2285" s="4" t="s">
        <v>4736</v>
      </c>
      <c r="G2285" s="4" t="s">
        <v>243</v>
      </c>
      <c r="H2285" s="13"/>
    </row>
    <row r="2286" s="1" customFormat="1" spans="1:8">
      <c r="A2286" s="4" t="s">
        <v>205</v>
      </c>
      <c r="B2286" s="4" t="s">
        <v>93</v>
      </c>
      <c r="C2286" s="4" t="s">
        <v>99</v>
      </c>
      <c r="D2286" s="4" t="s">
        <v>4737</v>
      </c>
      <c r="E2286" s="4">
        <v>5005202</v>
      </c>
      <c r="F2286" s="4" t="s">
        <v>4738</v>
      </c>
      <c r="G2286" s="4" t="s">
        <v>243</v>
      </c>
      <c r="H2286" s="13"/>
    </row>
    <row r="2287" s="1" customFormat="1" spans="1:8">
      <c r="A2287" s="4" t="s">
        <v>205</v>
      </c>
      <c r="B2287" s="4" t="s">
        <v>93</v>
      </c>
      <c r="C2287" s="4" t="s">
        <v>99</v>
      </c>
      <c r="D2287" s="4" t="s">
        <v>767</v>
      </c>
      <c r="E2287" s="4">
        <v>5005681</v>
      </c>
      <c r="F2287" s="4" t="s">
        <v>4739</v>
      </c>
      <c r="G2287" s="4" t="s">
        <v>243</v>
      </c>
      <c r="H2287" s="13"/>
    </row>
    <row r="2288" s="1" customFormat="1" spans="1:8">
      <c r="A2288" s="4" t="s">
        <v>205</v>
      </c>
      <c r="B2288" s="4" t="s">
        <v>93</v>
      </c>
      <c r="C2288" s="4" t="s">
        <v>99</v>
      </c>
      <c r="D2288" s="4" t="s">
        <v>4740</v>
      </c>
      <c r="E2288" s="4">
        <v>5005707</v>
      </c>
      <c r="F2288" s="4" t="s">
        <v>4741</v>
      </c>
      <c r="G2288" s="4" t="s">
        <v>243</v>
      </c>
      <c r="H2288" s="13"/>
    </row>
    <row r="2289" s="1" customFormat="1" spans="1:8">
      <c r="A2289" s="4" t="s">
        <v>205</v>
      </c>
      <c r="B2289" s="4" t="s">
        <v>93</v>
      </c>
      <c r="C2289" s="4" t="s">
        <v>99</v>
      </c>
      <c r="D2289" s="4" t="s">
        <v>4742</v>
      </c>
      <c r="E2289" s="4">
        <v>5006259</v>
      </c>
      <c r="F2289" s="4" t="s">
        <v>4743</v>
      </c>
      <c r="G2289" s="4" t="s">
        <v>243</v>
      </c>
      <c r="H2289" s="13"/>
    </row>
    <row r="2290" s="1" customFormat="1" spans="1:8">
      <c r="A2290" s="4" t="s">
        <v>205</v>
      </c>
      <c r="B2290" s="4" t="s">
        <v>93</v>
      </c>
      <c r="C2290" s="4" t="s">
        <v>99</v>
      </c>
      <c r="D2290" s="4" t="s">
        <v>4744</v>
      </c>
      <c r="E2290" s="4">
        <v>5006309</v>
      </c>
      <c r="F2290" s="4" t="s">
        <v>4745</v>
      </c>
      <c r="G2290" s="4" t="s">
        <v>243</v>
      </c>
      <c r="H2290" s="13"/>
    </row>
    <row r="2291" s="1" customFormat="1" spans="1:8">
      <c r="A2291" s="4" t="s">
        <v>205</v>
      </c>
      <c r="B2291" s="4" t="s">
        <v>93</v>
      </c>
      <c r="C2291" s="4" t="s">
        <v>99</v>
      </c>
      <c r="D2291" s="4" t="s">
        <v>4746</v>
      </c>
      <c r="E2291" s="4">
        <v>5006358</v>
      </c>
      <c r="F2291" s="4" t="s">
        <v>4747</v>
      </c>
      <c r="G2291" s="4" t="s">
        <v>243</v>
      </c>
      <c r="H2291" s="13"/>
    </row>
    <row r="2292" s="1" customFormat="1" spans="1:8">
      <c r="A2292" s="4" t="s">
        <v>205</v>
      </c>
      <c r="B2292" s="4" t="s">
        <v>93</v>
      </c>
      <c r="C2292" s="4" t="s">
        <v>99</v>
      </c>
      <c r="D2292" s="4" t="s">
        <v>4748</v>
      </c>
      <c r="E2292" s="4">
        <v>5006903</v>
      </c>
      <c r="F2292" s="4" t="s">
        <v>4749</v>
      </c>
      <c r="G2292" s="4" t="s">
        <v>243</v>
      </c>
      <c r="H2292" s="13"/>
    </row>
    <row r="2293" s="1" customFormat="1" spans="1:8">
      <c r="A2293" s="4" t="s">
        <v>205</v>
      </c>
      <c r="B2293" s="4" t="s">
        <v>93</v>
      </c>
      <c r="C2293" s="4" t="s">
        <v>99</v>
      </c>
      <c r="D2293" s="4" t="s">
        <v>4750</v>
      </c>
      <c r="E2293" s="4">
        <v>5007802</v>
      </c>
      <c r="F2293" s="4" t="s">
        <v>4751</v>
      </c>
      <c r="G2293" s="4" t="s">
        <v>243</v>
      </c>
      <c r="H2293" s="13"/>
    </row>
    <row r="2294" s="1" customFormat="1" spans="1:8">
      <c r="A2294" s="4" t="s">
        <v>205</v>
      </c>
      <c r="B2294" s="4" t="s">
        <v>93</v>
      </c>
      <c r="C2294" s="4" t="s">
        <v>99</v>
      </c>
      <c r="D2294" s="4" t="s">
        <v>4752</v>
      </c>
      <c r="E2294" s="4">
        <v>5007703</v>
      </c>
      <c r="F2294" s="4" t="s">
        <v>4753</v>
      </c>
      <c r="G2294" s="4" t="s">
        <v>243</v>
      </c>
      <c r="H2294" s="13"/>
    </row>
    <row r="2295" s="1" customFormat="1" spans="1:8">
      <c r="A2295" s="4" t="s">
        <v>205</v>
      </c>
      <c r="B2295" s="4" t="s">
        <v>93</v>
      </c>
      <c r="C2295" s="4" t="s">
        <v>99</v>
      </c>
      <c r="D2295" s="4" t="s">
        <v>4754</v>
      </c>
      <c r="E2295" s="4">
        <v>5007935</v>
      </c>
      <c r="F2295" s="4" t="s">
        <v>4755</v>
      </c>
      <c r="G2295" s="4" t="s">
        <v>243</v>
      </c>
      <c r="H2295" s="13"/>
    </row>
    <row r="2296" s="1" customFormat="1" spans="1:8">
      <c r="A2296" s="4" t="s">
        <v>205</v>
      </c>
      <c r="B2296" s="4" t="s">
        <v>93</v>
      </c>
      <c r="C2296" s="4" t="s">
        <v>99</v>
      </c>
      <c r="D2296" s="4" t="s">
        <v>4756</v>
      </c>
      <c r="E2296" s="4">
        <v>5007950</v>
      </c>
      <c r="F2296" s="4" t="s">
        <v>4757</v>
      </c>
      <c r="G2296" s="4" t="s">
        <v>243</v>
      </c>
      <c r="H2296" s="13"/>
    </row>
    <row r="2297" s="1" customFormat="1" spans="1:8">
      <c r="A2297" s="4" t="s">
        <v>205</v>
      </c>
      <c r="B2297" s="4" t="s">
        <v>93</v>
      </c>
      <c r="C2297" s="4" t="s">
        <v>99</v>
      </c>
      <c r="D2297" s="4" t="s">
        <v>4758</v>
      </c>
      <c r="E2297" s="4">
        <v>5007976</v>
      </c>
      <c r="F2297" s="4" t="s">
        <v>4759</v>
      </c>
      <c r="G2297" s="4" t="s">
        <v>243</v>
      </c>
      <c r="H2297" s="13"/>
    </row>
    <row r="2298" s="1" customFormat="1" spans="1:8">
      <c r="A2298" s="4" t="s">
        <v>205</v>
      </c>
      <c r="B2298" s="4" t="s">
        <v>93</v>
      </c>
      <c r="C2298" s="4" t="s">
        <v>99</v>
      </c>
      <c r="D2298" s="4" t="s">
        <v>4760</v>
      </c>
      <c r="E2298" s="4">
        <v>5008305</v>
      </c>
      <c r="F2298" s="4" t="s">
        <v>4761</v>
      </c>
      <c r="G2298" s="4" t="s">
        <v>243</v>
      </c>
      <c r="H2298" s="13"/>
    </row>
    <row r="2299" s="1" customFormat="1" spans="1:8">
      <c r="A2299" s="4" t="s">
        <v>205</v>
      </c>
      <c r="B2299" s="4" t="s">
        <v>93</v>
      </c>
      <c r="C2299" s="4" t="s">
        <v>101</v>
      </c>
      <c r="D2299" s="4" t="s">
        <v>4762</v>
      </c>
      <c r="E2299" s="4">
        <v>5103403</v>
      </c>
      <c r="F2299" s="4" t="s">
        <v>4763</v>
      </c>
      <c r="G2299" s="4" t="s">
        <v>207</v>
      </c>
      <c r="H2299" s="13"/>
    </row>
    <row r="2300" s="1" customFormat="1" spans="1:8">
      <c r="A2300" s="4" t="s">
        <v>205</v>
      </c>
      <c r="B2300" s="4" t="s">
        <v>93</v>
      </c>
      <c r="C2300" s="4" t="s">
        <v>101</v>
      </c>
      <c r="D2300" s="4" t="s">
        <v>4764</v>
      </c>
      <c r="E2300" s="4">
        <v>5106109</v>
      </c>
      <c r="F2300" s="4" t="s">
        <v>4765</v>
      </c>
      <c r="G2300" s="4" t="s">
        <v>210</v>
      </c>
      <c r="H2300" s="13"/>
    </row>
    <row r="2301" s="1" customFormat="1" spans="1:8">
      <c r="A2301" s="4" t="s">
        <v>205</v>
      </c>
      <c r="B2301" s="4" t="s">
        <v>93</v>
      </c>
      <c r="C2301" s="4" t="s">
        <v>101</v>
      </c>
      <c r="D2301" s="4" t="s">
        <v>4766</v>
      </c>
      <c r="E2301" s="4">
        <v>5107800</v>
      </c>
      <c r="F2301" s="4" t="s">
        <v>4767</v>
      </c>
      <c r="G2301" s="4" t="s">
        <v>210</v>
      </c>
      <c r="H2301" s="13"/>
    </row>
    <row r="2302" s="1" customFormat="1" spans="1:8">
      <c r="A2302" s="4" t="s">
        <v>205</v>
      </c>
      <c r="B2302" s="4" t="s">
        <v>93</v>
      </c>
      <c r="C2302" s="4" t="s">
        <v>101</v>
      </c>
      <c r="D2302" s="4" t="s">
        <v>4768</v>
      </c>
      <c r="E2302" s="4">
        <v>5108402</v>
      </c>
      <c r="F2302" s="4" t="s">
        <v>4769</v>
      </c>
      <c r="G2302" s="4" t="s">
        <v>210</v>
      </c>
      <c r="H2302" s="13"/>
    </row>
    <row r="2303" s="1" customFormat="1" spans="1:8">
      <c r="A2303" s="4" t="s">
        <v>205</v>
      </c>
      <c r="B2303" s="4" t="s">
        <v>93</v>
      </c>
      <c r="C2303" s="4" t="s">
        <v>101</v>
      </c>
      <c r="D2303" s="4" t="s">
        <v>4770</v>
      </c>
      <c r="E2303" s="4">
        <v>5100102</v>
      </c>
      <c r="F2303" s="4" t="s">
        <v>4771</v>
      </c>
      <c r="G2303" s="4" t="s">
        <v>215</v>
      </c>
      <c r="H2303" s="13"/>
    </row>
    <row r="2304" s="1" customFormat="1" spans="1:8">
      <c r="A2304" s="4" t="s">
        <v>205</v>
      </c>
      <c r="B2304" s="4" t="s">
        <v>93</v>
      </c>
      <c r="C2304" s="4" t="s">
        <v>101</v>
      </c>
      <c r="D2304" s="4" t="s">
        <v>4772</v>
      </c>
      <c r="E2304" s="4">
        <v>5100409</v>
      </c>
      <c r="F2304" s="4" t="s">
        <v>4773</v>
      </c>
      <c r="G2304" s="4" t="s">
        <v>215</v>
      </c>
      <c r="H2304" s="13"/>
    </row>
    <row r="2305" s="1" customFormat="1" spans="1:8">
      <c r="A2305" s="4" t="s">
        <v>205</v>
      </c>
      <c r="B2305" s="4" t="s">
        <v>93</v>
      </c>
      <c r="C2305" s="4" t="s">
        <v>101</v>
      </c>
      <c r="D2305" s="4" t="s">
        <v>4774</v>
      </c>
      <c r="E2305" s="4">
        <v>5100508</v>
      </c>
      <c r="F2305" s="4" t="s">
        <v>4775</v>
      </c>
      <c r="G2305" s="4" t="s">
        <v>215</v>
      </c>
      <c r="H2305" s="13"/>
    </row>
    <row r="2306" s="1" customFormat="1" spans="1:8">
      <c r="A2306" s="4" t="s">
        <v>205</v>
      </c>
      <c r="B2306" s="4" t="s">
        <v>93</v>
      </c>
      <c r="C2306" s="4" t="s">
        <v>101</v>
      </c>
      <c r="D2306" s="4" t="s">
        <v>4776</v>
      </c>
      <c r="E2306" s="4">
        <v>5101258</v>
      </c>
      <c r="F2306" s="4" t="s">
        <v>4777</v>
      </c>
      <c r="G2306" s="4" t="s">
        <v>215</v>
      </c>
      <c r="H2306" s="13"/>
    </row>
    <row r="2307" s="1" customFormat="1" spans="1:8">
      <c r="A2307" s="4" t="s">
        <v>205</v>
      </c>
      <c r="B2307" s="4" t="s">
        <v>93</v>
      </c>
      <c r="C2307" s="4" t="s">
        <v>101</v>
      </c>
      <c r="D2307" s="4" t="s">
        <v>4778</v>
      </c>
      <c r="E2307" s="4">
        <v>5101308</v>
      </c>
      <c r="F2307" s="4" t="s">
        <v>4779</v>
      </c>
      <c r="G2307" s="4" t="s">
        <v>215</v>
      </c>
      <c r="H2307" s="13"/>
    </row>
    <row r="2308" s="1" customFormat="1" spans="1:8">
      <c r="A2308" s="4" t="s">
        <v>205</v>
      </c>
      <c r="B2308" s="4" t="s">
        <v>93</v>
      </c>
      <c r="C2308" s="4" t="s">
        <v>101</v>
      </c>
      <c r="D2308" s="4" t="s">
        <v>4780</v>
      </c>
      <c r="E2308" s="4">
        <v>5101704</v>
      </c>
      <c r="F2308" s="4" t="s">
        <v>4781</v>
      </c>
      <c r="G2308" s="4" t="s">
        <v>215</v>
      </c>
      <c r="H2308" s="13"/>
    </row>
    <row r="2309" s="1" customFormat="1" spans="1:8">
      <c r="A2309" s="4" t="s">
        <v>205</v>
      </c>
      <c r="B2309" s="4" t="s">
        <v>93</v>
      </c>
      <c r="C2309" s="4" t="s">
        <v>101</v>
      </c>
      <c r="D2309" s="4" t="s">
        <v>4782</v>
      </c>
      <c r="E2309" s="4">
        <v>5101605</v>
      </c>
      <c r="F2309" s="4" t="s">
        <v>4783</v>
      </c>
      <c r="G2309" s="4" t="s">
        <v>215</v>
      </c>
      <c r="H2309" s="13"/>
    </row>
    <row r="2310" s="1" customFormat="1" spans="1:8">
      <c r="A2310" s="4" t="s">
        <v>205</v>
      </c>
      <c r="B2310" s="4" t="s">
        <v>93</v>
      </c>
      <c r="C2310" s="4" t="s">
        <v>101</v>
      </c>
      <c r="D2310" s="4" t="s">
        <v>4784</v>
      </c>
      <c r="E2310" s="4">
        <v>5102678</v>
      </c>
      <c r="F2310" s="4" t="s">
        <v>4785</v>
      </c>
      <c r="G2310" s="4" t="s">
        <v>215</v>
      </c>
      <c r="H2310" s="13"/>
    </row>
    <row r="2311" s="1" customFormat="1" spans="1:8">
      <c r="A2311" s="4" t="s">
        <v>205</v>
      </c>
      <c r="B2311" s="4" t="s">
        <v>93</v>
      </c>
      <c r="C2311" s="4" t="s">
        <v>101</v>
      </c>
      <c r="D2311" s="4" t="s">
        <v>4786</v>
      </c>
      <c r="E2311" s="4">
        <v>5103007</v>
      </c>
      <c r="F2311" s="4" t="s">
        <v>4787</v>
      </c>
      <c r="G2311" s="4" t="s">
        <v>215</v>
      </c>
      <c r="H2311" s="13"/>
    </row>
    <row r="2312" s="1" customFormat="1" spans="1:8">
      <c r="A2312" s="4" t="s">
        <v>205</v>
      </c>
      <c r="B2312" s="4" t="s">
        <v>93</v>
      </c>
      <c r="C2312" s="4" t="s">
        <v>101</v>
      </c>
      <c r="D2312" s="4" t="s">
        <v>4788</v>
      </c>
      <c r="E2312" s="4">
        <v>5103437</v>
      </c>
      <c r="F2312" s="4" t="s">
        <v>4789</v>
      </c>
      <c r="G2312" s="4" t="s">
        <v>215</v>
      </c>
      <c r="H2312" s="13"/>
    </row>
    <row r="2313" s="1" customFormat="1" spans="1:8">
      <c r="A2313" s="4" t="s">
        <v>205</v>
      </c>
      <c r="B2313" s="4" t="s">
        <v>93</v>
      </c>
      <c r="C2313" s="4" t="s">
        <v>101</v>
      </c>
      <c r="D2313" s="4" t="s">
        <v>4790</v>
      </c>
      <c r="E2313" s="4">
        <v>5102504</v>
      </c>
      <c r="F2313" s="4" t="s">
        <v>4791</v>
      </c>
      <c r="G2313" s="4" t="s">
        <v>215</v>
      </c>
      <c r="H2313" s="13"/>
    </row>
    <row r="2314" s="1" customFormat="1" spans="1:8">
      <c r="A2314" s="4" t="s">
        <v>205</v>
      </c>
      <c r="B2314" s="4" t="s">
        <v>93</v>
      </c>
      <c r="C2314" s="4" t="s">
        <v>101</v>
      </c>
      <c r="D2314" s="4" t="s">
        <v>4792</v>
      </c>
      <c r="E2314" s="4">
        <v>5103452</v>
      </c>
      <c r="F2314" s="4" t="s">
        <v>4793</v>
      </c>
      <c r="G2314" s="4" t="s">
        <v>215</v>
      </c>
      <c r="H2314" s="13"/>
    </row>
    <row r="2315" s="1" customFormat="1" spans="1:8">
      <c r="A2315" s="4" t="s">
        <v>205</v>
      </c>
      <c r="B2315" s="4" t="s">
        <v>93</v>
      </c>
      <c r="C2315" s="4" t="s">
        <v>101</v>
      </c>
      <c r="D2315" s="4" t="s">
        <v>4794</v>
      </c>
      <c r="E2315" s="4">
        <v>5103502</v>
      </c>
      <c r="F2315" s="4" t="s">
        <v>4795</v>
      </c>
      <c r="G2315" s="4" t="s">
        <v>215</v>
      </c>
      <c r="H2315" s="13"/>
    </row>
    <row r="2316" s="1" customFormat="1" spans="1:8">
      <c r="A2316" s="4" t="s">
        <v>205</v>
      </c>
      <c r="B2316" s="4" t="s">
        <v>93</v>
      </c>
      <c r="C2316" s="4" t="s">
        <v>101</v>
      </c>
      <c r="D2316" s="4" t="s">
        <v>4796</v>
      </c>
      <c r="E2316" s="4">
        <v>5103601</v>
      </c>
      <c r="F2316" s="4" t="s">
        <v>4797</v>
      </c>
      <c r="G2316" s="4" t="s">
        <v>215</v>
      </c>
      <c r="H2316" s="13"/>
    </row>
    <row r="2317" s="1" customFormat="1" spans="1:8">
      <c r="A2317" s="4" t="s">
        <v>205</v>
      </c>
      <c r="B2317" s="4" t="s">
        <v>93</v>
      </c>
      <c r="C2317" s="4" t="s">
        <v>101</v>
      </c>
      <c r="D2317" s="4" t="s">
        <v>4798</v>
      </c>
      <c r="E2317" s="4">
        <v>5103957</v>
      </c>
      <c r="F2317" s="4" t="s">
        <v>4799</v>
      </c>
      <c r="G2317" s="4" t="s">
        <v>215</v>
      </c>
      <c r="H2317" s="13"/>
    </row>
    <row r="2318" s="1" customFormat="1" spans="1:8">
      <c r="A2318" s="4" t="s">
        <v>205</v>
      </c>
      <c r="B2318" s="4" t="s">
        <v>93</v>
      </c>
      <c r="C2318" s="4" t="s">
        <v>101</v>
      </c>
      <c r="D2318" s="4" t="s">
        <v>4800</v>
      </c>
      <c r="E2318" s="4">
        <v>5104203</v>
      </c>
      <c r="F2318" s="4" t="s">
        <v>4801</v>
      </c>
      <c r="G2318" s="4" t="s">
        <v>215</v>
      </c>
      <c r="H2318" s="13"/>
    </row>
    <row r="2319" s="1" customFormat="1" spans="1:8">
      <c r="A2319" s="4" t="s">
        <v>205</v>
      </c>
      <c r="B2319" s="4" t="s">
        <v>93</v>
      </c>
      <c r="C2319" s="4" t="s">
        <v>101</v>
      </c>
      <c r="D2319" s="4" t="s">
        <v>4802</v>
      </c>
      <c r="E2319" s="4">
        <v>5104500</v>
      </c>
      <c r="F2319" s="4" t="s">
        <v>4803</v>
      </c>
      <c r="G2319" s="4" t="s">
        <v>215</v>
      </c>
      <c r="H2319" s="13"/>
    </row>
    <row r="2320" s="1" customFormat="1" spans="1:8">
      <c r="A2320" s="4" t="s">
        <v>205</v>
      </c>
      <c r="B2320" s="4" t="s">
        <v>93</v>
      </c>
      <c r="C2320" s="4" t="s">
        <v>101</v>
      </c>
      <c r="D2320" s="4" t="s">
        <v>4804</v>
      </c>
      <c r="E2320" s="4">
        <v>5104609</v>
      </c>
      <c r="F2320" s="4" t="s">
        <v>4805</v>
      </c>
      <c r="G2320" s="4" t="s">
        <v>215</v>
      </c>
      <c r="H2320" s="13"/>
    </row>
    <row r="2321" s="1" customFormat="1" spans="1:8">
      <c r="A2321" s="4" t="s">
        <v>205</v>
      </c>
      <c r="B2321" s="4" t="s">
        <v>93</v>
      </c>
      <c r="C2321" s="4" t="s">
        <v>101</v>
      </c>
      <c r="D2321" s="4" t="s">
        <v>4806</v>
      </c>
      <c r="E2321" s="4">
        <v>5104807</v>
      </c>
      <c r="F2321" s="4" t="s">
        <v>4807</v>
      </c>
      <c r="G2321" s="4" t="s">
        <v>215</v>
      </c>
      <c r="H2321" s="13"/>
    </row>
    <row r="2322" s="1" customFormat="1" spans="1:8">
      <c r="A2322" s="4" t="s">
        <v>205</v>
      </c>
      <c r="B2322" s="4" t="s">
        <v>93</v>
      </c>
      <c r="C2322" s="4" t="s">
        <v>101</v>
      </c>
      <c r="D2322" s="4" t="s">
        <v>4808</v>
      </c>
      <c r="E2322" s="4">
        <v>5104906</v>
      </c>
      <c r="F2322" s="4" t="s">
        <v>4809</v>
      </c>
      <c r="G2322" s="4" t="s">
        <v>215</v>
      </c>
      <c r="H2322" s="13"/>
    </row>
    <row r="2323" s="1" customFormat="1" spans="1:8">
      <c r="A2323" s="4" t="s">
        <v>205</v>
      </c>
      <c r="B2323" s="4" t="s">
        <v>93</v>
      </c>
      <c r="C2323" s="4" t="s">
        <v>101</v>
      </c>
      <c r="D2323" s="4" t="s">
        <v>4810</v>
      </c>
      <c r="E2323" s="4">
        <v>5105200</v>
      </c>
      <c r="F2323" s="4" t="s">
        <v>4811</v>
      </c>
      <c r="G2323" s="4" t="s">
        <v>215</v>
      </c>
      <c r="H2323" s="13"/>
    </row>
    <row r="2324" s="1" customFormat="1" spans="1:8">
      <c r="A2324" s="4" t="s">
        <v>205</v>
      </c>
      <c r="B2324" s="4" t="s">
        <v>93</v>
      </c>
      <c r="C2324" s="4" t="s">
        <v>101</v>
      </c>
      <c r="D2324" s="4" t="s">
        <v>4812</v>
      </c>
      <c r="E2324" s="4">
        <v>5105234</v>
      </c>
      <c r="F2324" s="4" t="s">
        <v>4813</v>
      </c>
      <c r="G2324" s="4" t="s">
        <v>215</v>
      </c>
      <c r="H2324" s="13"/>
    </row>
    <row r="2325" s="1" customFormat="1" spans="1:8">
      <c r="A2325" s="4" t="s">
        <v>205</v>
      </c>
      <c r="B2325" s="4" t="s">
        <v>93</v>
      </c>
      <c r="C2325" s="4" t="s">
        <v>101</v>
      </c>
      <c r="D2325" s="4" t="s">
        <v>4814</v>
      </c>
      <c r="E2325" s="4">
        <v>5105259</v>
      </c>
      <c r="F2325" s="4" t="s">
        <v>4815</v>
      </c>
      <c r="G2325" s="4" t="s">
        <v>215</v>
      </c>
      <c r="H2325" s="13"/>
    </row>
    <row r="2326" s="1" customFormat="1" spans="1:8">
      <c r="A2326" s="4" t="s">
        <v>205</v>
      </c>
      <c r="B2326" s="4" t="s">
        <v>93</v>
      </c>
      <c r="C2326" s="4" t="s">
        <v>101</v>
      </c>
      <c r="D2326" s="4" t="s">
        <v>4816</v>
      </c>
      <c r="E2326" s="4">
        <v>5105622</v>
      </c>
      <c r="F2326" s="4" t="s">
        <v>4817</v>
      </c>
      <c r="G2326" s="4" t="s">
        <v>215</v>
      </c>
      <c r="H2326" s="13"/>
    </row>
    <row r="2327" s="1" customFormat="1" spans="1:8">
      <c r="A2327" s="4" t="s">
        <v>205</v>
      </c>
      <c r="B2327" s="4" t="s">
        <v>93</v>
      </c>
      <c r="C2327" s="4" t="s">
        <v>101</v>
      </c>
      <c r="D2327" s="4" t="s">
        <v>4818</v>
      </c>
      <c r="E2327" s="4">
        <v>5105903</v>
      </c>
      <c r="F2327" s="4" t="s">
        <v>4819</v>
      </c>
      <c r="G2327" s="4" t="s">
        <v>215</v>
      </c>
      <c r="H2327" s="13"/>
    </row>
    <row r="2328" s="1" customFormat="1" spans="1:8">
      <c r="A2328" s="4" t="s">
        <v>205</v>
      </c>
      <c r="B2328" s="4" t="s">
        <v>93</v>
      </c>
      <c r="C2328" s="4" t="s">
        <v>101</v>
      </c>
      <c r="D2328" s="4" t="s">
        <v>4820</v>
      </c>
      <c r="E2328" s="4">
        <v>5106000</v>
      </c>
      <c r="F2328" s="4" t="s">
        <v>4821</v>
      </c>
      <c r="G2328" s="4" t="s">
        <v>215</v>
      </c>
      <c r="H2328" s="13"/>
    </row>
    <row r="2329" s="1" customFormat="1" spans="1:8">
      <c r="A2329" s="4" t="s">
        <v>205</v>
      </c>
      <c r="B2329" s="4" t="s">
        <v>93</v>
      </c>
      <c r="C2329" s="4" t="s">
        <v>101</v>
      </c>
      <c r="D2329" s="4" t="s">
        <v>4822</v>
      </c>
      <c r="E2329" s="4">
        <v>5106208</v>
      </c>
      <c r="F2329" s="4" t="s">
        <v>4823</v>
      </c>
      <c r="G2329" s="4" t="s">
        <v>215</v>
      </c>
      <c r="H2329" s="13"/>
    </row>
    <row r="2330" s="1" customFormat="1" spans="1:8">
      <c r="A2330" s="4" t="s">
        <v>205</v>
      </c>
      <c r="B2330" s="4" t="s">
        <v>93</v>
      </c>
      <c r="C2330" s="4" t="s">
        <v>101</v>
      </c>
      <c r="D2330" s="4" t="s">
        <v>4824</v>
      </c>
      <c r="E2330" s="4">
        <v>5108857</v>
      </c>
      <c r="F2330" s="4" t="s">
        <v>4825</v>
      </c>
      <c r="G2330" s="4" t="s">
        <v>215</v>
      </c>
      <c r="H2330" s="13"/>
    </row>
    <row r="2331" s="1" customFormat="1" spans="1:8">
      <c r="A2331" s="4" t="s">
        <v>205</v>
      </c>
      <c r="B2331" s="4" t="s">
        <v>93</v>
      </c>
      <c r="C2331" s="4" t="s">
        <v>101</v>
      </c>
      <c r="D2331" s="4" t="s">
        <v>4826</v>
      </c>
      <c r="E2331" s="4">
        <v>5108907</v>
      </c>
      <c r="F2331" s="4" t="s">
        <v>4827</v>
      </c>
      <c r="G2331" s="4" t="s">
        <v>215</v>
      </c>
      <c r="H2331" s="13"/>
    </row>
    <row r="2332" s="1" customFormat="1" spans="1:8">
      <c r="A2332" s="4" t="s">
        <v>205</v>
      </c>
      <c r="B2332" s="4" t="s">
        <v>93</v>
      </c>
      <c r="C2332" s="4" t="s">
        <v>101</v>
      </c>
      <c r="D2332" s="4" t="s">
        <v>4828</v>
      </c>
      <c r="E2332" s="4">
        <v>5106224</v>
      </c>
      <c r="F2332" s="4" t="s">
        <v>4829</v>
      </c>
      <c r="G2332" s="4" t="s">
        <v>215</v>
      </c>
      <c r="H2332" s="13"/>
    </row>
    <row r="2333" s="1" customFormat="1" spans="1:8">
      <c r="A2333" s="4" t="s">
        <v>205</v>
      </c>
      <c r="B2333" s="4" t="s">
        <v>93</v>
      </c>
      <c r="C2333" s="4" t="s">
        <v>101</v>
      </c>
      <c r="D2333" s="4" t="s">
        <v>4830</v>
      </c>
      <c r="E2333" s="4">
        <v>5106232</v>
      </c>
      <c r="F2333" s="4" t="s">
        <v>4831</v>
      </c>
      <c r="G2333" s="4" t="s">
        <v>215</v>
      </c>
      <c r="H2333" s="13"/>
    </row>
    <row r="2334" s="1" customFormat="1" spans="1:8">
      <c r="A2334" s="4" t="s">
        <v>205</v>
      </c>
      <c r="B2334" s="4" t="s">
        <v>93</v>
      </c>
      <c r="C2334" s="4" t="s">
        <v>101</v>
      </c>
      <c r="D2334" s="4" t="s">
        <v>4832</v>
      </c>
      <c r="E2334" s="4">
        <v>5106372</v>
      </c>
      <c r="F2334" s="4" t="s">
        <v>4833</v>
      </c>
      <c r="G2334" s="4" t="s">
        <v>215</v>
      </c>
      <c r="H2334" s="13"/>
    </row>
    <row r="2335" s="1" customFormat="1" spans="1:8">
      <c r="A2335" s="4" t="s">
        <v>205</v>
      </c>
      <c r="B2335" s="4" t="s">
        <v>93</v>
      </c>
      <c r="C2335" s="4" t="s">
        <v>101</v>
      </c>
      <c r="D2335" s="4" t="s">
        <v>4834</v>
      </c>
      <c r="E2335" s="4">
        <v>5106455</v>
      </c>
      <c r="F2335" s="4" t="s">
        <v>4835</v>
      </c>
      <c r="G2335" s="4" t="s">
        <v>215</v>
      </c>
      <c r="H2335" s="13"/>
    </row>
    <row r="2336" s="1" customFormat="1" spans="1:8">
      <c r="A2336" s="4" t="s">
        <v>205</v>
      </c>
      <c r="B2336" s="4" t="s">
        <v>93</v>
      </c>
      <c r="C2336" s="4" t="s">
        <v>101</v>
      </c>
      <c r="D2336" s="4" t="s">
        <v>4836</v>
      </c>
      <c r="E2336" s="4">
        <v>5106505</v>
      </c>
      <c r="F2336" s="4" t="s">
        <v>4837</v>
      </c>
      <c r="G2336" s="4" t="s">
        <v>215</v>
      </c>
      <c r="H2336" s="13"/>
    </row>
    <row r="2337" s="1" customFormat="1" spans="1:8">
      <c r="A2337" s="4" t="s">
        <v>205</v>
      </c>
      <c r="B2337" s="4" t="s">
        <v>93</v>
      </c>
      <c r="C2337" s="4" t="s">
        <v>101</v>
      </c>
      <c r="D2337" s="4" t="s">
        <v>4838</v>
      </c>
      <c r="E2337" s="4">
        <v>5106828</v>
      </c>
      <c r="F2337" s="4" t="s">
        <v>4839</v>
      </c>
      <c r="G2337" s="4" t="s">
        <v>215</v>
      </c>
      <c r="H2337" s="13"/>
    </row>
    <row r="2338" s="1" customFormat="1" spans="1:8">
      <c r="A2338" s="4" t="s">
        <v>205</v>
      </c>
      <c r="B2338" s="4" t="s">
        <v>93</v>
      </c>
      <c r="C2338" s="4" t="s">
        <v>101</v>
      </c>
      <c r="D2338" s="4" t="s">
        <v>4840</v>
      </c>
      <c r="E2338" s="4">
        <v>5106851</v>
      </c>
      <c r="F2338" s="4" t="s">
        <v>4841</v>
      </c>
      <c r="G2338" s="4" t="s">
        <v>215</v>
      </c>
      <c r="H2338" s="13"/>
    </row>
    <row r="2339" s="1" customFormat="1" spans="1:8">
      <c r="A2339" s="4" t="s">
        <v>205</v>
      </c>
      <c r="B2339" s="4" t="s">
        <v>93</v>
      </c>
      <c r="C2339" s="4" t="s">
        <v>101</v>
      </c>
      <c r="D2339" s="4" t="s">
        <v>4842</v>
      </c>
      <c r="E2339" s="4">
        <v>5107008</v>
      </c>
      <c r="F2339" s="4" t="s">
        <v>4843</v>
      </c>
      <c r="G2339" s="4" t="s">
        <v>215</v>
      </c>
      <c r="H2339" s="13"/>
    </row>
    <row r="2340" s="1" customFormat="1" spans="1:8">
      <c r="A2340" s="4" t="s">
        <v>205</v>
      </c>
      <c r="B2340" s="4" t="s">
        <v>93</v>
      </c>
      <c r="C2340" s="4" t="s">
        <v>101</v>
      </c>
      <c r="D2340" s="4" t="s">
        <v>4844</v>
      </c>
      <c r="E2340" s="4">
        <v>5107040</v>
      </c>
      <c r="F2340" s="4" t="s">
        <v>4845</v>
      </c>
      <c r="G2340" s="4" t="s">
        <v>215</v>
      </c>
      <c r="H2340" s="13"/>
    </row>
    <row r="2341" s="1" customFormat="1" spans="1:8">
      <c r="A2341" s="4" t="s">
        <v>205</v>
      </c>
      <c r="B2341" s="4" t="s">
        <v>93</v>
      </c>
      <c r="C2341" s="4" t="s">
        <v>101</v>
      </c>
      <c r="D2341" s="4" t="s">
        <v>35</v>
      </c>
      <c r="E2341" s="4">
        <v>5107206</v>
      </c>
      <c r="F2341" s="4" t="s">
        <v>4846</v>
      </c>
      <c r="G2341" s="4" t="s">
        <v>215</v>
      </c>
      <c r="H2341" s="13"/>
    </row>
    <row r="2342" s="1" customFormat="1" spans="1:8">
      <c r="A2342" s="4" t="s">
        <v>205</v>
      </c>
      <c r="B2342" s="4" t="s">
        <v>93</v>
      </c>
      <c r="C2342" s="4" t="s">
        <v>101</v>
      </c>
      <c r="D2342" s="4" t="s">
        <v>4847</v>
      </c>
      <c r="E2342" s="4">
        <v>5107602</v>
      </c>
      <c r="F2342" s="4" t="s">
        <v>4848</v>
      </c>
      <c r="G2342" s="4" t="s">
        <v>215</v>
      </c>
      <c r="H2342" s="13"/>
    </row>
    <row r="2343" s="1" customFormat="1" spans="1:8">
      <c r="A2343" s="4" t="s">
        <v>205</v>
      </c>
      <c r="B2343" s="4" t="s">
        <v>93</v>
      </c>
      <c r="C2343" s="4" t="s">
        <v>101</v>
      </c>
      <c r="D2343" s="4" t="s">
        <v>4849</v>
      </c>
      <c r="E2343" s="4">
        <v>5107701</v>
      </c>
      <c r="F2343" s="4" t="s">
        <v>4850</v>
      </c>
      <c r="G2343" s="4" t="s">
        <v>215</v>
      </c>
      <c r="H2343" s="13"/>
    </row>
    <row r="2344" s="1" customFormat="1" spans="1:8">
      <c r="A2344" s="4" t="s">
        <v>205</v>
      </c>
      <c r="B2344" s="4" t="s">
        <v>93</v>
      </c>
      <c r="C2344" s="4" t="s">
        <v>101</v>
      </c>
      <c r="D2344" s="4" t="s">
        <v>4851</v>
      </c>
      <c r="E2344" s="4">
        <v>5107750</v>
      </c>
      <c r="F2344" s="4" t="s">
        <v>4852</v>
      </c>
      <c r="G2344" s="4" t="s">
        <v>215</v>
      </c>
      <c r="H2344" s="13"/>
    </row>
    <row r="2345" s="1" customFormat="1" spans="1:8">
      <c r="A2345" s="4" t="s">
        <v>205</v>
      </c>
      <c r="B2345" s="4" t="s">
        <v>93</v>
      </c>
      <c r="C2345" s="4" t="s">
        <v>101</v>
      </c>
      <c r="D2345" s="4" t="s">
        <v>4853</v>
      </c>
      <c r="E2345" s="4">
        <v>5107768</v>
      </c>
      <c r="F2345" s="4" t="s">
        <v>4854</v>
      </c>
      <c r="G2345" s="4" t="s">
        <v>215</v>
      </c>
      <c r="H2345" s="13"/>
    </row>
    <row r="2346" s="1" customFormat="1" spans="1:8">
      <c r="A2346" s="4" t="s">
        <v>205</v>
      </c>
      <c r="B2346" s="4" t="s">
        <v>93</v>
      </c>
      <c r="C2346" s="4" t="s">
        <v>101</v>
      </c>
      <c r="D2346" s="4" t="s">
        <v>4855</v>
      </c>
      <c r="E2346" s="4">
        <v>5107263</v>
      </c>
      <c r="F2346" s="4" t="s">
        <v>4856</v>
      </c>
      <c r="G2346" s="4" t="s">
        <v>215</v>
      </c>
      <c r="H2346" s="13"/>
    </row>
    <row r="2347" s="1" customFormat="1" spans="1:8">
      <c r="A2347" s="4" t="s">
        <v>205</v>
      </c>
      <c r="B2347" s="4" t="s">
        <v>93</v>
      </c>
      <c r="C2347" s="4" t="s">
        <v>101</v>
      </c>
      <c r="D2347" s="4" t="s">
        <v>4857</v>
      </c>
      <c r="E2347" s="4">
        <v>5107297</v>
      </c>
      <c r="F2347" s="4" t="s">
        <v>4858</v>
      </c>
      <c r="G2347" s="4" t="s">
        <v>215</v>
      </c>
      <c r="H2347" s="13"/>
    </row>
    <row r="2348" s="1" customFormat="1" spans="1:8">
      <c r="A2348" s="4" t="s">
        <v>205</v>
      </c>
      <c r="B2348" s="4" t="s">
        <v>93</v>
      </c>
      <c r="C2348" s="4" t="s">
        <v>101</v>
      </c>
      <c r="D2348" s="4" t="s">
        <v>4859</v>
      </c>
      <c r="E2348" s="4">
        <v>5107305</v>
      </c>
      <c r="F2348" s="4" t="s">
        <v>4860</v>
      </c>
      <c r="G2348" s="4" t="s">
        <v>215</v>
      </c>
      <c r="H2348" s="13"/>
    </row>
    <row r="2349" s="1" customFormat="1" spans="1:8">
      <c r="A2349" s="4" t="s">
        <v>205</v>
      </c>
      <c r="B2349" s="4" t="s">
        <v>93</v>
      </c>
      <c r="C2349" s="4" t="s">
        <v>101</v>
      </c>
      <c r="D2349" s="4" t="s">
        <v>4861</v>
      </c>
      <c r="E2349" s="4">
        <v>5107107</v>
      </c>
      <c r="F2349" s="4" t="s">
        <v>4862</v>
      </c>
      <c r="G2349" s="4" t="s">
        <v>215</v>
      </c>
      <c r="H2349" s="13"/>
    </row>
    <row r="2350" s="1" customFormat="1" spans="1:8">
      <c r="A2350" s="4" t="s">
        <v>205</v>
      </c>
      <c r="B2350" s="4" t="s">
        <v>93</v>
      </c>
      <c r="C2350" s="4" t="s">
        <v>101</v>
      </c>
      <c r="D2350" s="4" t="s">
        <v>4863</v>
      </c>
      <c r="E2350" s="4">
        <v>5107404</v>
      </c>
      <c r="F2350" s="4" t="s">
        <v>4864</v>
      </c>
      <c r="G2350" s="4" t="s">
        <v>215</v>
      </c>
      <c r="H2350" s="13"/>
    </row>
    <row r="2351" s="1" customFormat="1" spans="1:8">
      <c r="A2351" s="4" t="s">
        <v>205</v>
      </c>
      <c r="B2351" s="4" t="s">
        <v>93</v>
      </c>
      <c r="C2351" s="4" t="s">
        <v>101</v>
      </c>
      <c r="D2351" s="4" t="s">
        <v>4865</v>
      </c>
      <c r="E2351" s="4">
        <v>5107958</v>
      </c>
      <c r="F2351" s="4" t="s">
        <v>4866</v>
      </c>
      <c r="G2351" s="4" t="s">
        <v>215</v>
      </c>
      <c r="H2351" s="13"/>
    </row>
    <row r="2352" s="1" customFormat="1" spans="1:8">
      <c r="A2352" s="4" t="s">
        <v>205</v>
      </c>
      <c r="B2352" s="4" t="s">
        <v>93</v>
      </c>
      <c r="C2352" s="4" t="s">
        <v>101</v>
      </c>
      <c r="D2352" s="4" t="s">
        <v>4867</v>
      </c>
      <c r="E2352" s="4">
        <v>5100300</v>
      </c>
      <c r="F2352" s="4" t="s">
        <v>4868</v>
      </c>
      <c r="G2352" s="4" t="s">
        <v>232</v>
      </c>
      <c r="H2352" s="13"/>
    </row>
    <row r="2353" s="1" customFormat="1" spans="1:8">
      <c r="A2353" s="4" t="s">
        <v>205</v>
      </c>
      <c r="B2353" s="4" t="s">
        <v>93</v>
      </c>
      <c r="C2353" s="4" t="s">
        <v>101</v>
      </c>
      <c r="D2353" s="4" t="s">
        <v>4869</v>
      </c>
      <c r="E2353" s="4">
        <v>5100607</v>
      </c>
      <c r="F2353" s="4" t="s">
        <v>4870</v>
      </c>
      <c r="G2353" s="4" t="s">
        <v>232</v>
      </c>
      <c r="H2353" s="13"/>
    </row>
    <row r="2354" s="1" customFormat="1" spans="1:8">
      <c r="A2354" s="4" t="s">
        <v>205</v>
      </c>
      <c r="B2354" s="4" t="s">
        <v>93</v>
      </c>
      <c r="C2354" s="4" t="s">
        <v>101</v>
      </c>
      <c r="D2354" s="4" t="s">
        <v>4871</v>
      </c>
      <c r="E2354" s="4">
        <v>5101001</v>
      </c>
      <c r="F2354" s="4" t="s">
        <v>4872</v>
      </c>
      <c r="G2354" s="4" t="s">
        <v>232</v>
      </c>
      <c r="H2354" s="13"/>
    </row>
    <row r="2355" s="1" customFormat="1" spans="1:8">
      <c r="A2355" s="4" t="s">
        <v>205</v>
      </c>
      <c r="B2355" s="4" t="s">
        <v>93</v>
      </c>
      <c r="C2355" s="4" t="s">
        <v>101</v>
      </c>
      <c r="D2355" s="4" t="s">
        <v>4873</v>
      </c>
      <c r="E2355" s="4">
        <v>5101209</v>
      </c>
      <c r="F2355" s="4" t="s">
        <v>4874</v>
      </c>
      <c r="G2355" s="4" t="s">
        <v>232</v>
      </c>
      <c r="H2355" s="13"/>
    </row>
    <row r="2356" s="1" customFormat="1" spans="1:8">
      <c r="A2356" s="4" t="s">
        <v>205</v>
      </c>
      <c r="B2356" s="4" t="s">
        <v>93</v>
      </c>
      <c r="C2356" s="4" t="s">
        <v>101</v>
      </c>
      <c r="D2356" s="4" t="s">
        <v>4875</v>
      </c>
      <c r="E2356" s="4">
        <v>5101803</v>
      </c>
      <c r="F2356" s="4" t="s">
        <v>4876</v>
      </c>
      <c r="G2356" s="4" t="s">
        <v>232</v>
      </c>
      <c r="H2356" s="13"/>
    </row>
    <row r="2357" s="1" customFormat="1" spans="1:8">
      <c r="A2357" s="4" t="s">
        <v>205</v>
      </c>
      <c r="B2357" s="4" t="s">
        <v>93</v>
      </c>
      <c r="C2357" s="4" t="s">
        <v>101</v>
      </c>
      <c r="D2357" s="4" t="s">
        <v>4877</v>
      </c>
      <c r="E2357" s="4">
        <v>5101902</v>
      </c>
      <c r="F2357" s="4" t="s">
        <v>4878</v>
      </c>
      <c r="G2357" s="4" t="s">
        <v>232</v>
      </c>
      <c r="H2357" s="13"/>
    </row>
    <row r="2358" s="1" customFormat="1" spans="1:8">
      <c r="A2358" s="4" t="s">
        <v>205</v>
      </c>
      <c r="B2358" s="4" t="s">
        <v>93</v>
      </c>
      <c r="C2358" s="4" t="s">
        <v>101</v>
      </c>
      <c r="D2358" s="4" t="s">
        <v>4879</v>
      </c>
      <c r="E2358" s="4">
        <v>5102603</v>
      </c>
      <c r="F2358" s="4" t="s">
        <v>4880</v>
      </c>
      <c r="G2358" s="4" t="s">
        <v>232</v>
      </c>
      <c r="H2358" s="13"/>
    </row>
    <row r="2359" s="1" customFormat="1" spans="1:8">
      <c r="A2359" s="4" t="s">
        <v>205</v>
      </c>
      <c r="B2359" s="4" t="s">
        <v>93</v>
      </c>
      <c r="C2359" s="4" t="s">
        <v>101</v>
      </c>
      <c r="D2359" s="4" t="s">
        <v>4881</v>
      </c>
      <c r="E2359" s="4">
        <v>5102637</v>
      </c>
      <c r="F2359" s="4" t="s">
        <v>4882</v>
      </c>
      <c r="G2359" s="4" t="s">
        <v>232</v>
      </c>
      <c r="H2359" s="13"/>
    </row>
    <row r="2360" s="1" customFormat="1" spans="1:8">
      <c r="A2360" s="4" t="s">
        <v>205</v>
      </c>
      <c r="B2360" s="4" t="s">
        <v>93</v>
      </c>
      <c r="C2360" s="4" t="s">
        <v>101</v>
      </c>
      <c r="D2360" s="4" t="s">
        <v>4883</v>
      </c>
      <c r="E2360" s="4">
        <v>5102686</v>
      </c>
      <c r="F2360" s="4" t="s">
        <v>4884</v>
      </c>
      <c r="G2360" s="4" t="s">
        <v>232</v>
      </c>
      <c r="H2360" s="13"/>
    </row>
    <row r="2361" s="1" customFormat="1" spans="1:8">
      <c r="A2361" s="4" t="s">
        <v>205</v>
      </c>
      <c r="B2361" s="4" t="s">
        <v>93</v>
      </c>
      <c r="C2361" s="4" t="s">
        <v>101</v>
      </c>
      <c r="D2361" s="4" t="s">
        <v>4885</v>
      </c>
      <c r="E2361" s="4">
        <v>5102793</v>
      </c>
      <c r="F2361" s="4" t="s">
        <v>4886</v>
      </c>
      <c r="G2361" s="4" t="s">
        <v>232</v>
      </c>
      <c r="H2361" s="13"/>
    </row>
    <row r="2362" s="1" customFormat="1" spans="1:8">
      <c r="A2362" s="4" t="s">
        <v>205</v>
      </c>
      <c r="B2362" s="4" t="s">
        <v>93</v>
      </c>
      <c r="C2362" s="4" t="s">
        <v>101</v>
      </c>
      <c r="D2362" s="4" t="s">
        <v>4887</v>
      </c>
      <c r="E2362" s="4">
        <v>5103056</v>
      </c>
      <c r="F2362" s="4" t="s">
        <v>4888</v>
      </c>
      <c r="G2362" s="4" t="s">
        <v>232</v>
      </c>
      <c r="H2362" s="13"/>
    </row>
    <row r="2363" s="1" customFormat="1" spans="1:8">
      <c r="A2363" s="4" t="s">
        <v>205</v>
      </c>
      <c r="B2363" s="4" t="s">
        <v>93</v>
      </c>
      <c r="C2363" s="4" t="s">
        <v>101</v>
      </c>
      <c r="D2363" s="4" t="s">
        <v>4889</v>
      </c>
      <c r="E2363" s="4">
        <v>5103205</v>
      </c>
      <c r="F2363" s="4" t="s">
        <v>4890</v>
      </c>
      <c r="G2363" s="4" t="s">
        <v>232</v>
      </c>
      <c r="H2363" s="13"/>
    </row>
    <row r="2364" s="1" customFormat="1" spans="1:8">
      <c r="A2364" s="4" t="s">
        <v>205</v>
      </c>
      <c r="B2364" s="4" t="s">
        <v>93</v>
      </c>
      <c r="C2364" s="4" t="s">
        <v>101</v>
      </c>
      <c r="D2364" s="4" t="s">
        <v>4891</v>
      </c>
      <c r="E2364" s="4">
        <v>5103304</v>
      </c>
      <c r="F2364" s="4" t="s">
        <v>4892</v>
      </c>
      <c r="G2364" s="4" t="s">
        <v>232</v>
      </c>
      <c r="H2364" s="13"/>
    </row>
    <row r="2365" s="1" customFormat="1" spans="1:8">
      <c r="A2365" s="4" t="s">
        <v>205</v>
      </c>
      <c r="B2365" s="4" t="s">
        <v>93</v>
      </c>
      <c r="C2365" s="4" t="s">
        <v>101</v>
      </c>
      <c r="D2365" s="4" t="s">
        <v>4893</v>
      </c>
      <c r="E2365" s="4">
        <v>5103361</v>
      </c>
      <c r="F2365" s="4" t="s">
        <v>4894</v>
      </c>
      <c r="G2365" s="4" t="s">
        <v>232</v>
      </c>
      <c r="H2365" s="13"/>
    </row>
    <row r="2366" s="1" customFormat="1" spans="1:8">
      <c r="A2366" s="4" t="s">
        <v>205</v>
      </c>
      <c r="B2366" s="4" t="s">
        <v>93</v>
      </c>
      <c r="C2366" s="4" t="s">
        <v>101</v>
      </c>
      <c r="D2366" s="4" t="s">
        <v>4895</v>
      </c>
      <c r="E2366" s="4">
        <v>5103700</v>
      </c>
      <c r="F2366" s="4" t="s">
        <v>4896</v>
      </c>
      <c r="G2366" s="4" t="s">
        <v>232</v>
      </c>
      <c r="H2366" s="13"/>
    </row>
    <row r="2367" s="1" customFormat="1" spans="1:8">
      <c r="A2367" s="4" t="s">
        <v>205</v>
      </c>
      <c r="B2367" s="4" t="s">
        <v>93</v>
      </c>
      <c r="C2367" s="4" t="s">
        <v>101</v>
      </c>
      <c r="D2367" s="4" t="s">
        <v>4897</v>
      </c>
      <c r="E2367" s="4">
        <v>5103809</v>
      </c>
      <c r="F2367" s="4" t="s">
        <v>4898</v>
      </c>
      <c r="G2367" s="4" t="s">
        <v>232</v>
      </c>
      <c r="H2367" s="13"/>
    </row>
    <row r="2368" s="1" customFormat="1" spans="1:8">
      <c r="A2368" s="4" t="s">
        <v>205</v>
      </c>
      <c r="B2368" s="4" t="s">
        <v>93</v>
      </c>
      <c r="C2368" s="4" t="s">
        <v>101</v>
      </c>
      <c r="D2368" s="4" t="s">
        <v>4899</v>
      </c>
      <c r="E2368" s="4">
        <v>5103858</v>
      </c>
      <c r="F2368" s="4" t="s">
        <v>4900</v>
      </c>
      <c r="G2368" s="4" t="s">
        <v>232</v>
      </c>
      <c r="H2368" s="13"/>
    </row>
    <row r="2369" s="1" customFormat="1" spans="1:8">
      <c r="A2369" s="4" t="s">
        <v>205</v>
      </c>
      <c r="B2369" s="4" t="s">
        <v>93</v>
      </c>
      <c r="C2369" s="4" t="s">
        <v>101</v>
      </c>
      <c r="D2369" s="4" t="s">
        <v>4901</v>
      </c>
      <c r="E2369" s="4">
        <v>5103908</v>
      </c>
      <c r="F2369" s="4" t="s">
        <v>4902</v>
      </c>
      <c r="G2369" s="4" t="s">
        <v>232</v>
      </c>
      <c r="H2369" s="13"/>
    </row>
    <row r="2370" s="1" customFormat="1" spans="1:8">
      <c r="A2370" s="4" t="s">
        <v>205</v>
      </c>
      <c r="B2370" s="4" t="s">
        <v>93</v>
      </c>
      <c r="C2370" s="4" t="s">
        <v>101</v>
      </c>
      <c r="D2370" s="4" t="s">
        <v>4903</v>
      </c>
      <c r="E2370" s="4">
        <v>5104104</v>
      </c>
      <c r="F2370" s="4" t="s">
        <v>4904</v>
      </c>
      <c r="G2370" s="4" t="s">
        <v>232</v>
      </c>
      <c r="H2370" s="13"/>
    </row>
    <row r="2371" s="1" customFormat="1" spans="1:8">
      <c r="A2371" s="4" t="s">
        <v>205</v>
      </c>
      <c r="B2371" s="4" t="s">
        <v>93</v>
      </c>
      <c r="C2371" s="4" t="s">
        <v>101</v>
      </c>
      <c r="D2371" s="4" t="s">
        <v>4905</v>
      </c>
      <c r="E2371" s="4">
        <v>5104526</v>
      </c>
      <c r="F2371" s="4" t="s">
        <v>4906</v>
      </c>
      <c r="G2371" s="4" t="s">
        <v>232</v>
      </c>
      <c r="H2371" s="13"/>
    </row>
    <row r="2372" s="1" customFormat="1" spans="1:8">
      <c r="A2372" s="4" t="s">
        <v>205</v>
      </c>
      <c r="B2372" s="4" t="s">
        <v>93</v>
      </c>
      <c r="C2372" s="4" t="s">
        <v>101</v>
      </c>
      <c r="D2372" s="4" t="s">
        <v>4907</v>
      </c>
      <c r="E2372" s="4">
        <v>5104542</v>
      </c>
      <c r="F2372" s="4" t="s">
        <v>4908</v>
      </c>
      <c r="G2372" s="4" t="s">
        <v>232</v>
      </c>
      <c r="H2372" s="13"/>
    </row>
    <row r="2373" s="1" customFormat="1" spans="1:8">
      <c r="A2373" s="4" t="s">
        <v>205</v>
      </c>
      <c r="B2373" s="4" t="s">
        <v>93</v>
      </c>
      <c r="C2373" s="4" t="s">
        <v>101</v>
      </c>
      <c r="D2373" s="4" t="s">
        <v>4909</v>
      </c>
      <c r="E2373" s="4">
        <v>5104559</v>
      </c>
      <c r="F2373" s="4" t="s">
        <v>4910</v>
      </c>
      <c r="G2373" s="4" t="s">
        <v>232</v>
      </c>
      <c r="H2373" s="13"/>
    </row>
    <row r="2374" s="1" customFormat="1" spans="1:8">
      <c r="A2374" s="4" t="s">
        <v>205</v>
      </c>
      <c r="B2374" s="4" t="s">
        <v>93</v>
      </c>
      <c r="C2374" s="4" t="s">
        <v>101</v>
      </c>
      <c r="D2374" s="4" t="s">
        <v>4911</v>
      </c>
      <c r="E2374" s="4">
        <v>5105002</v>
      </c>
      <c r="F2374" s="4" t="s">
        <v>4912</v>
      </c>
      <c r="G2374" s="4" t="s">
        <v>232</v>
      </c>
      <c r="H2374" s="13"/>
    </row>
    <row r="2375" s="1" customFormat="1" spans="1:8">
      <c r="A2375" s="4" t="s">
        <v>205</v>
      </c>
      <c r="B2375" s="4" t="s">
        <v>93</v>
      </c>
      <c r="C2375" s="4" t="s">
        <v>101</v>
      </c>
      <c r="D2375" s="4" t="s">
        <v>4913</v>
      </c>
      <c r="E2375" s="4">
        <v>5105101</v>
      </c>
      <c r="F2375" s="4" t="s">
        <v>4914</v>
      </c>
      <c r="G2375" s="4" t="s">
        <v>232</v>
      </c>
      <c r="H2375" s="13"/>
    </row>
    <row r="2376" s="1" customFormat="1" spans="1:8">
      <c r="A2376" s="4" t="s">
        <v>205</v>
      </c>
      <c r="B2376" s="4" t="s">
        <v>93</v>
      </c>
      <c r="C2376" s="4" t="s">
        <v>101</v>
      </c>
      <c r="D2376" s="4" t="s">
        <v>4915</v>
      </c>
      <c r="E2376" s="4">
        <v>5105150</v>
      </c>
      <c r="F2376" s="4" t="s">
        <v>4916</v>
      </c>
      <c r="G2376" s="4" t="s">
        <v>232</v>
      </c>
      <c r="H2376" s="13"/>
    </row>
    <row r="2377" s="1" customFormat="1" spans="1:8">
      <c r="A2377" s="4" t="s">
        <v>205</v>
      </c>
      <c r="B2377" s="4" t="s">
        <v>93</v>
      </c>
      <c r="C2377" s="4" t="s">
        <v>101</v>
      </c>
      <c r="D2377" s="4" t="s">
        <v>4917</v>
      </c>
      <c r="E2377" s="4">
        <v>5105580</v>
      </c>
      <c r="F2377" s="4" t="s">
        <v>4918</v>
      </c>
      <c r="G2377" s="4" t="s">
        <v>232</v>
      </c>
      <c r="H2377" s="13"/>
    </row>
    <row r="2378" s="1" customFormat="1" spans="1:8">
      <c r="A2378" s="4" t="s">
        <v>205</v>
      </c>
      <c r="B2378" s="4" t="s">
        <v>93</v>
      </c>
      <c r="C2378" s="4" t="s">
        <v>101</v>
      </c>
      <c r="D2378" s="4" t="s">
        <v>4919</v>
      </c>
      <c r="E2378" s="4">
        <v>5105606</v>
      </c>
      <c r="F2378" s="4" t="s">
        <v>4920</v>
      </c>
      <c r="G2378" s="4" t="s">
        <v>232</v>
      </c>
      <c r="H2378" s="13"/>
    </row>
    <row r="2379" s="1" customFormat="1" spans="1:8">
      <c r="A2379" s="4" t="s">
        <v>205</v>
      </c>
      <c r="B2379" s="4" t="s">
        <v>93</v>
      </c>
      <c r="C2379" s="4" t="s">
        <v>101</v>
      </c>
      <c r="D2379" s="4" t="s">
        <v>4921</v>
      </c>
      <c r="E2379" s="4">
        <v>5106216</v>
      </c>
      <c r="F2379" s="4" t="s">
        <v>4922</v>
      </c>
      <c r="G2379" s="4" t="s">
        <v>232</v>
      </c>
      <c r="H2379" s="13"/>
    </row>
    <row r="2380" s="1" customFormat="1" spans="1:8">
      <c r="A2380" s="4" t="s">
        <v>205</v>
      </c>
      <c r="B2380" s="4" t="s">
        <v>93</v>
      </c>
      <c r="C2380" s="4" t="s">
        <v>101</v>
      </c>
      <c r="D2380" s="4" t="s">
        <v>4923</v>
      </c>
      <c r="E2380" s="4">
        <v>5108808</v>
      </c>
      <c r="F2380" s="4" t="s">
        <v>4924</v>
      </c>
      <c r="G2380" s="4" t="s">
        <v>232</v>
      </c>
      <c r="H2380" s="13"/>
    </row>
    <row r="2381" s="1" customFormat="1" spans="1:8">
      <c r="A2381" s="4" t="s">
        <v>205</v>
      </c>
      <c r="B2381" s="4" t="s">
        <v>93</v>
      </c>
      <c r="C2381" s="4" t="s">
        <v>101</v>
      </c>
      <c r="D2381" s="4" t="s">
        <v>4925</v>
      </c>
      <c r="E2381" s="4">
        <v>5106182</v>
      </c>
      <c r="F2381" s="4" t="s">
        <v>4926</v>
      </c>
      <c r="G2381" s="4" t="s">
        <v>232</v>
      </c>
      <c r="H2381" s="13"/>
    </row>
    <row r="2382" s="1" customFormat="1" spans="1:8">
      <c r="A2382" s="4" t="s">
        <v>205</v>
      </c>
      <c r="B2382" s="4" t="s">
        <v>93</v>
      </c>
      <c r="C2382" s="4" t="s">
        <v>101</v>
      </c>
      <c r="D2382" s="4" t="s">
        <v>4927</v>
      </c>
      <c r="E2382" s="4">
        <v>5106190</v>
      </c>
      <c r="F2382" s="4" t="s">
        <v>4928</v>
      </c>
      <c r="G2382" s="4" t="s">
        <v>232</v>
      </c>
      <c r="H2382" s="13"/>
    </row>
    <row r="2383" s="1" customFormat="1" spans="1:8">
      <c r="A2383" s="4" t="s">
        <v>205</v>
      </c>
      <c r="B2383" s="4" t="s">
        <v>93</v>
      </c>
      <c r="C2383" s="4" t="s">
        <v>101</v>
      </c>
      <c r="D2383" s="4" t="s">
        <v>4929</v>
      </c>
      <c r="E2383" s="4">
        <v>5106240</v>
      </c>
      <c r="F2383" s="4" t="s">
        <v>4930</v>
      </c>
      <c r="G2383" s="4" t="s">
        <v>232</v>
      </c>
      <c r="H2383" s="13"/>
    </row>
    <row r="2384" s="1" customFormat="1" spans="1:8">
      <c r="A2384" s="4" t="s">
        <v>205</v>
      </c>
      <c r="B2384" s="4" t="s">
        <v>93</v>
      </c>
      <c r="C2384" s="4" t="s">
        <v>101</v>
      </c>
      <c r="D2384" s="4" t="s">
        <v>4931</v>
      </c>
      <c r="E2384" s="4">
        <v>5106257</v>
      </c>
      <c r="F2384" s="4" t="s">
        <v>4932</v>
      </c>
      <c r="G2384" s="4" t="s">
        <v>232</v>
      </c>
      <c r="H2384" s="13"/>
    </row>
    <row r="2385" s="1" customFormat="1" spans="1:8">
      <c r="A2385" s="4" t="s">
        <v>205</v>
      </c>
      <c r="B2385" s="4" t="s">
        <v>93</v>
      </c>
      <c r="C2385" s="4" t="s">
        <v>101</v>
      </c>
      <c r="D2385" s="4" t="s">
        <v>4933</v>
      </c>
      <c r="E2385" s="4">
        <v>5106273</v>
      </c>
      <c r="F2385" s="4" t="s">
        <v>4934</v>
      </c>
      <c r="G2385" s="4" t="s">
        <v>232</v>
      </c>
      <c r="H2385" s="13"/>
    </row>
    <row r="2386" s="1" customFormat="1" spans="1:8">
      <c r="A2386" s="4" t="s">
        <v>205</v>
      </c>
      <c r="B2386" s="4" t="s">
        <v>93</v>
      </c>
      <c r="C2386" s="4" t="s">
        <v>101</v>
      </c>
      <c r="D2386" s="4" t="s">
        <v>4935</v>
      </c>
      <c r="E2386" s="4">
        <v>5106265</v>
      </c>
      <c r="F2386" s="4" t="s">
        <v>4936</v>
      </c>
      <c r="G2386" s="4" t="s">
        <v>232</v>
      </c>
      <c r="H2386" s="13"/>
    </row>
    <row r="2387" s="1" customFormat="1" spans="1:8">
      <c r="A2387" s="4" t="s">
        <v>205</v>
      </c>
      <c r="B2387" s="4" t="s">
        <v>93</v>
      </c>
      <c r="C2387" s="4" t="s">
        <v>101</v>
      </c>
      <c r="D2387" s="4" t="s">
        <v>4937</v>
      </c>
      <c r="E2387" s="4">
        <v>5106281</v>
      </c>
      <c r="F2387" s="4" t="s">
        <v>4938</v>
      </c>
      <c r="G2387" s="4" t="s">
        <v>232</v>
      </c>
      <c r="H2387" s="13"/>
    </row>
    <row r="2388" s="1" customFormat="1" spans="1:8">
      <c r="A2388" s="4" t="s">
        <v>205</v>
      </c>
      <c r="B2388" s="4" t="s">
        <v>93</v>
      </c>
      <c r="C2388" s="4" t="s">
        <v>101</v>
      </c>
      <c r="D2388" s="4" t="s">
        <v>4939</v>
      </c>
      <c r="E2388" s="4">
        <v>5106307</v>
      </c>
      <c r="F2388" s="4" t="s">
        <v>4940</v>
      </c>
      <c r="G2388" s="4" t="s">
        <v>232</v>
      </c>
      <c r="H2388" s="13"/>
    </row>
    <row r="2389" s="1" customFormat="1" spans="1:8">
      <c r="A2389" s="4" t="s">
        <v>205</v>
      </c>
      <c r="B2389" s="4" t="s">
        <v>93</v>
      </c>
      <c r="C2389" s="4" t="s">
        <v>101</v>
      </c>
      <c r="D2389" s="4" t="s">
        <v>4941</v>
      </c>
      <c r="E2389" s="4">
        <v>5106422</v>
      </c>
      <c r="F2389" s="4" t="s">
        <v>4942</v>
      </c>
      <c r="G2389" s="4" t="s">
        <v>232</v>
      </c>
      <c r="H2389" s="13"/>
    </row>
    <row r="2390" s="1" customFormat="1" spans="1:8">
      <c r="A2390" s="4" t="s">
        <v>205</v>
      </c>
      <c r="B2390" s="4" t="s">
        <v>93</v>
      </c>
      <c r="C2390" s="4" t="s">
        <v>101</v>
      </c>
      <c r="D2390" s="4" t="s">
        <v>4943</v>
      </c>
      <c r="E2390" s="4">
        <v>5106653</v>
      </c>
      <c r="F2390" s="4" t="s">
        <v>4944</v>
      </c>
      <c r="G2390" s="4" t="s">
        <v>232</v>
      </c>
      <c r="H2390" s="13"/>
    </row>
    <row r="2391" s="1" customFormat="1" spans="1:8">
      <c r="A2391" s="4" t="s">
        <v>205</v>
      </c>
      <c r="B2391" s="4" t="s">
        <v>93</v>
      </c>
      <c r="C2391" s="4" t="s">
        <v>101</v>
      </c>
      <c r="D2391" s="4" t="s">
        <v>4945</v>
      </c>
      <c r="E2391" s="4">
        <v>5106703</v>
      </c>
      <c r="F2391" s="4" t="s">
        <v>4946</v>
      </c>
      <c r="G2391" s="4" t="s">
        <v>232</v>
      </c>
      <c r="H2391" s="13"/>
    </row>
    <row r="2392" s="1" customFormat="1" spans="1:8">
      <c r="A2392" s="4" t="s">
        <v>205</v>
      </c>
      <c r="B2392" s="4" t="s">
        <v>93</v>
      </c>
      <c r="C2392" s="4" t="s">
        <v>101</v>
      </c>
      <c r="D2392" s="4" t="s">
        <v>4947</v>
      </c>
      <c r="E2392" s="4">
        <v>5106752</v>
      </c>
      <c r="F2392" s="4" t="s">
        <v>4948</v>
      </c>
      <c r="G2392" s="4" t="s">
        <v>232</v>
      </c>
      <c r="H2392" s="13"/>
    </row>
    <row r="2393" s="1" customFormat="1" spans="1:8">
      <c r="A2393" s="4" t="s">
        <v>205</v>
      </c>
      <c r="B2393" s="4" t="s">
        <v>93</v>
      </c>
      <c r="C2393" s="4" t="s">
        <v>101</v>
      </c>
      <c r="D2393" s="4" t="s">
        <v>4949</v>
      </c>
      <c r="E2393" s="4">
        <v>5106802</v>
      </c>
      <c r="F2393" s="4" t="s">
        <v>4950</v>
      </c>
      <c r="G2393" s="4" t="s">
        <v>232</v>
      </c>
      <c r="H2393" s="13"/>
    </row>
    <row r="2394" s="1" customFormat="1" spans="1:8">
      <c r="A2394" s="4" t="s">
        <v>205</v>
      </c>
      <c r="B2394" s="4" t="s">
        <v>93</v>
      </c>
      <c r="C2394" s="4" t="s">
        <v>101</v>
      </c>
      <c r="D2394" s="4" t="s">
        <v>4951</v>
      </c>
      <c r="E2394" s="4">
        <v>5107156</v>
      </c>
      <c r="F2394" s="4" t="s">
        <v>4952</v>
      </c>
      <c r="G2394" s="4" t="s">
        <v>232</v>
      </c>
      <c r="H2394" s="13"/>
    </row>
    <row r="2395" s="1" customFormat="1" spans="1:8">
      <c r="A2395" s="4" t="s">
        <v>205</v>
      </c>
      <c r="B2395" s="4" t="s">
        <v>93</v>
      </c>
      <c r="C2395" s="4" t="s">
        <v>101</v>
      </c>
      <c r="D2395" s="4" t="s">
        <v>4953</v>
      </c>
      <c r="E2395" s="4">
        <v>5107198</v>
      </c>
      <c r="F2395" s="4" t="s">
        <v>4954</v>
      </c>
      <c r="G2395" s="4" t="s">
        <v>232</v>
      </c>
      <c r="H2395" s="13"/>
    </row>
    <row r="2396" s="1" customFormat="1" spans="1:8">
      <c r="A2396" s="4" t="s">
        <v>205</v>
      </c>
      <c r="B2396" s="4" t="s">
        <v>93</v>
      </c>
      <c r="C2396" s="4" t="s">
        <v>101</v>
      </c>
      <c r="D2396" s="4" t="s">
        <v>4955</v>
      </c>
      <c r="E2396" s="4">
        <v>5107248</v>
      </c>
      <c r="F2396" s="4" t="s">
        <v>4956</v>
      </c>
      <c r="G2396" s="4" t="s">
        <v>232</v>
      </c>
      <c r="H2396" s="13"/>
    </row>
    <row r="2397" s="1" customFormat="1" spans="1:8">
      <c r="A2397" s="4" t="s">
        <v>205</v>
      </c>
      <c r="B2397" s="4" t="s">
        <v>93</v>
      </c>
      <c r="C2397" s="4" t="s">
        <v>101</v>
      </c>
      <c r="D2397" s="4" t="s">
        <v>4957</v>
      </c>
      <c r="E2397" s="4">
        <v>5107792</v>
      </c>
      <c r="F2397" s="4" t="s">
        <v>4958</v>
      </c>
      <c r="G2397" s="4" t="s">
        <v>232</v>
      </c>
      <c r="H2397" s="13"/>
    </row>
    <row r="2398" s="1" customFormat="1" spans="1:8">
      <c r="A2398" s="4" t="s">
        <v>205</v>
      </c>
      <c r="B2398" s="4" t="s">
        <v>93</v>
      </c>
      <c r="C2398" s="4" t="s">
        <v>101</v>
      </c>
      <c r="D2398" s="4" t="s">
        <v>4959</v>
      </c>
      <c r="E2398" s="4">
        <v>5107875</v>
      </c>
      <c r="F2398" s="4" t="s">
        <v>4960</v>
      </c>
      <c r="G2398" s="4" t="s">
        <v>232</v>
      </c>
      <c r="H2398" s="13"/>
    </row>
    <row r="2399" s="1" customFormat="1" spans="1:8">
      <c r="A2399" s="4" t="s">
        <v>205</v>
      </c>
      <c r="B2399" s="4" t="s">
        <v>93</v>
      </c>
      <c r="C2399" s="4" t="s">
        <v>101</v>
      </c>
      <c r="D2399" s="4" t="s">
        <v>4961</v>
      </c>
      <c r="E2399" s="4">
        <v>5107909</v>
      </c>
      <c r="F2399" s="4" t="s">
        <v>4962</v>
      </c>
      <c r="G2399" s="4" t="s">
        <v>232</v>
      </c>
      <c r="H2399" s="13"/>
    </row>
    <row r="2400" s="1" customFormat="1" spans="1:8">
      <c r="A2400" s="4" t="s">
        <v>205</v>
      </c>
      <c r="B2400" s="4" t="s">
        <v>93</v>
      </c>
      <c r="C2400" s="4" t="s">
        <v>101</v>
      </c>
      <c r="D2400" s="4" t="s">
        <v>4963</v>
      </c>
      <c r="E2400" s="4">
        <v>5107925</v>
      </c>
      <c r="F2400" s="4" t="s">
        <v>4964</v>
      </c>
      <c r="G2400" s="4" t="s">
        <v>232</v>
      </c>
      <c r="H2400" s="13"/>
    </row>
    <row r="2401" s="1" customFormat="1" spans="1:8">
      <c r="A2401" s="4" t="s">
        <v>205</v>
      </c>
      <c r="B2401" s="4" t="s">
        <v>93</v>
      </c>
      <c r="C2401" s="4" t="s">
        <v>101</v>
      </c>
      <c r="D2401" s="4" t="s">
        <v>4965</v>
      </c>
      <c r="E2401" s="4">
        <v>5107941</v>
      </c>
      <c r="F2401" s="4" t="s">
        <v>4966</v>
      </c>
      <c r="G2401" s="4" t="s">
        <v>232</v>
      </c>
      <c r="H2401" s="13"/>
    </row>
    <row r="2402" s="1" customFormat="1" spans="1:8">
      <c r="A2402" s="4" t="s">
        <v>205</v>
      </c>
      <c r="B2402" s="4" t="s">
        <v>93</v>
      </c>
      <c r="C2402" s="4" t="s">
        <v>101</v>
      </c>
      <c r="D2402" s="4" t="s">
        <v>4967</v>
      </c>
      <c r="E2402" s="4">
        <v>5108006</v>
      </c>
      <c r="F2402" s="4" t="s">
        <v>4968</v>
      </c>
      <c r="G2402" s="4" t="s">
        <v>232</v>
      </c>
      <c r="H2402" s="13"/>
    </row>
    <row r="2403" s="1" customFormat="1" spans="1:8">
      <c r="A2403" s="4" t="s">
        <v>205</v>
      </c>
      <c r="B2403" s="4" t="s">
        <v>93</v>
      </c>
      <c r="C2403" s="4" t="s">
        <v>101</v>
      </c>
      <c r="D2403" s="4" t="s">
        <v>4969</v>
      </c>
      <c r="E2403" s="4">
        <v>5108055</v>
      </c>
      <c r="F2403" s="4" t="s">
        <v>4970</v>
      </c>
      <c r="G2403" s="4" t="s">
        <v>232</v>
      </c>
      <c r="H2403" s="13"/>
    </row>
    <row r="2404" s="1" customFormat="1" spans="1:8">
      <c r="A2404" s="4" t="s">
        <v>205</v>
      </c>
      <c r="B2404" s="4" t="s">
        <v>93</v>
      </c>
      <c r="C2404" s="4" t="s">
        <v>101</v>
      </c>
      <c r="D2404" s="4" t="s">
        <v>4971</v>
      </c>
      <c r="E2404" s="4">
        <v>5108105</v>
      </c>
      <c r="F2404" s="4" t="s">
        <v>4972</v>
      </c>
      <c r="G2404" s="4" t="s">
        <v>232</v>
      </c>
      <c r="H2404" s="13"/>
    </row>
    <row r="2405" s="1" customFormat="1" spans="1:8">
      <c r="A2405" s="4" t="s">
        <v>205</v>
      </c>
      <c r="B2405" s="4" t="s">
        <v>93</v>
      </c>
      <c r="C2405" s="4" t="s">
        <v>101</v>
      </c>
      <c r="D2405" s="4" t="s">
        <v>4973</v>
      </c>
      <c r="E2405" s="4">
        <v>5108204</v>
      </c>
      <c r="F2405" s="4" t="s">
        <v>4974</v>
      </c>
      <c r="G2405" s="4" t="s">
        <v>232</v>
      </c>
      <c r="H2405" s="13"/>
    </row>
    <row r="2406" s="1" customFormat="1" spans="1:8">
      <c r="A2406" s="4" t="s">
        <v>205</v>
      </c>
      <c r="B2406" s="4" t="s">
        <v>93</v>
      </c>
      <c r="C2406" s="4" t="s">
        <v>101</v>
      </c>
      <c r="D2406" s="4" t="s">
        <v>4975</v>
      </c>
      <c r="E2406" s="4">
        <v>5108303</v>
      </c>
      <c r="F2406" s="4" t="s">
        <v>4976</v>
      </c>
      <c r="G2406" s="4" t="s">
        <v>232</v>
      </c>
      <c r="H2406" s="13"/>
    </row>
    <row r="2407" s="1" customFormat="1" spans="1:8">
      <c r="A2407" s="4" t="s">
        <v>205</v>
      </c>
      <c r="B2407" s="4" t="s">
        <v>93</v>
      </c>
      <c r="C2407" s="4" t="s">
        <v>101</v>
      </c>
      <c r="D2407" s="4" t="s">
        <v>4977</v>
      </c>
      <c r="E2407" s="4">
        <v>5108352</v>
      </c>
      <c r="F2407" s="4" t="s">
        <v>4978</v>
      </c>
      <c r="G2407" s="4" t="s">
        <v>232</v>
      </c>
      <c r="H2407" s="13"/>
    </row>
    <row r="2408" s="1" customFormat="1" spans="1:8">
      <c r="A2408" s="4" t="s">
        <v>205</v>
      </c>
      <c r="B2408" s="4" t="s">
        <v>93</v>
      </c>
      <c r="C2408" s="4" t="s">
        <v>101</v>
      </c>
      <c r="D2408" s="4" t="s">
        <v>4979</v>
      </c>
      <c r="E2408" s="4">
        <v>5108501</v>
      </c>
      <c r="F2408" s="4" t="s">
        <v>4980</v>
      </c>
      <c r="G2408" s="4" t="s">
        <v>232</v>
      </c>
      <c r="H2408" s="13"/>
    </row>
    <row r="2409" s="1" customFormat="1" spans="1:8">
      <c r="A2409" s="4" t="s">
        <v>205</v>
      </c>
      <c r="B2409" s="4" t="s">
        <v>93</v>
      </c>
      <c r="C2409" s="4" t="s">
        <v>101</v>
      </c>
      <c r="D2409" s="4" t="s">
        <v>4981</v>
      </c>
      <c r="E2409" s="4">
        <v>5105507</v>
      </c>
      <c r="F2409" s="4" t="s">
        <v>4982</v>
      </c>
      <c r="G2409" s="4" t="s">
        <v>232</v>
      </c>
      <c r="H2409" s="13"/>
    </row>
    <row r="2410" s="1" customFormat="1" spans="1:8">
      <c r="A2410" s="4" t="s">
        <v>205</v>
      </c>
      <c r="B2410" s="4" t="s">
        <v>93</v>
      </c>
      <c r="C2410" s="4" t="s">
        <v>101</v>
      </c>
      <c r="D2410" s="4" t="s">
        <v>4393</v>
      </c>
      <c r="E2410" s="4">
        <v>5100201</v>
      </c>
      <c r="F2410" s="4" t="s">
        <v>4983</v>
      </c>
      <c r="G2410" s="4" t="s">
        <v>232</v>
      </c>
      <c r="H2410" s="13"/>
    </row>
    <row r="2411" s="1" customFormat="1" spans="1:8">
      <c r="A2411" s="4" t="s">
        <v>205</v>
      </c>
      <c r="B2411" s="4" t="s">
        <v>93</v>
      </c>
      <c r="C2411" s="4" t="s">
        <v>101</v>
      </c>
      <c r="D2411" s="4" t="s">
        <v>4984</v>
      </c>
      <c r="E2411" s="4">
        <v>5100250</v>
      </c>
      <c r="F2411" s="4" t="s">
        <v>4985</v>
      </c>
      <c r="G2411" s="4" t="s">
        <v>243</v>
      </c>
      <c r="H2411" s="13"/>
    </row>
    <row r="2412" s="1" customFormat="1" spans="1:8">
      <c r="A2412" s="4" t="s">
        <v>205</v>
      </c>
      <c r="B2412" s="4" t="s">
        <v>93</v>
      </c>
      <c r="C2412" s="4" t="s">
        <v>101</v>
      </c>
      <c r="D2412" s="4" t="s">
        <v>4986</v>
      </c>
      <c r="E2412" s="4">
        <v>5100359</v>
      </c>
      <c r="F2412" s="4" t="s">
        <v>4987</v>
      </c>
      <c r="G2412" s="4" t="s">
        <v>243</v>
      </c>
      <c r="H2412" s="13"/>
    </row>
    <row r="2413" s="1" customFormat="1" spans="1:8">
      <c r="A2413" s="4" t="s">
        <v>205</v>
      </c>
      <c r="B2413" s="4" t="s">
        <v>93</v>
      </c>
      <c r="C2413" s="4" t="s">
        <v>101</v>
      </c>
      <c r="D2413" s="4" t="s">
        <v>4988</v>
      </c>
      <c r="E2413" s="4">
        <v>5100805</v>
      </c>
      <c r="F2413" s="4" t="s">
        <v>4989</v>
      </c>
      <c r="G2413" s="4" t="s">
        <v>243</v>
      </c>
      <c r="H2413" s="13"/>
    </row>
    <row r="2414" s="1" customFormat="1" spans="1:8">
      <c r="A2414" s="4" t="s">
        <v>205</v>
      </c>
      <c r="B2414" s="4" t="s">
        <v>93</v>
      </c>
      <c r="C2414" s="4" t="s">
        <v>101</v>
      </c>
      <c r="D2414" s="4" t="s">
        <v>4990</v>
      </c>
      <c r="E2414" s="4">
        <v>5101407</v>
      </c>
      <c r="F2414" s="4" t="s">
        <v>4991</v>
      </c>
      <c r="G2414" s="4" t="s">
        <v>243</v>
      </c>
      <c r="H2414" s="13"/>
    </row>
    <row r="2415" s="1" customFormat="1" spans="1:8">
      <c r="A2415" s="4" t="s">
        <v>205</v>
      </c>
      <c r="B2415" s="4" t="s">
        <v>93</v>
      </c>
      <c r="C2415" s="4" t="s">
        <v>101</v>
      </c>
      <c r="D2415" s="4" t="s">
        <v>4992</v>
      </c>
      <c r="E2415" s="4">
        <v>5101852</v>
      </c>
      <c r="F2415" s="4" t="s">
        <v>4993</v>
      </c>
      <c r="G2415" s="4" t="s">
        <v>243</v>
      </c>
      <c r="H2415" s="13"/>
    </row>
    <row r="2416" s="1" customFormat="1" spans="1:8">
      <c r="A2416" s="4" t="s">
        <v>205</v>
      </c>
      <c r="B2416" s="4" t="s">
        <v>93</v>
      </c>
      <c r="C2416" s="4" t="s">
        <v>101</v>
      </c>
      <c r="D2416" s="4" t="s">
        <v>4994</v>
      </c>
      <c r="E2416" s="4">
        <v>5102694</v>
      </c>
      <c r="F2416" s="4" t="s">
        <v>4995</v>
      </c>
      <c r="G2416" s="4" t="s">
        <v>243</v>
      </c>
      <c r="H2416" s="13"/>
    </row>
    <row r="2417" s="1" customFormat="1" spans="1:8">
      <c r="A2417" s="4" t="s">
        <v>205</v>
      </c>
      <c r="B2417" s="4" t="s">
        <v>93</v>
      </c>
      <c r="C2417" s="4" t="s">
        <v>101</v>
      </c>
      <c r="D2417" s="4" t="s">
        <v>971</v>
      </c>
      <c r="E2417" s="4">
        <v>5102702</v>
      </c>
      <c r="F2417" s="4" t="s">
        <v>4996</v>
      </c>
      <c r="G2417" s="4" t="s">
        <v>243</v>
      </c>
      <c r="H2417" s="13"/>
    </row>
    <row r="2418" s="1" customFormat="1" spans="1:8">
      <c r="A2418" s="4" t="s">
        <v>205</v>
      </c>
      <c r="B2418" s="4" t="s">
        <v>93</v>
      </c>
      <c r="C2418" s="4" t="s">
        <v>101</v>
      </c>
      <c r="D2418" s="4" t="s">
        <v>4997</v>
      </c>
      <c r="E2418" s="4">
        <v>5102850</v>
      </c>
      <c r="F2418" s="4" t="s">
        <v>4998</v>
      </c>
      <c r="G2418" s="4" t="s">
        <v>243</v>
      </c>
      <c r="H2418" s="13"/>
    </row>
    <row r="2419" s="1" customFormat="1" spans="1:8">
      <c r="A2419" s="4" t="s">
        <v>205</v>
      </c>
      <c r="B2419" s="4" t="s">
        <v>93</v>
      </c>
      <c r="C2419" s="4" t="s">
        <v>101</v>
      </c>
      <c r="D2419" s="4" t="s">
        <v>4999</v>
      </c>
      <c r="E2419" s="4">
        <v>5103106</v>
      </c>
      <c r="F2419" s="4" t="s">
        <v>5000</v>
      </c>
      <c r="G2419" s="4" t="s">
        <v>243</v>
      </c>
      <c r="H2419" s="13"/>
    </row>
    <row r="2420" s="1" customFormat="1" spans="1:8">
      <c r="A2420" s="4" t="s">
        <v>205</v>
      </c>
      <c r="B2420" s="4" t="s">
        <v>93</v>
      </c>
      <c r="C2420" s="4" t="s">
        <v>101</v>
      </c>
      <c r="D2420" s="4" t="s">
        <v>5001</v>
      </c>
      <c r="E2420" s="4">
        <v>5103254</v>
      </c>
      <c r="F2420" s="4" t="s">
        <v>5002</v>
      </c>
      <c r="G2420" s="4" t="s">
        <v>243</v>
      </c>
      <c r="H2420" s="13"/>
    </row>
    <row r="2421" s="1" customFormat="1" spans="1:8">
      <c r="A2421" s="4" t="s">
        <v>205</v>
      </c>
      <c r="B2421" s="4" t="s">
        <v>93</v>
      </c>
      <c r="C2421" s="4" t="s">
        <v>101</v>
      </c>
      <c r="D2421" s="4" t="s">
        <v>5003</v>
      </c>
      <c r="E2421" s="4">
        <v>5103353</v>
      </c>
      <c r="F2421" s="4" t="s">
        <v>5004</v>
      </c>
      <c r="G2421" s="4" t="s">
        <v>243</v>
      </c>
      <c r="H2421" s="13"/>
    </row>
    <row r="2422" s="1" customFormat="1" spans="1:8">
      <c r="A2422" s="4" t="s">
        <v>205</v>
      </c>
      <c r="B2422" s="4" t="s">
        <v>93</v>
      </c>
      <c r="C2422" s="4" t="s">
        <v>101</v>
      </c>
      <c r="D2422" s="4" t="s">
        <v>5005</v>
      </c>
      <c r="E2422" s="4">
        <v>5103379</v>
      </c>
      <c r="F2422" s="4" t="s">
        <v>5006</v>
      </c>
      <c r="G2422" s="4" t="s">
        <v>243</v>
      </c>
      <c r="H2422" s="13"/>
    </row>
    <row r="2423" s="1" customFormat="1" spans="1:8">
      <c r="A2423" s="4" t="s">
        <v>205</v>
      </c>
      <c r="B2423" s="4" t="s">
        <v>93</v>
      </c>
      <c r="C2423" s="4" t="s">
        <v>101</v>
      </c>
      <c r="D2423" s="4" t="s">
        <v>5007</v>
      </c>
      <c r="E2423" s="4">
        <v>5105176</v>
      </c>
      <c r="F2423" s="4" t="s">
        <v>5008</v>
      </c>
      <c r="G2423" s="4" t="s">
        <v>243</v>
      </c>
      <c r="H2423" s="13"/>
    </row>
    <row r="2424" s="1" customFormat="1" spans="1:8">
      <c r="A2424" s="4" t="s">
        <v>205</v>
      </c>
      <c r="B2424" s="4" t="s">
        <v>93</v>
      </c>
      <c r="C2424" s="4" t="s">
        <v>101</v>
      </c>
      <c r="D2424" s="4" t="s">
        <v>5009</v>
      </c>
      <c r="E2424" s="4">
        <v>5105309</v>
      </c>
      <c r="F2424" s="4" t="s">
        <v>5010</v>
      </c>
      <c r="G2424" s="4" t="s">
        <v>243</v>
      </c>
      <c r="H2424" s="13"/>
    </row>
    <row r="2425" s="1" customFormat="1" spans="1:8">
      <c r="A2425" s="4" t="s">
        <v>205</v>
      </c>
      <c r="B2425" s="4" t="s">
        <v>93</v>
      </c>
      <c r="C2425" s="4" t="s">
        <v>101</v>
      </c>
      <c r="D2425" s="4" t="s">
        <v>5011</v>
      </c>
      <c r="E2425" s="4">
        <v>5106158</v>
      </c>
      <c r="F2425" s="4" t="s">
        <v>5012</v>
      </c>
      <c r="G2425" s="4" t="s">
        <v>243</v>
      </c>
      <c r="H2425" s="13"/>
    </row>
    <row r="2426" s="1" customFormat="1" spans="1:8">
      <c r="A2426" s="4" t="s">
        <v>205</v>
      </c>
      <c r="B2426" s="4" t="s">
        <v>93</v>
      </c>
      <c r="C2426" s="4" t="s">
        <v>101</v>
      </c>
      <c r="D2426" s="4" t="s">
        <v>5013</v>
      </c>
      <c r="E2426" s="4">
        <v>5108956</v>
      </c>
      <c r="F2426" s="4" t="s">
        <v>5014</v>
      </c>
      <c r="G2426" s="4" t="s">
        <v>243</v>
      </c>
      <c r="H2426" s="13"/>
    </row>
    <row r="2427" s="1" customFormat="1" spans="1:8">
      <c r="A2427" s="4" t="s">
        <v>205</v>
      </c>
      <c r="B2427" s="4" t="s">
        <v>93</v>
      </c>
      <c r="C2427" s="4" t="s">
        <v>101</v>
      </c>
      <c r="D2427" s="4" t="s">
        <v>5015</v>
      </c>
      <c r="E2427" s="4">
        <v>5106174</v>
      </c>
      <c r="F2427" s="4" t="s">
        <v>5016</v>
      </c>
      <c r="G2427" s="4" t="s">
        <v>243</v>
      </c>
      <c r="H2427" s="13"/>
    </row>
    <row r="2428" s="1" customFormat="1" spans="1:8">
      <c r="A2428" s="4" t="s">
        <v>205</v>
      </c>
      <c r="B2428" s="4" t="s">
        <v>93</v>
      </c>
      <c r="C2428" s="4" t="s">
        <v>101</v>
      </c>
      <c r="D2428" s="4" t="s">
        <v>5017</v>
      </c>
      <c r="E2428" s="4">
        <v>5106315</v>
      </c>
      <c r="F2428" s="4" t="s">
        <v>5018</v>
      </c>
      <c r="G2428" s="4" t="s">
        <v>243</v>
      </c>
      <c r="H2428" s="13"/>
    </row>
    <row r="2429" s="1" customFormat="1" spans="1:8">
      <c r="A2429" s="4" t="s">
        <v>205</v>
      </c>
      <c r="B2429" s="4" t="s">
        <v>93</v>
      </c>
      <c r="C2429" s="4" t="s">
        <v>101</v>
      </c>
      <c r="D2429" s="4" t="s">
        <v>5019</v>
      </c>
      <c r="E2429" s="4">
        <v>5106299</v>
      </c>
      <c r="F2429" s="4" t="s">
        <v>5020</v>
      </c>
      <c r="G2429" s="4" t="s">
        <v>243</v>
      </c>
      <c r="H2429" s="13"/>
    </row>
    <row r="2430" s="1" customFormat="1" spans="1:8">
      <c r="A2430" s="4" t="s">
        <v>205</v>
      </c>
      <c r="B2430" s="4" t="s">
        <v>93</v>
      </c>
      <c r="C2430" s="4" t="s">
        <v>101</v>
      </c>
      <c r="D2430" s="4" t="s">
        <v>5021</v>
      </c>
      <c r="E2430" s="4">
        <v>5106778</v>
      </c>
      <c r="F2430" s="4" t="s">
        <v>5022</v>
      </c>
      <c r="G2430" s="4" t="s">
        <v>243</v>
      </c>
      <c r="H2430" s="13"/>
    </row>
    <row r="2431" s="1" customFormat="1" spans="1:8">
      <c r="A2431" s="4" t="s">
        <v>205</v>
      </c>
      <c r="B2431" s="4" t="s">
        <v>93</v>
      </c>
      <c r="C2431" s="4" t="s">
        <v>101</v>
      </c>
      <c r="D2431" s="4" t="s">
        <v>5023</v>
      </c>
      <c r="E2431" s="4">
        <v>5107065</v>
      </c>
      <c r="F2431" s="4" t="s">
        <v>5024</v>
      </c>
      <c r="G2431" s="4" t="s">
        <v>243</v>
      </c>
      <c r="H2431" s="13"/>
    </row>
    <row r="2432" s="1" customFormat="1" spans="1:8">
      <c r="A2432" s="4" t="s">
        <v>205</v>
      </c>
      <c r="B2432" s="4" t="s">
        <v>93</v>
      </c>
      <c r="C2432" s="4" t="s">
        <v>101</v>
      </c>
      <c r="D2432" s="4" t="s">
        <v>5025</v>
      </c>
      <c r="E2432" s="4">
        <v>5107180</v>
      </c>
      <c r="F2432" s="4" t="s">
        <v>5026</v>
      </c>
      <c r="G2432" s="4" t="s">
        <v>243</v>
      </c>
      <c r="H2432" s="13"/>
    </row>
    <row r="2433" s="1" customFormat="1" spans="1:8">
      <c r="A2433" s="4" t="s">
        <v>205</v>
      </c>
      <c r="B2433" s="4" t="s">
        <v>93</v>
      </c>
      <c r="C2433" s="4" t="s">
        <v>101</v>
      </c>
      <c r="D2433" s="4" t="s">
        <v>5027</v>
      </c>
      <c r="E2433" s="4">
        <v>5107578</v>
      </c>
      <c r="F2433" s="4" t="s">
        <v>5028</v>
      </c>
      <c r="G2433" s="4" t="s">
        <v>243</v>
      </c>
      <c r="H2433" s="13"/>
    </row>
    <row r="2434" s="1" customFormat="1" spans="1:8">
      <c r="A2434" s="4" t="s">
        <v>205</v>
      </c>
      <c r="B2434" s="4" t="s">
        <v>93</v>
      </c>
      <c r="C2434" s="4" t="s">
        <v>101</v>
      </c>
      <c r="D2434" s="4" t="s">
        <v>5029</v>
      </c>
      <c r="E2434" s="4">
        <v>5107743</v>
      </c>
      <c r="F2434" s="4" t="s">
        <v>5030</v>
      </c>
      <c r="G2434" s="4" t="s">
        <v>243</v>
      </c>
      <c r="H2434" s="13"/>
    </row>
    <row r="2435" s="1" customFormat="1" spans="1:8">
      <c r="A2435" s="4" t="s">
        <v>205</v>
      </c>
      <c r="B2435" s="4" t="s">
        <v>93</v>
      </c>
      <c r="C2435" s="4" t="s">
        <v>101</v>
      </c>
      <c r="D2435" s="4" t="s">
        <v>827</v>
      </c>
      <c r="E2435" s="4">
        <v>5107776</v>
      </c>
      <c r="F2435" s="4" t="s">
        <v>5031</v>
      </c>
      <c r="G2435" s="4" t="s">
        <v>243</v>
      </c>
      <c r="H2435" s="13"/>
    </row>
    <row r="2436" s="1" customFormat="1" spans="1:8">
      <c r="A2436" s="4" t="s">
        <v>205</v>
      </c>
      <c r="B2436" s="4" t="s">
        <v>93</v>
      </c>
      <c r="C2436" s="4" t="s">
        <v>101</v>
      </c>
      <c r="D2436" s="4" t="s">
        <v>5032</v>
      </c>
      <c r="E2436" s="4">
        <v>5107883</v>
      </c>
      <c r="F2436" s="4" t="s">
        <v>5033</v>
      </c>
      <c r="G2436" s="4" t="s">
        <v>243</v>
      </c>
      <c r="H2436" s="13"/>
    </row>
    <row r="2437" s="1" customFormat="1" spans="1:8">
      <c r="A2437" s="4" t="s">
        <v>205</v>
      </c>
      <c r="B2437" s="4" t="s">
        <v>93</v>
      </c>
      <c r="C2437" s="4" t="s">
        <v>101</v>
      </c>
      <c r="D2437" s="4" t="s">
        <v>5034</v>
      </c>
      <c r="E2437" s="4">
        <v>5107859</v>
      </c>
      <c r="F2437" s="4" t="s">
        <v>5035</v>
      </c>
      <c r="G2437" s="4" t="s">
        <v>243</v>
      </c>
      <c r="H2437" s="13"/>
    </row>
    <row r="2438" s="1" customFormat="1" spans="1:8">
      <c r="A2438" s="4" t="s">
        <v>205</v>
      </c>
      <c r="B2438" s="4" t="s">
        <v>93</v>
      </c>
      <c r="C2438" s="4" t="s">
        <v>101</v>
      </c>
      <c r="D2438" s="4" t="s">
        <v>5036</v>
      </c>
      <c r="E2438" s="4">
        <v>5107354</v>
      </c>
      <c r="F2438" s="4" t="s">
        <v>5037</v>
      </c>
      <c r="G2438" s="4" t="s">
        <v>243</v>
      </c>
      <c r="H2438" s="13"/>
    </row>
    <row r="2439" s="1" customFormat="1" spans="1:8">
      <c r="A2439" s="4" t="s">
        <v>205</v>
      </c>
      <c r="B2439" s="4" t="s">
        <v>93</v>
      </c>
      <c r="C2439" s="4" t="s">
        <v>101</v>
      </c>
      <c r="D2439" s="4" t="s">
        <v>5038</v>
      </c>
      <c r="E2439" s="4">
        <v>5108600</v>
      </c>
      <c r="F2439" s="4" t="s">
        <v>5039</v>
      </c>
      <c r="G2439" s="4" t="s">
        <v>243</v>
      </c>
      <c r="H2439" s="13"/>
    </row>
    <row r="2440" s="1" customFormat="1" spans="1:8">
      <c r="A2440" s="4" t="s">
        <v>205</v>
      </c>
      <c r="B2440" s="4" t="s">
        <v>33</v>
      </c>
      <c r="C2440" s="4" t="s">
        <v>48</v>
      </c>
      <c r="D2440" s="4" t="s">
        <v>49</v>
      </c>
      <c r="E2440" s="4">
        <v>1501402</v>
      </c>
      <c r="F2440" s="4" t="s">
        <v>5040</v>
      </c>
      <c r="G2440" s="4" t="s">
        <v>207</v>
      </c>
      <c r="H2440" s="4"/>
    </row>
    <row r="2441" s="1" customFormat="1" spans="1:8">
      <c r="A2441" s="4" t="s">
        <v>205</v>
      </c>
      <c r="B2441" s="4" t="s">
        <v>33</v>
      </c>
      <c r="C2441" s="4" t="s">
        <v>48</v>
      </c>
      <c r="D2441" s="4" t="s">
        <v>5041</v>
      </c>
      <c r="E2441" s="4">
        <v>1506807</v>
      </c>
      <c r="F2441" s="4" t="s">
        <v>5042</v>
      </c>
      <c r="G2441" s="4" t="s">
        <v>5043</v>
      </c>
      <c r="H2441" s="4"/>
    </row>
    <row r="2442" s="1" customFormat="1" spans="1:8">
      <c r="A2442" s="4" t="s">
        <v>205</v>
      </c>
      <c r="B2442" s="4" t="s">
        <v>33</v>
      </c>
      <c r="C2442" s="4" t="s">
        <v>48</v>
      </c>
      <c r="D2442" s="4" t="s">
        <v>5044</v>
      </c>
      <c r="E2442" s="4">
        <v>1500305</v>
      </c>
      <c r="F2442" s="4" t="s">
        <v>5045</v>
      </c>
      <c r="G2442" s="4" t="s">
        <v>458</v>
      </c>
      <c r="H2442" s="4"/>
    </row>
    <row r="2443" s="1" customFormat="1" spans="1:8">
      <c r="A2443" s="4" t="s">
        <v>205</v>
      </c>
      <c r="B2443" s="4" t="s">
        <v>33</v>
      </c>
      <c r="C2443" s="4" t="s">
        <v>48</v>
      </c>
      <c r="D2443" s="4" t="s">
        <v>5046</v>
      </c>
      <c r="E2443" s="4">
        <v>1500701</v>
      </c>
      <c r="F2443" s="4" t="s">
        <v>5047</v>
      </c>
      <c r="G2443" s="4" t="s">
        <v>458</v>
      </c>
      <c r="H2443" s="4"/>
    </row>
    <row r="2444" s="1" customFormat="1" spans="1:8">
      <c r="A2444" s="4" t="s">
        <v>205</v>
      </c>
      <c r="B2444" s="4" t="s">
        <v>33</v>
      </c>
      <c r="C2444" s="4" t="s">
        <v>48</v>
      </c>
      <c r="D2444" s="4" t="s">
        <v>5048</v>
      </c>
      <c r="E2444" s="4">
        <v>1501105</v>
      </c>
      <c r="F2444" s="4" t="s">
        <v>5049</v>
      </c>
      <c r="G2444" s="4" t="s">
        <v>458</v>
      </c>
      <c r="H2444" s="4"/>
    </row>
    <row r="2445" s="1" customFormat="1" spans="1:8">
      <c r="A2445" s="4" t="s">
        <v>205</v>
      </c>
      <c r="B2445" s="4" t="s">
        <v>33</v>
      </c>
      <c r="C2445" s="4" t="s">
        <v>48</v>
      </c>
      <c r="D2445" s="4" t="s">
        <v>5050</v>
      </c>
      <c r="E2445" s="4">
        <v>1501204</v>
      </c>
      <c r="F2445" s="4" t="s">
        <v>5051</v>
      </c>
      <c r="G2445" s="4" t="s">
        <v>458</v>
      </c>
      <c r="H2445" s="4"/>
    </row>
    <row r="2446" s="1" customFormat="1" spans="1:8">
      <c r="A2446" s="4" t="s">
        <v>205</v>
      </c>
      <c r="B2446" s="4" t="s">
        <v>33</v>
      </c>
      <c r="C2446" s="4" t="s">
        <v>48</v>
      </c>
      <c r="D2446" s="4" t="s">
        <v>5052</v>
      </c>
      <c r="E2446" s="4">
        <v>1501808</v>
      </c>
      <c r="F2446" s="4" t="s">
        <v>5053</v>
      </c>
      <c r="G2446" s="4" t="s">
        <v>458</v>
      </c>
      <c r="H2446" s="4"/>
    </row>
    <row r="2447" s="1" customFormat="1" spans="1:8">
      <c r="A2447" s="4" t="s">
        <v>205</v>
      </c>
      <c r="B2447" s="4" t="s">
        <v>33</v>
      </c>
      <c r="C2447" s="4" t="s">
        <v>48</v>
      </c>
      <c r="D2447" s="4" t="s">
        <v>5054</v>
      </c>
      <c r="E2447" s="4">
        <v>1502004</v>
      </c>
      <c r="F2447" s="4" t="s">
        <v>5055</v>
      </c>
      <c r="G2447" s="4" t="s">
        <v>458</v>
      </c>
      <c r="H2447" s="4"/>
    </row>
    <row r="2448" s="1" customFormat="1" spans="1:8">
      <c r="A2448" s="4" t="s">
        <v>205</v>
      </c>
      <c r="B2448" s="4" t="s">
        <v>33</v>
      </c>
      <c r="C2448" s="4" t="s">
        <v>48</v>
      </c>
      <c r="D2448" s="4" t="s">
        <v>5056</v>
      </c>
      <c r="E2448" s="4">
        <v>1502103</v>
      </c>
      <c r="F2448" s="4" t="s">
        <v>5057</v>
      </c>
      <c r="G2448" s="4" t="s">
        <v>458</v>
      </c>
      <c r="H2448" s="4"/>
    </row>
    <row r="2449" s="1" customFormat="1" spans="1:8">
      <c r="A2449" s="4" t="s">
        <v>205</v>
      </c>
      <c r="B2449" s="4" t="s">
        <v>33</v>
      </c>
      <c r="C2449" s="4" t="s">
        <v>48</v>
      </c>
      <c r="D2449" s="4" t="s">
        <v>5058</v>
      </c>
      <c r="E2449" s="4">
        <v>1502509</v>
      </c>
      <c r="F2449" s="4" t="s">
        <v>5059</v>
      </c>
      <c r="G2449" s="4" t="s">
        <v>458</v>
      </c>
      <c r="H2449" s="4"/>
    </row>
    <row r="2450" s="1" customFormat="1" spans="1:8">
      <c r="A2450" s="4" t="s">
        <v>205</v>
      </c>
      <c r="B2450" s="4" t="s">
        <v>33</v>
      </c>
      <c r="C2450" s="4" t="s">
        <v>48</v>
      </c>
      <c r="D2450" s="4" t="s">
        <v>5060</v>
      </c>
      <c r="E2450" s="4">
        <v>1503101</v>
      </c>
      <c r="F2450" s="4" t="s">
        <v>5061</v>
      </c>
      <c r="G2450" s="4" t="s">
        <v>458</v>
      </c>
      <c r="H2450" s="4"/>
    </row>
    <row r="2451" s="1" customFormat="1" spans="1:8">
      <c r="A2451" s="4" t="s">
        <v>205</v>
      </c>
      <c r="B2451" s="4" t="s">
        <v>33</v>
      </c>
      <c r="C2451" s="4" t="s">
        <v>48</v>
      </c>
      <c r="D2451" s="4" t="s">
        <v>5062</v>
      </c>
      <c r="E2451" s="4">
        <v>1504000</v>
      </c>
      <c r="F2451" s="4" t="s">
        <v>5063</v>
      </c>
      <c r="G2451" s="4" t="s">
        <v>458</v>
      </c>
      <c r="H2451" s="4"/>
    </row>
    <row r="2452" s="1" customFormat="1" spans="1:8">
      <c r="A2452" s="4" t="s">
        <v>205</v>
      </c>
      <c r="B2452" s="4" t="s">
        <v>33</v>
      </c>
      <c r="C2452" s="4" t="s">
        <v>48</v>
      </c>
      <c r="D2452" s="4" t="s">
        <v>5064</v>
      </c>
      <c r="E2452" s="4">
        <v>1504505</v>
      </c>
      <c r="F2452" s="4" t="s">
        <v>5065</v>
      </c>
      <c r="G2452" s="4" t="s">
        <v>458</v>
      </c>
      <c r="H2452" s="4"/>
    </row>
    <row r="2453" s="1" customFormat="1" spans="1:8">
      <c r="A2453" s="4" t="s">
        <v>205</v>
      </c>
      <c r="B2453" s="4" t="s">
        <v>33</v>
      </c>
      <c r="C2453" s="4" t="s">
        <v>48</v>
      </c>
      <c r="D2453" s="4" t="s">
        <v>5066</v>
      </c>
      <c r="E2453" s="4">
        <v>1504604</v>
      </c>
      <c r="F2453" s="4" t="s">
        <v>5067</v>
      </c>
      <c r="G2453" s="4" t="s">
        <v>458</v>
      </c>
      <c r="H2453" s="4"/>
    </row>
    <row r="2454" s="1" customFormat="1" spans="1:8">
      <c r="A2454" s="4" t="s">
        <v>205</v>
      </c>
      <c r="B2454" s="4" t="s">
        <v>33</v>
      </c>
      <c r="C2454" s="4" t="s">
        <v>48</v>
      </c>
      <c r="D2454" s="4" t="s">
        <v>5068</v>
      </c>
      <c r="E2454" s="4">
        <v>1504901</v>
      </c>
      <c r="F2454" s="4" t="s">
        <v>5069</v>
      </c>
      <c r="G2454" s="4" t="s">
        <v>458</v>
      </c>
      <c r="H2454" s="4"/>
    </row>
    <row r="2455" s="1" customFormat="1" spans="1:8">
      <c r="A2455" s="4" t="s">
        <v>205</v>
      </c>
      <c r="B2455" s="4" t="s">
        <v>33</v>
      </c>
      <c r="C2455" s="4" t="s">
        <v>48</v>
      </c>
      <c r="D2455" s="4" t="s">
        <v>5070</v>
      </c>
      <c r="E2455" s="4">
        <v>1505205</v>
      </c>
      <c r="F2455" s="4" t="s">
        <v>5071</v>
      </c>
      <c r="G2455" s="4" t="s">
        <v>458</v>
      </c>
      <c r="H2455" s="4"/>
    </row>
    <row r="2456" s="1" customFormat="1" spans="1:8">
      <c r="A2456" s="4" t="s">
        <v>205</v>
      </c>
      <c r="B2456" s="4" t="s">
        <v>33</v>
      </c>
      <c r="C2456" s="4" t="s">
        <v>48</v>
      </c>
      <c r="D2456" s="4" t="s">
        <v>5072</v>
      </c>
      <c r="E2456" s="4">
        <v>1505700</v>
      </c>
      <c r="F2456" s="4" t="s">
        <v>5073</v>
      </c>
      <c r="G2456" s="4" t="s">
        <v>458</v>
      </c>
      <c r="H2456" s="4"/>
    </row>
    <row r="2457" s="1" customFormat="1" spans="1:8">
      <c r="A2457" s="4" t="s">
        <v>205</v>
      </c>
      <c r="B2457" s="4" t="s">
        <v>33</v>
      </c>
      <c r="C2457" s="4" t="s">
        <v>48</v>
      </c>
      <c r="D2457" s="4" t="s">
        <v>5074</v>
      </c>
      <c r="E2457" s="4">
        <v>1505809</v>
      </c>
      <c r="F2457" s="4" t="s">
        <v>5075</v>
      </c>
      <c r="G2457" s="4" t="s">
        <v>458</v>
      </c>
      <c r="H2457" s="4"/>
    </row>
    <row r="2458" s="1" customFormat="1" spans="1:8">
      <c r="A2458" s="4" t="s">
        <v>205</v>
      </c>
      <c r="B2458" s="4" t="s">
        <v>33</v>
      </c>
      <c r="C2458" s="4" t="s">
        <v>48</v>
      </c>
      <c r="D2458" s="4" t="s">
        <v>5076</v>
      </c>
      <c r="E2458" s="4">
        <v>1505908</v>
      </c>
      <c r="F2458" s="4" t="s">
        <v>5077</v>
      </c>
      <c r="G2458" s="4" t="s">
        <v>458</v>
      </c>
      <c r="H2458" s="4"/>
    </row>
    <row r="2459" s="1" customFormat="1" spans="1:8">
      <c r="A2459" s="4" t="s">
        <v>205</v>
      </c>
      <c r="B2459" s="4" t="s">
        <v>33</v>
      </c>
      <c r="C2459" s="4" t="s">
        <v>48</v>
      </c>
      <c r="D2459" s="4" t="s">
        <v>5078</v>
      </c>
      <c r="E2459" s="4">
        <v>1506005</v>
      </c>
      <c r="F2459" s="4" t="s">
        <v>5079</v>
      </c>
      <c r="G2459" s="4" t="s">
        <v>458</v>
      </c>
      <c r="H2459" s="4"/>
    </row>
    <row r="2460" s="1" customFormat="1" spans="1:8">
      <c r="A2460" s="4" t="s">
        <v>205</v>
      </c>
      <c r="B2460" s="4" t="s">
        <v>33</v>
      </c>
      <c r="C2460" s="4" t="s">
        <v>48</v>
      </c>
      <c r="D2460" s="4" t="s">
        <v>5080</v>
      </c>
      <c r="E2460" s="4">
        <v>1506302</v>
      </c>
      <c r="F2460" s="4" t="s">
        <v>5081</v>
      </c>
      <c r="G2460" s="4" t="s">
        <v>458</v>
      </c>
      <c r="H2460" s="4"/>
    </row>
    <row r="2461" s="1" customFormat="1" spans="1:8">
      <c r="A2461" s="4" t="s">
        <v>205</v>
      </c>
      <c r="B2461" s="4" t="s">
        <v>33</v>
      </c>
      <c r="C2461" s="4" t="s">
        <v>48</v>
      </c>
      <c r="D2461" s="4" t="s">
        <v>5082</v>
      </c>
      <c r="E2461" s="4">
        <v>1506401</v>
      </c>
      <c r="F2461" s="4" t="s">
        <v>5083</v>
      </c>
      <c r="G2461" s="4" t="s">
        <v>458</v>
      </c>
      <c r="H2461" s="4"/>
    </row>
    <row r="2462" s="1" customFormat="1" spans="1:8">
      <c r="A2462" s="4" t="s">
        <v>205</v>
      </c>
      <c r="B2462" s="4" t="s">
        <v>33</v>
      </c>
      <c r="C2462" s="4" t="s">
        <v>48</v>
      </c>
      <c r="D2462" s="4" t="s">
        <v>5084</v>
      </c>
      <c r="E2462" s="4">
        <v>1507805</v>
      </c>
      <c r="F2462" s="4" t="s">
        <v>5085</v>
      </c>
      <c r="G2462" s="4" t="s">
        <v>458</v>
      </c>
      <c r="H2462" s="4"/>
    </row>
    <row r="2463" s="1" customFormat="1" spans="1:8">
      <c r="A2463" s="4" t="s">
        <v>205</v>
      </c>
      <c r="B2463" s="4" t="s">
        <v>33</v>
      </c>
      <c r="C2463" s="4" t="s">
        <v>48</v>
      </c>
      <c r="D2463" s="4" t="s">
        <v>5086</v>
      </c>
      <c r="E2463" s="4">
        <v>1507904</v>
      </c>
      <c r="F2463" s="4" t="s">
        <v>5087</v>
      </c>
      <c r="G2463" s="4" t="s">
        <v>458</v>
      </c>
      <c r="H2463" s="4"/>
    </row>
    <row r="2464" s="1" customFormat="1" spans="1:8">
      <c r="A2464" s="4" t="s">
        <v>205</v>
      </c>
      <c r="B2464" s="4" t="s">
        <v>33</v>
      </c>
      <c r="C2464" s="4" t="s">
        <v>48</v>
      </c>
      <c r="D2464" s="4" t="s">
        <v>5088</v>
      </c>
      <c r="E2464" s="4">
        <v>1507201</v>
      </c>
      <c r="F2464" s="4" t="s">
        <v>5089</v>
      </c>
      <c r="G2464" s="4" t="s">
        <v>458</v>
      </c>
      <c r="H2464" s="4"/>
    </row>
    <row r="2465" s="1" customFormat="1" spans="1:8">
      <c r="A2465" s="4" t="s">
        <v>205</v>
      </c>
      <c r="B2465" s="4" t="s">
        <v>33</v>
      </c>
      <c r="C2465" s="4" t="s">
        <v>48</v>
      </c>
      <c r="D2465" s="4" t="s">
        <v>5090</v>
      </c>
      <c r="E2465" s="4">
        <v>1507706</v>
      </c>
      <c r="F2465" s="4" t="s">
        <v>5091</v>
      </c>
      <c r="G2465" s="4" t="s">
        <v>458</v>
      </c>
      <c r="H2465" s="4"/>
    </row>
    <row r="2466" s="1" customFormat="1" spans="1:8">
      <c r="A2466" s="4" t="s">
        <v>205</v>
      </c>
      <c r="B2466" s="4" t="s">
        <v>33</v>
      </c>
      <c r="C2466" s="4" t="s">
        <v>48</v>
      </c>
      <c r="D2466" s="4" t="s">
        <v>5092</v>
      </c>
      <c r="E2466" s="4">
        <v>1508357</v>
      </c>
      <c r="F2466" s="4" t="s">
        <v>5093</v>
      </c>
      <c r="G2466" s="4" t="s">
        <v>458</v>
      </c>
      <c r="H2466" s="4"/>
    </row>
    <row r="2467" s="1" customFormat="1" spans="1:8">
      <c r="A2467" s="4" t="s">
        <v>205</v>
      </c>
      <c r="B2467" s="4" t="s">
        <v>33</v>
      </c>
      <c r="C2467" s="4" t="s">
        <v>48</v>
      </c>
      <c r="D2467" s="4" t="s">
        <v>5094</v>
      </c>
      <c r="E2467" s="4">
        <v>1500404</v>
      </c>
      <c r="F2467" s="4" t="s">
        <v>5095</v>
      </c>
      <c r="G2467" s="4" t="s">
        <v>533</v>
      </c>
      <c r="H2467" s="4"/>
    </row>
    <row r="2468" s="1" customFormat="1" spans="1:8">
      <c r="A2468" s="4" t="s">
        <v>205</v>
      </c>
      <c r="B2468" s="4" t="s">
        <v>33</v>
      </c>
      <c r="C2468" s="4" t="s">
        <v>48</v>
      </c>
      <c r="D2468" s="4" t="s">
        <v>5096</v>
      </c>
      <c r="E2468" s="4">
        <v>1500503</v>
      </c>
      <c r="F2468" s="4" t="s">
        <v>5097</v>
      </c>
      <c r="G2468" s="4" t="s">
        <v>533</v>
      </c>
      <c r="H2468" s="4"/>
    </row>
    <row r="2469" s="1" customFormat="1" spans="1:8">
      <c r="A2469" s="4" t="s">
        <v>205</v>
      </c>
      <c r="B2469" s="4" t="s">
        <v>33</v>
      </c>
      <c r="C2469" s="4" t="s">
        <v>48</v>
      </c>
      <c r="D2469" s="4" t="s">
        <v>5098</v>
      </c>
      <c r="E2469" s="4">
        <v>1500602</v>
      </c>
      <c r="F2469" s="4" t="s">
        <v>5099</v>
      </c>
      <c r="G2469" s="4" t="s">
        <v>533</v>
      </c>
      <c r="H2469" s="4"/>
    </row>
    <row r="2470" s="1" customFormat="1" spans="1:8">
      <c r="A2470" s="4" t="s">
        <v>205</v>
      </c>
      <c r="B2470" s="4" t="s">
        <v>33</v>
      </c>
      <c r="C2470" s="4" t="s">
        <v>48</v>
      </c>
      <c r="D2470" s="4" t="s">
        <v>5100</v>
      </c>
      <c r="E2470" s="4">
        <v>1500859</v>
      </c>
      <c r="F2470" s="4" t="s">
        <v>5101</v>
      </c>
      <c r="G2470" s="4" t="s">
        <v>533</v>
      </c>
      <c r="H2470" s="4"/>
    </row>
    <row r="2471" s="1" customFormat="1" spans="1:8">
      <c r="A2471" s="4" t="s">
        <v>205</v>
      </c>
      <c r="B2471" s="4" t="s">
        <v>33</v>
      </c>
      <c r="C2471" s="4" t="s">
        <v>48</v>
      </c>
      <c r="D2471" s="4" t="s">
        <v>5102</v>
      </c>
      <c r="E2471" s="4">
        <v>1501725</v>
      </c>
      <c r="F2471" s="4" t="s">
        <v>5103</v>
      </c>
      <c r="G2471" s="4" t="s">
        <v>533</v>
      </c>
      <c r="H2471" s="4"/>
    </row>
    <row r="2472" s="1" customFormat="1" spans="1:8">
      <c r="A2472" s="4" t="s">
        <v>205</v>
      </c>
      <c r="B2472" s="4" t="s">
        <v>33</v>
      </c>
      <c r="C2472" s="4" t="s">
        <v>48</v>
      </c>
      <c r="D2472" s="4" t="s">
        <v>5104</v>
      </c>
      <c r="E2472" s="4">
        <v>1502806</v>
      </c>
      <c r="F2472" s="4" t="s">
        <v>5105</v>
      </c>
      <c r="G2472" s="4" t="s">
        <v>533</v>
      </c>
      <c r="H2472" s="4"/>
    </row>
    <row r="2473" s="1" customFormat="1" spans="1:8">
      <c r="A2473" s="4" t="s">
        <v>205</v>
      </c>
      <c r="B2473" s="4" t="s">
        <v>33</v>
      </c>
      <c r="C2473" s="4" t="s">
        <v>48</v>
      </c>
      <c r="D2473" s="4" t="s">
        <v>5106</v>
      </c>
      <c r="E2473" s="4">
        <v>1502855</v>
      </c>
      <c r="F2473" s="4" t="s">
        <v>5107</v>
      </c>
      <c r="G2473" s="4" t="s">
        <v>533</v>
      </c>
      <c r="H2473" s="4"/>
    </row>
    <row r="2474" s="1" customFormat="1" spans="1:8">
      <c r="A2474" s="4" t="s">
        <v>205</v>
      </c>
      <c r="B2474" s="4" t="s">
        <v>33</v>
      </c>
      <c r="C2474" s="4" t="s">
        <v>48</v>
      </c>
      <c r="D2474" s="4" t="s">
        <v>5108</v>
      </c>
      <c r="E2474" s="4">
        <v>1503002</v>
      </c>
      <c r="F2474" s="4" t="s">
        <v>5109</v>
      </c>
      <c r="G2474" s="4" t="s">
        <v>533</v>
      </c>
      <c r="H2474" s="4"/>
    </row>
    <row r="2475" s="1" customFormat="1" spans="1:8">
      <c r="A2475" s="4" t="s">
        <v>205</v>
      </c>
      <c r="B2475" s="4" t="s">
        <v>33</v>
      </c>
      <c r="C2475" s="4" t="s">
        <v>48</v>
      </c>
      <c r="D2475" s="4" t="s">
        <v>5110</v>
      </c>
      <c r="E2475" s="4">
        <v>1503606</v>
      </c>
      <c r="F2475" s="4" t="s">
        <v>5111</v>
      </c>
      <c r="G2475" s="4" t="s">
        <v>533</v>
      </c>
      <c r="H2475" s="4"/>
    </row>
    <row r="2476" s="1" customFormat="1" spans="1:8">
      <c r="A2476" s="4" t="s">
        <v>205</v>
      </c>
      <c r="B2476" s="4" t="s">
        <v>33</v>
      </c>
      <c r="C2476" s="4" t="s">
        <v>48</v>
      </c>
      <c r="D2476" s="4" t="s">
        <v>5112</v>
      </c>
      <c r="E2476" s="4">
        <v>1503903</v>
      </c>
      <c r="F2476" s="4" t="s">
        <v>5113</v>
      </c>
      <c r="G2476" s="4" t="s">
        <v>533</v>
      </c>
      <c r="H2476" s="4"/>
    </row>
    <row r="2477" s="1" customFormat="1" spans="1:8">
      <c r="A2477" s="4" t="s">
        <v>205</v>
      </c>
      <c r="B2477" s="4" t="s">
        <v>33</v>
      </c>
      <c r="C2477" s="4" t="s">
        <v>48</v>
      </c>
      <c r="D2477" s="4" t="s">
        <v>5114</v>
      </c>
      <c r="E2477" s="4">
        <v>1504455</v>
      </c>
      <c r="F2477" s="4" t="s">
        <v>5115</v>
      </c>
      <c r="G2477" s="4" t="s">
        <v>533</v>
      </c>
      <c r="H2477" s="4"/>
    </row>
    <row r="2478" s="1" customFormat="1" spans="1:8">
      <c r="A2478" s="4" t="s">
        <v>205</v>
      </c>
      <c r="B2478" s="4" t="s">
        <v>33</v>
      </c>
      <c r="C2478" s="4" t="s">
        <v>48</v>
      </c>
      <c r="D2478" s="4" t="s">
        <v>5116</v>
      </c>
      <c r="E2478" s="4">
        <v>1504752</v>
      </c>
      <c r="F2478" s="4" t="s">
        <v>5117</v>
      </c>
      <c r="G2478" s="4" t="s">
        <v>533</v>
      </c>
      <c r="H2478" s="4"/>
    </row>
    <row r="2479" s="1" customFormat="1" spans="1:8">
      <c r="A2479" s="4" t="s">
        <v>205</v>
      </c>
      <c r="B2479" s="4" t="s">
        <v>33</v>
      </c>
      <c r="C2479" s="4" t="s">
        <v>48</v>
      </c>
      <c r="D2479" s="4" t="s">
        <v>5118</v>
      </c>
      <c r="E2479" s="4">
        <v>1505031</v>
      </c>
      <c r="F2479" s="4" t="s">
        <v>5119</v>
      </c>
      <c r="G2479" s="4" t="s">
        <v>533</v>
      </c>
      <c r="H2479" s="4"/>
    </row>
    <row r="2480" s="1" customFormat="1" spans="1:8">
      <c r="A2480" s="4" t="s">
        <v>205</v>
      </c>
      <c r="B2480" s="4" t="s">
        <v>33</v>
      </c>
      <c r="C2480" s="4" t="s">
        <v>48</v>
      </c>
      <c r="D2480" s="4" t="s">
        <v>5120</v>
      </c>
      <c r="E2480" s="4">
        <v>1505304</v>
      </c>
      <c r="F2480" s="4" t="s">
        <v>5121</v>
      </c>
      <c r="G2480" s="4" t="s">
        <v>533</v>
      </c>
      <c r="H2480" s="4"/>
    </row>
    <row r="2481" s="1" customFormat="1" spans="1:8">
      <c r="A2481" s="4" t="s">
        <v>205</v>
      </c>
      <c r="B2481" s="4" t="s">
        <v>33</v>
      </c>
      <c r="C2481" s="4" t="s">
        <v>48</v>
      </c>
      <c r="D2481" s="4" t="s">
        <v>5122</v>
      </c>
      <c r="E2481" s="4">
        <v>1505486</v>
      </c>
      <c r="F2481" s="4" t="s">
        <v>5123</v>
      </c>
      <c r="G2481" s="4" t="s">
        <v>533</v>
      </c>
      <c r="H2481" s="4"/>
    </row>
    <row r="2482" s="1" customFormat="1" spans="1:8">
      <c r="A2482" s="4" t="s">
        <v>205</v>
      </c>
      <c r="B2482" s="4" t="s">
        <v>33</v>
      </c>
      <c r="C2482" s="4" t="s">
        <v>48</v>
      </c>
      <c r="D2482" s="4" t="s">
        <v>5124</v>
      </c>
      <c r="E2482" s="4">
        <v>1505650</v>
      </c>
      <c r="F2482" s="4" t="s">
        <v>5125</v>
      </c>
      <c r="G2482" s="4" t="s">
        <v>533</v>
      </c>
      <c r="H2482" s="4"/>
    </row>
    <row r="2483" s="1" customFormat="1" spans="1:8">
      <c r="A2483" s="4" t="s">
        <v>205</v>
      </c>
      <c r="B2483" s="4" t="s">
        <v>33</v>
      </c>
      <c r="C2483" s="4" t="s">
        <v>48</v>
      </c>
      <c r="D2483" s="4" t="s">
        <v>5126</v>
      </c>
      <c r="E2483" s="4">
        <v>1506195</v>
      </c>
      <c r="F2483" s="4" t="s">
        <v>5127</v>
      </c>
      <c r="G2483" s="4" t="s">
        <v>533</v>
      </c>
      <c r="H2483" s="4"/>
    </row>
    <row r="2484" s="1" customFormat="1" spans="1:8">
      <c r="A2484" s="4" t="s">
        <v>205</v>
      </c>
      <c r="B2484" s="4" t="s">
        <v>33</v>
      </c>
      <c r="C2484" s="4" t="s">
        <v>48</v>
      </c>
      <c r="D2484" s="4" t="s">
        <v>5128</v>
      </c>
      <c r="E2484" s="4">
        <v>1507979</v>
      </c>
      <c r="F2484" s="4" t="s">
        <v>5129</v>
      </c>
      <c r="G2484" s="4" t="s">
        <v>533</v>
      </c>
      <c r="H2484" s="4"/>
    </row>
    <row r="2485" s="1" customFormat="1" spans="1:8">
      <c r="A2485" s="4" t="s">
        <v>205</v>
      </c>
      <c r="B2485" s="4" t="s">
        <v>33</v>
      </c>
      <c r="C2485" s="4" t="s">
        <v>48</v>
      </c>
      <c r="D2485" s="4" t="s">
        <v>5130</v>
      </c>
      <c r="E2485" s="4">
        <v>1508050</v>
      </c>
      <c r="F2485" s="4" t="s">
        <v>5131</v>
      </c>
      <c r="G2485" s="4" t="s">
        <v>533</v>
      </c>
      <c r="H2485" s="4"/>
    </row>
    <row r="2486" s="1" customFormat="1" spans="1:8">
      <c r="A2486" s="4" t="s">
        <v>205</v>
      </c>
      <c r="B2486" s="4" t="s">
        <v>33</v>
      </c>
      <c r="C2486" s="4" t="s">
        <v>48</v>
      </c>
      <c r="D2486" s="4" t="s">
        <v>5132</v>
      </c>
      <c r="E2486" s="4">
        <v>1508159</v>
      </c>
      <c r="F2486" s="4" t="s">
        <v>5133</v>
      </c>
      <c r="G2486" s="4" t="s">
        <v>533</v>
      </c>
      <c r="H2486" s="4"/>
    </row>
    <row r="2487" s="1" customFormat="1" spans="1:8">
      <c r="A2487" s="4" t="s">
        <v>205</v>
      </c>
      <c r="B2487" s="4" t="s">
        <v>33</v>
      </c>
      <c r="C2487" s="4" t="s">
        <v>48</v>
      </c>
      <c r="D2487" s="4" t="s">
        <v>5134</v>
      </c>
      <c r="E2487" s="4">
        <v>1501006</v>
      </c>
      <c r="F2487" s="4" t="s">
        <v>5135</v>
      </c>
      <c r="G2487" s="4" t="s">
        <v>554</v>
      </c>
      <c r="H2487" s="4"/>
    </row>
    <row r="2488" s="1" customFormat="1" spans="1:8">
      <c r="A2488" s="4" t="s">
        <v>205</v>
      </c>
      <c r="B2488" s="4" t="s">
        <v>33</v>
      </c>
      <c r="C2488" s="4" t="s">
        <v>48</v>
      </c>
      <c r="D2488" s="4" t="s">
        <v>5136</v>
      </c>
      <c r="E2488" s="4">
        <v>1501451</v>
      </c>
      <c r="F2488" s="4" t="s">
        <v>5137</v>
      </c>
      <c r="G2488" s="4" t="s">
        <v>554</v>
      </c>
      <c r="H2488" s="4"/>
    </row>
    <row r="2489" s="1" customFormat="1" spans="1:8">
      <c r="A2489" s="4" t="s">
        <v>205</v>
      </c>
      <c r="B2489" s="4" t="s">
        <v>33</v>
      </c>
      <c r="C2489" s="4" t="s">
        <v>48</v>
      </c>
      <c r="D2489" s="4" t="s">
        <v>5138</v>
      </c>
      <c r="E2489" s="4">
        <v>1503754</v>
      </c>
      <c r="F2489" s="4" t="s">
        <v>5139</v>
      </c>
      <c r="G2489" s="4" t="s">
        <v>554</v>
      </c>
      <c r="H2489" s="4"/>
    </row>
    <row r="2490" s="1" customFormat="1" spans="1:8">
      <c r="A2490" s="4" t="s">
        <v>205</v>
      </c>
      <c r="B2490" s="4" t="s">
        <v>33</v>
      </c>
      <c r="C2490" s="4" t="s">
        <v>48</v>
      </c>
      <c r="D2490" s="4" t="s">
        <v>5140</v>
      </c>
      <c r="E2490" s="4">
        <v>1504802</v>
      </c>
      <c r="F2490" s="4" t="s">
        <v>5141</v>
      </c>
      <c r="G2490" s="4" t="s">
        <v>554</v>
      </c>
      <c r="H2490" s="4"/>
    </row>
    <row r="2491" s="1" customFormat="1" spans="1:8">
      <c r="A2491" s="4" t="s">
        <v>205</v>
      </c>
      <c r="B2491" s="4" t="s">
        <v>33</v>
      </c>
      <c r="C2491" s="4" t="s">
        <v>48</v>
      </c>
      <c r="D2491" s="4" t="s">
        <v>5142</v>
      </c>
      <c r="E2491" s="4">
        <v>1505106</v>
      </c>
      <c r="F2491" s="4" t="s">
        <v>5143</v>
      </c>
      <c r="G2491" s="4" t="s">
        <v>554</v>
      </c>
      <c r="H2491" s="4"/>
    </row>
    <row r="2492" s="1" customFormat="1" spans="1:8">
      <c r="A2492" s="4" t="s">
        <v>205</v>
      </c>
      <c r="B2492" s="4" t="s">
        <v>33</v>
      </c>
      <c r="C2492" s="4" t="s">
        <v>48</v>
      </c>
      <c r="D2492" s="4" t="s">
        <v>5144</v>
      </c>
      <c r="E2492" s="4">
        <v>1500800</v>
      </c>
      <c r="F2492" s="4" t="s">
        <v>5145</v>
      </c>
      <c r="G2492" s="4" t="s">
        <v>210</v>
      </c>
      <c r="H2492" s="4"/>
    </row>
    <row r="2493" s="1" customFormat="1" spans="1:8">
      <c r="A2493" s="4" t="s">
        <v>205</v>
      </c>
      <c r="B2493" s="4" t="s">
        <v>33</v>
      </c>
      <c r="C2493" s="4" t="s">
        <v>48</v>
      </c>
      <c r="D2493" s="4" t="s">
        <v>5146</v>
      </c>
      <c r="E2493" s="4">
        <v>1501501</v>
      </c>
      <c r="F2493" s="4" t="s">
        <v>5147</v>
      </c>
      <c r="G2493" s="4" t="s">
        <v>210</v>
      </c>
      <c r="H2493" s="4"/>
    </row>
    <row r="2494" s="1" customFormat="1" spans="1:8">
      <c r="A2494" s="4" t="s">
        <v>205</v>
      </c>
      <c r="B2494" s="4" t="s">
        <v>33</v>
      </c>
      <c r="C2494" s="4" t="s">
        <v>48</v>
      </c>
      <c r="D2494" s="4" t="s">
        <v>5148</v>
      </c>
      <c r="E2494" s="4">
        <v>1504422</v>
      </c>
      <c r="F2494" s="4" t="s">
        <v>5149</v>
      </c>
      <c r="G2494" s="4" t="s">
        <v>210</v>
      </c>
      <c r="H2494" s="4"/>
    </row>
    <row r="2495" s="1" customFormat="1" spans="1:8">
      <c r="A2495" s="4" t="s">
        <v>205</v>
      </c>
      <c r="B2495" s="4" t="s">
        <v>33</v>
      </c>
      <c r="C2495" s="4" t="s">
        <v>48</v>
      </c>
      <c r="D2495" s="4" t="s">
        <v>5150</v>
      </c>
      <c r="E2495" s="4">
        <v>1500107</v>
      </c>
      <c r="F2495" s="4" t="s">
        <v>5151</v>
      </c>
      <c r="G2495" s="4" t="s">
        <v>215</v>
      </c>
      <c r="H2495" s="4"/>
    </row>
    <row r="2496" s="1" customFormat="1" spans="1:8">
      <c r="A2496" s="4" t="s">
        <v>205</v>
      </c>
      <c r="B2496" s="4" t="s">
        <v>33</v>
      </c>
      <c r="C2496" s="4" t="s">
        <v>48</v>
      </c>
      <c r="D2496" s="4" t="s">
        <v>5152</v>
      </c>
      <c r="E2496" s="4">
        <v>1500206</v>
      </c>
      <c r="F2496" s="4" t="s">
        <v>5153</v>
      </c>
      <c r="G2496" s="4" t="s">
        <v>215</v>
      </c>
      <c r="H2496" s="4"/>
    </row>
    <row r="2497" s="1" customFormat="1" spans="1:8">
      <c r="A2497" s="4" t="s">
        <v>205</v>
      </c>
      <c r="B2497" s="4" t="s">
        <v>33</v>
      </c>
      <c r="C2497" s="4" t="s">
        <v>48</v>
      </c>
      <c r="D2497" s="4" t="s">
        <v>5154</v>
      </c>
      <c r="E2497" s="4">
        <v>1500909</v>
      </c>
      <c r="F2497" s="4" t="s">
        <v>5155</v>
      </c>
      <c r="G2497" s="4" t="s">
        <v>215</v>
      </c>
      <c r="H2497" s="4"/>
    </row>
    <row r="2498" s="1" customFormat="1" spans="1:8">
      <c r="A2498" s="4" t="s">
        <v>205</v>
      </c>
      <c r="B2498" s="4" t="s">
        <v>33</v>
      </c>
      <c r="C2498" s="4" t="s">
        <v>48</v>
      </c>
      <c r="D2498" s="4" t="s">
        <v>5156</v>
      </c>
      <c r="E2498" s="4">
        <v>1500958</v>
      </c>
      <c r="F2498" s="4" t="s">
        <v>5157</v>
      </c>
      <c r="G2498" s="4" t="s">
        <v>215</v>
      </c>
      <c r="H2498" s="4"/>
    </row>
    <row r="2499" s="1" customFormat="1" spans="1:8">
      <c r="A2499" s="4" t="s">
        <v>205</v>
      </c>
      <c r="B2499" s="4" t="s">
        <v>33</v>
      </c>
      <c r="C2499" s="4" t="s">
        <v>48</v>
      </c>
      <c r="D2499" s="4" t="s">
        <v>5158</v>
      </c>
      <c r="E2499" s="4">
        <v>1501303</v>
      </c>
      <c r="F2499" s="4" t="s">
        <v>5159</v>
      </c>
      <c r="G2499" s="4" t="s">
        <v>215</v>
      </c>
      <c r="H2499" s="4"/>
    </row>
    <row r="2500" s="1" customFormat="1" spans="1:8">
      <c r="A2500" s="4" t="s">
        <v>205</v>
      </c>
      <c r="B2500" s="4" t="s">
        <v>33</v>
      </c>
      <c r="C2500" s="4" t="s">
        <v>48</v>
      </c>
      <c r="D2500" s="4" t="s">
        <v>949</v>
      </c>
      <c r="E2500" s="4">
        <v>1501600</v>
      </c>
      <c r="F2500" s="4" t="s">
        <v>5160</v>
      </c>
      <c r="G2500" s="4" t="s">
        <v>215</v>
      </c>
      <c r="H2500" s="4"/>
    </row>
    <row r="2501" s="1" customFormat="1" spans="1:8">
      <c r="A2501" s="4" t="s">
        <v>205</v>
      </c>
      <c r="B2501" s="4" t="s">
        <v>33</v>
      </c>
      <c r="C2501" s="4" t="s">
        <v>48</v>
      </c>
      <c r="D2501" s="4" t="s">
        <v>5161</v>
      </c>
      <c r="E2501" s="4">
        <v>1501709</v>
      </c>
      <c r="F2501" s="4" t="s">
        <v>5162</v>
      </c>
      <c r="G2501" s="4" t="s">
        <v>215</v>
      </c>
      <c r="H2501" s="4"/>
    </row>
    <row r="2502" s="1" customFormat="1" spans="1:8">
      <c r="A2502" s="4" t="s">
        <v>205</v>
      </c>
      <c r="B2502" s="4" t="s">
        <v>33</v>
      </c>
      <c r="C2502" s="4" t="s">
        <v>48</v>
      </c>
      <c r="D2502" s="4" t="s">
        <v>5163</v>
      </c>
      <c r="E2502" s="4">
        <v>1501907</v>
      </c>
      <c r="F2502" s="4" t="s">
        <v>5164</v>
      </c>
      <c r="G2502" s="4" t="s">
        <v>215</v>
      </c>
      <c r="H2502" s="4"/>
    </row>
    <row r="2503" s="1" customFormat="1" spans="1:8">
      <c r="A2503" s="4" t="s">
        <v>205</v>
      </c>
      <c r="B2503" s="4" t="s">
        <v>33</v>
      </c>
      <c r="C2503" s="4" t="s">
        <v>48</v>
      </c>
      <c r="D2503" s="4" t="s">
        <v>5165</v>
      </c>
      <c r="E2503" s="4">
        <v>1501956</v>
      </c>
      <c r="F2503" s="4" t="s">
        <v>5166</v>
      </c>
      <c r="G2503" s="4" t="s">
        <v>215</v>
      </c>
      <c r="H2503" s="4"/>
    </row>
    <row r="2504" s="1" customFormat="1" spans="1:8">
      <c r="A2504" s="4" t="s">
        <v>205</v>
      </c>
      <c r="B2504" s="4" t="s">
        <v>33</v>
      </c>
      <c r="C2504" s="4" t="s">
        <v>48</v>
      </c>
      <c r="D2504" s="4" t="s">
        <v>5167</v>
      </c>
      <c r="E2504" s="4">
        <v>1502202</v>
      </c>
      <c r="F2504" s="4" t="s">
        <v>5168</v>
      </c>
      <c r="G2504" s="4" t="s">
        <v>215</v>
      </c>
      <c r="H2504" s="4"/>
    </row>
    <row r="2505" s="1" customFormat="1" spans="1:8">
      <c r="A2505" s="4" t="s">
        <v>205</v>
      </c>
      <c r="B2505" s="4" t="s">
        <v>33</v>
      </c>
      <c r="C2505" s="4" t="s">
        <v>48</v>
      </c>
      <c r="D2505" s="4" t="s">
        <v>5169</v>
      </c>
      <c r="E2505" s="4">
        <v>1502301</v>
      </c>
      <c r="F2505" s="4" t="s">
        <v>5170</v>
      </c>
      <c r="G2505" s="4" t="s">
        <v>215</v>
      </c>
      <c r="H2505" s="4"/>
    </row>
    <row r="2506" s="1" customFormat="1" spans="1:8">
      <c r="A2506" s="4" t="s">
        <v>205</v>
      </c>
      <c r="B2506" s="4" t="s">
        <v>33</v>
      </c>
      <c r="C2506" s="4" t="s">
        <v>48</v>
      </c>
      <c r="D2506" s="4" t="s">
        <v>5171</v>
      </c>
      <c r="E2506" s="4">
        <v>1502400</v>
      </c>
      <c r="F2506" s="4" t="s">
        <v>5172</v>
      </c>
      <c r="G2506" s="4" t="s">
        <v>215</v>
      </c>
      <c r="H2506" s="4"/>
    </row>
    <row r="2507" s="1" customFormat="1" spans="1:8">
      <c r="A2507" s="4" t="s">
        <v>205</v>
      </c>
      <c r="B2507" s="4" t="s">
        <v>33</v>
      </c>
      <c r="C2507" s="4" t="s">
        <v>48</v>
      </c>
      <c r="D2507" s="4" t="s">
        <v>5173</v>
      </c>
      <c r="E2507" s="4">
        <v>1502608</v>
      </c>
      <c r="F2507" s="4" t="s">
        <v>5174</v>
      </c>
      <c r="G2507" s="4" t="s">
        <v>215</v>
      </c>
      <c r="H2507" s="4"/>
    </row>
    <row r="2508" s="1" customFormat="1" spans="1:8">
      <c r="A2508" s="4" t="s">
        <v>205</v>
      </c>
      <c r="B2508" s="4" t="s">
        <v>33</v>
      </c>
      <c r="C2508" s="4" t="s">
        <v>48</v>
      </c>
      <c r="D2508" s="4" t="s">
        <v>5175</v>
      </c>
      <c r="E2508" s="4">
        <v>1502756</v>
      </c>
      <c r="F2508" s="4" t="s">
        <v>5176</v>
      </c>
      <c r="G2508" s="4" t="s">
        <v>215</v>
      </c>
      <c r="H2508" s="4"/>
    </row>
    <row r="2509" s="1" customFormat="1" spans="1:8">
      <c r="A2509" s="4" t="s">
        <v>205</v>
      </c>
      <c r="B2509" s="4" t="s">
        <v>33</v>
      </c>
      <c r="C2509" s="4" t="s">
        <v>48</v>
      </c>
      <c r="D2509" s="4" t="s">
        <v>5177</v>
      </c>
      <c r="E2509" s="4">
        <v>1502905</v>
      </c>
      <c r="F2509" s="4" t="s">
        <v>5178</v>
      </c>
      <c r="G2509" s="4" t="s">
        <v>215</v>
      </c>
      <c r="H2509" s="4"/>
    </row>
    <row r="2510" s="1" customFormat="1" spans="1:8">
      <c r="A2510" s="4" t="s">
        <v>205</v>
      </c>
      <c r="B2510" s="4" t="s">
        <v>33</v>
      </c>
      <c r="C2510" s="4" t="s">
        <v>48</v>
      </c>
      <c r="D2510" s="4" t="s">
        <v>5179</v>
      </c>
      <c r="E2510" s="4">
        <v>1503077</v>
      </c>
      <c r="F2510" s="4" t="s">
        <v>5180</v>
      </c>
      <c r="G2510" s="4" t="s">
        <v>215</v>
      </c>
      <c r="H2510" s="4"/>
    </row>
    <row r="2511" s="1" customFormat="1" spans="1:8">
      <c r="A2511" s="4" t="s">
        <v>205</v>
      </c>
      <c r="B2511" s="4" t="s">
        <v>33</v>
      </c>
      <c r="C2511" s="4" t="s">
        <v>48</v>
      </c>
      <c r="D2511" s="4" t="s">
        <v>5181</v>
      </c>
      <c r="E2511" s="4">
        <v>1503093</v>
      </c>
      <c r="F2511" s="4" t="s">
        <v>5182</v>
      </c>
      <c r="G2511" s="4" t="s">
        <v>215</v>
      </c>
      <c r="H2511" s="4"/>
    </row>
    <row r="2512" s="1" customFormat="1" spans="1:8">
      <c r="A2512" s="4" t="s">
        <v>205</v>
      </c>
      <c r="B2512" s="4" t="s">
        <v>33</v>
      </c>
      <c r="C2512" s="4" t="s">
        <v>48</v>
      </c>
      <c r="D2512" s="4" t="s">
        <v>5183</v>
      </c>
      <c r="E2512" s="4">
        <v>1503200</v>
      </c>
      <c r="F2512" s="4" t="s">
        <v>5184</v>
      </c>
      <c r="G2512" s="4" t="s">
        <v>215</v>
      </c>
      <c r="H2512" s="4"/>
    </row>
    <row r="2513" s="1" customFormat="1" spans="1:8">
      <c r="A2513" s="4" t="s">
        <v>205</v>
      </c>
      <c r="B2513" s="4" t="s">
        <v>33</v>
      </c>
      <c r="C2513" s="4" t="s">
        <v>48</v>
      </c>
      <c r="D2513" s="4" t="s">
        <v>5185</v>
      </c>
      <c r="E2513" s="4">
        <v>1503309</v>
      </c>
      <c r="F2513" s="4" t="s">
        <v>5186</v>
      </c>
      <c r="G2513" s="4" t="s">
        <v>215</v>
      </c>
      <c r="H2513" s="4"/>
    </row>
    <row r="2514" s="1" customFormat="1" spans="1:8">
      <c r="A2514" s="4" t="s">
        <v>205</v>
      </c>
      <c r="B2514" s="4" t="s">
        <v>33</v>
      </c>
      <c r="C2514" s="4" t="s">
        <v>48</v>
      </c>
      <c r="D2514" s="4" t="s">
        <v>5187</v>
      </c>
      <c r="E2514" s="4">
        <v>1503408</v>
      </c>
      <c r="F2514" s="4" t="s">
        <v>5188</v>
      </c>
      <c r="G2514" s="4" t="s">
        <v>215</v>
      </c>
      <c r="H2514" s="4"/>
    </row>
    <row r="2515" s="1" customFormat="1" spans="1:8">
      <c r="A2515" s="4" t="s">
        <v>205</v>
      </c>
      <c r="B2515" s="4" t="s">
        <v>33</v>
      </c>
      <c r="C2515" s="4" t="s">
        <v>48</v>
      </c>
      <c r="D2515" s="4" t="s">
        <v>5189</v>
      </c>
      <c r="E2515" s="4">
        <v>1503457</v>
      </c>
      <c r="F2515" s="4" t="s">
        <v>5190</v>
      </c>
      <c r="G2515" s="4" t="s">
        <v>215</v>
      </c>
      <c r="H2515" s="4"/>
    </row>
    <row r="2516" s="1" customFormat="1" spans="1:8">
      <c r="A2516" s="4" t="s">
        <v>205</v>
      </c>
      <c r="B2516" s="4" t="s">
        <v>33</v>
      </c>
      <c r="C2516" s="4" t="s">
        <v>48</v>
      </c>
      <c r="D2516" s="4" t="s">
        <v>5191</v>
      </c>
      <c r="E2516" s="4">
        <v>1503507</v>
      </c>
      <c r="F2516" s="4" t="s">
        <v>5192</v>
      </c>
      <c r="G2516" s="4" t="s">
        <v>215</v>
      </c>
      <c r="H2516" s="4"/>
    </row>
    <row r="2517" s="1" customFormat="1" spans="1:8">
      <c r="A2517" s="4" t="s">
        <v>205</v>
      </c>
      <c r="B2517" s="4" t="s">
        <v>33</v>
      </c>
      <c r="C2517" s="4" t="s">
        <v>48</v>
      </c>
      <c r="D2517" s="4" t="s">
        <v>5193</v>
      </c>
      <c r="E2517" s="4">
        <v>1504109</v>
      </c>
      <c r="F2517" s="4" t="s">
        <v>5194</v>
      </c>
      <c r="G2517" s="4" t="s">
        <v>215</v>
      </c>
      <c r="H2517" s="4"/>
    </row>
    <row r="2518" s="1" customFormat="1" spans="1:8">
      <c r="A2518" s="4" t="s">
        <v>205</v>
      </c>
      <c r="B2518" s="4" t="s">
        <v>33</v>
      </c>
      <c r="C2518" s="4" t="s">
        <v>48</v>
      </c>
      <c r="D2518" s="4" t="s">
        <v>5195</v>
      </c>
      <c r="E2518" s="4">
        <v>1504307</v>
      </c>
      <c r="F2518" s="4" t="s">
        <v>5196</v>
      </c>
      <c r="G2518" s="4" t="s">
        <v>215</v>
      </c>
      <c r="H2518" s="4"/>
    </row>
    <row r="2519" s="1" customFormat="1" spans="1:8">
      <c r="A2519" s="4" t="s">
        <v>205</v>
      </c>
      <c r="B2519" s="4" t="s">
        <v>33</v>
      </c>
      <c r="C2519" s="4" t="s">
        <v>48</v>
      </c>
      <c r="D2519" s="4" t="s">
        <v>5197</v>
      </c>
      <c r="E2519" s="4">
        <v>1504406</v>
      </c>
      <c r="F2519" s="4" t="s">
        <v>5198</v>
      </c>
      <c r="G2519" s="4" t="s">
        <v>215</v>
      </c>
      <c r="H2519" s="4"/>
    </row>
    <row r="2520" s="1" customFormat="1" spans="1:8">
      <c r="A2520" s="4" t="s">
        <v>205</v>
      </c>
      <c r="B2520" s="4" t="s">
        <v>33</v>
      </c>
      <c r="C2520" s="4" t="s">
        <v>48</v>
      </c>
      <c r="D2520" s="4" t="s">
        <v>5199</v>
      </c>
      <c r="E2520" s="4">
        <v>1504703</v>
      </c>
      <c r="F2520" s="4" t="s">
        <v>5200</v>
      </c>
      <c r="G2520" s="4" t="s">
        <v>215</v>
      </c>
      <c r="H2520" s="4"/>
    </row>
    <row r="2521" s="1" customFormat="1" spans="1:8">
      <c r="A2521" s="4" t="s">
        <v>205</v>
      </c>
      <c r="B2521" s="4" t="s">
        <v>33</v>
      </c>
      <c r="C2521" s="4" t="s">
        <v>48</v>
      </c>
      <c r="D2521" s="4" t="s">
        <v>5201</v>
      </c>
      <c r="E2521" s="4">
        <v>1504059</v>
      </c>
      <c r="F2521" s="4" t="s">
        <v>5202</v>
      </c>
      <c r="G2521" s="4" t="s">
        <v>215</v>
      </c>
      <c r="H2521" s="4"/>
    </row>
    <row r="2522" s="1" customFormat="1" spans="1:8">
      <c r="A2522" s="4" t="s">
        <v>205</v>
      </c>
      <c r="B2522" s="4" t="s">
        <v>33</v>
      </c>
      <c r="C2522" s="4" t="s">
        <v>48</v>
      </c>
      <c r="D2522" s="4" t="s">
        <v>5203</v>
      </c>
      <c r="E2522" s="4">
        <v>1504950</v>
      </c>
      <c r="F2522" s="4" t="s">
        <v>5204</v>
      </c>
      <c r="G2522" s="4" t="s">
        <v>215</v>
      </c>
      <c r="H2522" s="4"/>
    </row>
    <row r="2523" s="1" customFormat="1" spans="1:8">
      <c r="A2523" s="4" t="s">
        <v>205</v>
      </c>
      <c r="B2523" s="4" t="s">
        <v>33</v>
      </c>
      <c r="C2523" s="4" t="s">
        <v>48</v>
      </c>
      <c r="D2523" s="4" t="s">
        <v>5205</v>
      </c>
      <c r="E2523" s="4">
        <v>1505007</v>
      </c>
      <c r="F2523" s="4" t="s">
        <v>5206</v>
      </c>
      <c r="G2523" s="4" t="s">
        <v>215</v>
      </c>
      <c r="H2523" s="4"/>
    </row>
    <row r="2524" s="1" customFormat="1" spans="1:8">
      <c r="A2524" s="4" t="s">
        <v>205</v>
      </c>
      <c r="B2524" s="4" t="s">
        <v>33</v>
      </c>
      <c r="C2524" s="4" t="s">
        <v>48</v>
      </c>
      <c r="D2524" s="4" t="s">
        <v>5207</v>
      </c>
      <c r="E2524" s="4">
        <v>1505403</v>
      </c>
      <c r="F2524" s="4" t="s">
        <v>5208</v>
      </c>
      <c r="G2524" s="4" t="s">
        <v>215</v>
      </c>
      <c r="H2524" s="4"/>
    </row>
    <row r="2525" s="1" customFormat="1" spans="1:8">
      <c r="A2525" s="4" t="s">
        <v>205</v>
      </c>
      <c r="B2525" s="4" t="s">
        <v>33</v>
      </c>
      <c r="C2525" s="4" t="s">
        <v>48</v>
      </c>
      <c r="D2525" s="4" t="s">
        <v>5209</v>
      </c>
      <c r="E2525" s="4">
        <v>1505502</v>
      </c>
      <c r="F2525" s="4" t="s">
        <v>5210</v>
      </c>
      <c r="G2525" s="4" t="s">
        <v>215</v>
      </c>
      <c r="H2525" s="4"/>
    </row>
    <row r="2526" s="1" customFormat="1" spans="1:8">
      <c r="A2526" s="4" t="s">
        <v>205</v>
      </c>
      <c r="B2526" s="4" t="s">
        <v>33</v>
      </c>
      <c r="C2526" s="4" t="s">
        <v>48</v>
      </c>
      <c r="D2526" s="4" t="s">
        <v>5211</v>
      </c>
      <c r="E2526" s="4">
        <v>1505601</v>
      </c>
      <c r="F2526" s="4" t="s">
        <v>5212</v>
      </c>
      <c r="G2526" s="4" t="s">
        <v>215</v>
      </c>
      <c r="H2526" s="4"/>
    </row>
    <row r="2527" s="1" customFormat="1" spans="1:8">
      <c r="A2527" s="4" t="s">
        <v>205</v>
      </c>
      <c r="B2527" s="4" t="s">
        <v>33</v>
      </c>
      <c r="C2527" s="4" t="s">
        <v>48</v>
      </c>
      <c r="D2527" s="4" t="s">
        <v>5213</v>
      </c>
      <c r="E2527" s="4">
        <v>1506104</v>
      </c>
      <c r="F2527" s="4" t="s">
        <v>5214</v>
      </c>
      <c r="G2527" s="4" t="s">
        <v>215</v>
      </c>
      <c r="H2527" s="4"/>
    </row>
    <row r="2528" s="1" customFormat="1" spans="1:8">
      <c r="A2528" s="4" t="s">
        <v>205</v>
      </c>
      <c r="B2528" s="4" t="s">
        <v>33</v>
      </c>
      <c r="C2528" s="4" t="s">
        <v>48</v>
      </c>
      <c r="D2528" s="4" t="s">
        <v>5215</v>
      </c>
      <c r="E2528" s="4">
        <v>1506112</v>
      </c>
      <c r="F2528" s="4" t="s">
        <v>5216</v>
      </c>
      <c r="G2528" s="4" t="s">
        <v>215</v>
      </c>
      <c r="H2528" s="4"/>
    </row>
    <row r="2529" s="1" customFormat="1" spans="1:8">
      <c r="A2529" s="4" t="s">
        <v>205</v>
      </c>
      <c r="B2529" s="4" t="s">
        <v>33</v>
      </c>
      <c r="C2529" s="4" t="s">
        <v>48</v>
      </c>
      <c r="D2529" s="4" t="s">
        <v>5217</v>
      </c>
      <c r="E2529" s="4">
        <v>1506203</v>
      </c>
      <c r="F2529" s="4" t="s">
        <v>5218</v>
      </c>
      <c r="G2529" s="4" t="s">
        <v>215</v>
      </c>
      <c r="H2529" s="4"/>
    </row>
    <row r="2530" s="1" customFormat="1" spans="1:8">
      <c r="A2530" s="4" t="s">
        <v>205</v>
      </c>
      <c r="B2530" s="4" t="s">
        <v>33</v>
      </c>
      <c r="C2530" s="4" t="s">
        <v>48</v>
      </c>
      <c r="D2530" s="4" t="s">
        <v>5219</v>
      </c>
      <c r="E2530" s="4">
        <v>1506351</v>
      </c>
      <c r="F2530" s="4" t="s">
        <v>5220</v>
      </c>
      <c r="G2530" s="4" t="s">
        <v>215</v>
      </c>
      <c r="H2530" s="4"/>
    </row>
    <row r="2531" s="1" customFormat="1" spans="1:8">
      <c r="A2531" s="4" t="s">
        <v>205</v>
      </c>
      <c r="B2531" s="4" t="s">
        <v>33</v>
      </c>
      <c r="C2531" s="4" t="s">
        <v>48</v>
      </c>
      <c r="D2531" s="4" t="s">
        <v>5221</v>
      </c>
      <c r="E2531" s="4">
        <v>1506500</v>
      </c>
      <c r="F2531" s="4" t="s">
        <v>5222</v>
      </c>
      <c r="G2531" s="4" t="s">
        <v>215</v>
      </c>
      <c r="H2531" s="4"/>
    </row>
    <row r="2532" s="1" customFormat="1" spans="1:8">
      <c r="A2532" s="4" t="s">
        <v>205</v>
      </c>
      <c r="B2532" s="4" t="s">
        <v>33</v>
      </c>
      <c r="C2532" s="4" t="s">
        <v>48</v>
      </c>
      <c r="D2532" s="4" t="s">
        <v>5223</v>
      </c>
      <c r="E2532" s="4">
        <v>1506559</v>
      </c>
      <c r="F2532" s="4" t="s">
        <v>5224</v>
      </c>
      <c r="G2532" s="4" t="s">
        <v>215</v>
      </c>
      <c r="H2532" s="4"/>
    </row>
    <row r="2533" s="1" customFormat="1" spans="1:8">
      <c r="A2533" s="4" t="s">
        <v>205</v>
      </c>
      <c r="B2533" s="4" t="s">
        <v>33</v>
      </c>
      <c r="C2533" s="4" t="s">
        <v>48</v>
      </c>
      <c r="D2533" s="4" t="s">
        <v>5225</v>
      </c>
      <c r="E2533" s="4">
        <v>1506609</v>
      </c>
      <c r="F2533" s="4" t="s">
        <v>5226</v>
      </c>
      <c r="G2533" s="4" t="s">
        <v>215</v>
      </c>
      <c r="H2533" s="4"/>
    </row>
    <row r="2534" s="1" customFormat="1" spans="1:8">
      <c r="A2534" s="4" t="s">
        <v>205</v>
      </c>
      <c r="B2534" s="4" t="s">
        <v>33</v>
      </c>
      <c r="C2534" s="4" t="s">
        <v>48</v>
      </c>
      <c r="D2534" s="4" t="s">
        <v>5227</v>
      </c>
      <c r="E2534" s="4">
        <v>1506906</v>
      </c>
      <c r="F2534" s="4" t="s">
        <v>5228</v>
      </c>
      <c r="G2534" s="4" t="s">
        <v>215</v>
      </c>
      <c r="H2534" s="4"/>
    </row>
    <row r="2535" s="1" customFormat="1" spans="1:8">
      <c r="A2535" s="4" t="s">
        <v>205</v>
      </c>
      <c r="B2535" s="4" t="s">
        <v>33</v>
      </c>
      <c r="C2535" s="4" t="s">
        <v>48</v>
      </c>
      <c r="D2535" s="4" t="s">
        <v>5229</v>
      </c>
      <c r="E2535" s="4">
        <v>1507003</v>
      </c>
      <c r="F2535" s="4" t="s">
        <v>5230</v>
      </c>
      <c r="G2535" s="4" t="s">
        <v>215</v>
      </c>
      <c r="H2535" s="4"/>
    </row>
    <row r="2536" s="1" customFormat="1" spans="1:8">
      <c r="A2536" s="4" t="s">
        <v>205</v>
      </c>
      <c r="B2536" s="4" t="s">
        <v>33</v>
      </c>
      <c r="C2536" s="4" t="s">
        <v>48</v>
      </c>
      <c r="D2536" s="4" t="s">
        <v>5231</v>
      </c>
      <c r="E2536" s="4">
        <v>1507102</v>
      </c>
      <c r="F2536" s="4" t="s">
        <v>5232</v>
      </c>
      <c r="G2536" s="4" t="s">
        <v>215</v>
      </c>
      <c r="H2536" s="4"/>
    </row>
    <row r="2537" s="1" customFormat="1" spans="1:8">
      <c r="A2537" s="4" t="s">
        <v>205</v>
      </c>
      <c r="B2537" s="4" t="s">
        <v>33</v>
      </c>
      <c r="C2537" s="4" t="s">
        <v>48</v>
      </c>
      <c r="D2537" s="4" t="s">
        <v>5233</v>
      </c>
      <c r="E2537" s="4">
        <v>1507409</v>
      </c>
      <c r="F2537" s="4" t="s">
        <v>5234</v>
      </c>
      <c r="G2537" s="4" t="s">
        <v>215</v>
      </c>
      <c r="H2537" s="4"/>
    </row>
    <row r="2538" s="1" customFormat="1" spans="1:8">
      <c r="A2538" s="4" t="s">
        <v>205</v>
      </c>
      <c r="B2538" s="4" t="s">
        <v>33</v>
      </c>
      <c r="C2538" s="4" t="s">
        <v>48</v>
      </c>
      <c r="D2538" s="4" t="s">
        <v>5235</v>
      </c>
      <c r="E2538" s="4">
        <v>1507466</v>
      </c>
      <c r="F2538" s="4" t="s">
        <v>5236</v>
      </c>
      <c r="G2538" s="4" t="s">
        <v>215</v>
      </c>
      <c r="H2538" s="4"/>
    </row>
    <row r="2539" s="1" customFormat="1" spans="1:8">
      <c r="A2539" s="4" t="s">
        <v>205</v>
      </c>
      <c r="B2539" s="4" t="s">
        <v>33</v>
      </c>
      <c r="C2539" s="4" t="s">
        <v>48</v>
      </c>
      <c r="D2539" s="4" t="s">
        <v>5237</v>
      </c>
      <c r="E2539" s="4">
        <v>1507474</v>
      </c>
      <c r="F2539" s="4" t="s">
        <v>5238</v>
      </c>
      <c r="G2539" s="4" t="s">
        <v>215</v>
      </c>
      <c r="H2539" s="4"/>
    </row>
    <row r="2540" s="1" customFormat="1" spans="1:8">
      <c r="A2540" s="4" t="s">
        <v>205</v>
      </c>
      <c r="B2540" s="4" t="s">
        <v>33</v>
      </c>
      <c r="C2540" s="4" t="s">
        <v>48</v>
      </c>
      <c r="D2540" s="4" t="s">
        <v>5239</v>
      </c>
      <c r="E2540" s="4">
        <v>1507607</v>
      </c>
      <c r="F2540" s="4" t="s">
        <v>5240</v>
      </c>
      <c r="G2540" s="4" t="s">
        <v>215</v>
      </c>
      <c r="H2540" s="4"/>
    </row>
    <row r="2541" s="1" customFormat="1" spans="1:8">
      <c r="A2541" s="4" t="s">
        <v>205</v>
      </c>
      <c r="B2541" s="4" t="s">
        <v>33</v>
      </c>
      <c r="C2541" s="4" t="s">
        <v>48</v>
      </c>
      <c r="D2541" s="4" t="s">
        <v>5241</v>
      </c>
      <c r="E2541" s="4">
        <v>1507953</v>
      </c>
      <c r="F2541" s="4" t="s">
        <v>5242</v>
      </c>
      <c r="G2541" s="4" t="s">
        <v>215</v>
      </c>
      <c r="H2541" s="4"/>
    </row>
    <row r="2542" s="1" customFormat="1" spans="1:8">
      <c r="A2542" s="4" t="s">
        <v>205</v>
      </c>
      <c r="B2542" s="4" t="s">
        <v>33</v>
      </c>
      <c r="C2542" s="4" t="s">
        <v>48</v>
      </c>
      <c r="D2542" s="4" t="s">
        <v>5243</v>
      </c>
      <c r="E2542" s="4">
        <v>1507961</v>
      </c>
      <c r="F2542" s="4" t="s">
        <v>5244</v>
      </c>
      <c r="G2542" s="4" t="s">
        <v>215</v>
      </c>
      <c r="H2542" s="4"/>
    </row>
    <row r="2543" s="1" customFormat="1" spans="1:8">
      <c r="A2543" s="4" t="s">
        <v>205</v>
      </c>
      <c r="B2543" s="4" t="s">
        <v>33</v>
      </c>
      <c r="C2543" s="4" t="s">
        <v>48</v>
      </c>
      <c r="D2543" s="7" t="s">
        <v>5245</v>
      </c>
      <c r="E2543" s="4">
        <v>1508001</v>
      </c>
      <c r="F2543" s="4" t="s">
        <v>5246</v>
      </c>
      <c r="G2543" s="4" t="s">
        <v>215</v>
      </c>
      <c r="H2543" s="4"/>
    </row>
    <row r="2544" s="1" customFormat="1" spans="1:8">
      <c r="A2544" s="4" t="s">
        <v>205</v>
      </c>
      <c r="B2544" s="4" t="s">
        <v>33</v>
      </c>
      <c r="C2544" s="4" t="s">
        <v>48</v>
      </c>
      <c r="D2544" s="4" t="s">
        <v>5247</v>
      </c>
      <c r="E2544" s="4">
        <v>1508035</v>
      </c>
      <c r="F2544" s="4" t="s">
        <v>5248</v>
      </c>
      <c r="G2544" s="4" t="s">
        <v>215</v>
      </c>
      <c r="H2544" s="4"/>
    </row>
    <row r="2545" s="1" customFormat="1" spans="1:8">
      <c r="A2545" s="4" t="s">
        <v>205</v>
      </c>
      <c r="B2545" s="4" t="s">
        <v>33</v>
      </c>
      <c r="C2545" s="4" t="s">
        <v>48</v>
      </c>
      <c r="D2545" s="4" t="s">
        <v>5249</v>
      </c>
      <c r="E2545" s="4">
        <v>1508209</v>
      </c>
      <c r="F2545" s="4" t="s">
        <v>5250</v>
      </c>
      <c r="G2545" s="4" t="s">
        <v>215</v>
      </c>
      <c r="H2545" s="4"/>
    </row>
    <row r="2546" s="1" customFormat="1" spans="1:8">
      <c r="A2546" s="4" t="s">
        <v>205</v>
      </c>
      <c r="B2546" s="4" t="s">
        <v>33</v>
      </c>
      <c r="C2546" s="4" t="s">
        <v>48</v>
      </c>
      <c r="D2546" s="4" t="s">
        <v>5251</v>
      </c>
      <c r="E2546" s="4">
        <v>1500131</v>
      </c>
      <c r="F2546" s="4" t="s">
        <v>5252</v>
      </c>
      <c r="G2546" s="4" t="s">
        <v>232</v>
      </c>
      <c r="H2546" s="4"/>
    </row>
    <row r="2547" s="1" customFormat="1" spans="1:8">
      <c r="A2547" s="4" t="s">
        <v>205</v>
      </c>
      <c r="B2547" s="4" t="s">
        <v>33</v>
      </c>
      <c r="C2547" s="4" t="s">
        <v>48</v>
      </c>
      <c r="D2547" s="4" t="s">
        <v>5253</v>
      </c>
      <c r="E2547" s="4">
        <v>1501576</v>
      </c>
      <c r="F2547" s="4" t="s">
        <v>5254</v>
      </c>
      <c r="G2547" s="4" t="s">
        <v>232</v>
      </c>
      <c r="H2547" s="4"/>
    </row>
    <row r="2548" s="1" customFormat="1" spans="1:8">
      <c r="A2548" s="4" t="s">
        <v>205</v>
      </c>
      <c r="B2548" s="4" t="s">
        <v>33</v>
      </c>
      <c r="C2548" s="4" t="s">
        <v>48</v>
      </c>
      <c r="D2548" s="4" t="s">
        <v>5255</v>
      </c>
      <c r="E2548" s="4">
        <v>1501758</v>
      </c>
      <c r="F2548" s="4" t="s">
        <v>5256</v>
      </c>
      <c r="G2548" s="4" t="s">
        <v>232</v>
      </c>
      <c r="H2548" s="4"/>
    </row>
    <row r="2549" s="1" customFormat="1" spans="1:8">
      <c r="A2549" s="4" t="s">
        <v>205</v>
      </c>
      <c r="B2549" s="4" t="s">
        <v>33</v>
      </c>
      <c r="C2549" s="4" t="s">
        <v>48</v>
      </c>
      <c r="D2549" s="4" t="s">
        <v>5257</v>
      </c>
      <c r="E2549" s="4">
        <v>1501782</v>
      </c>
      <c r="F2549" s="4" t="s">
        <v>5258</v>
      </c>
      <c r="G2549" s="4" t="s">
        <v>232</v>
      </c>
      <c r="H2549" s="4"/>
    </row>
    <row r="2550" s="1" customFormat="1" spans="1:8">
      <c r="A2550" s="4" t="s">
        <v>205</v>
      </c>
      <c r="B2550" s="4" t="s">
        <v>33</v>
      </c>
      <c r="C2550" s="4" t="s">
        <v>48</v>
      </c>
      <c r="D2550" s="4" t="s">
        <v>5259</v>
      </c>
      <c r="E2550" s="4">
        <v>1502772</v>
      </c>
      <c r="F2550" s="4" t="s">
        <v>5260</v>
      </c>
      <c r="G2550" s="4" t="s">
        <v>232</v>
      </c>
      <c r="H2550" s="4"/>
    </row>
    <row r="2551" s="1" customFormat="1" spans="1:8">
      <c r="A2551" s="4" t="s">
        <v>205</v>
      </c>
      <c r="B2551" s="4" t="s">
        <v>33</v>
      </c>
      <c r="C2551" s="4" t="s">
        <v>48</v>
      </c>
      <c r="D2551" s="4" t="s">
        <v>5261</v>
      </c>
      <c r="E2551" s="4">
        <v>1502939</v>
      </c>
      <c r="F2551" s="4" t="s">
        <v>5262</v>
      </c>
      <c r="G2551" s="4" t="s">
        <v>232</v>
      </c>
      <c r="H2551" s="4"/>
    </row>
    <row r="2552" s="1" customFormat="1" spans="1:8">
      <c r="A2552" s="4" t="s">
        <v>205</v>
      </c>
      <c r="B2552" s="4" t="s">
        <v>33</v>
      </c>
      <c r="C2552" s="4" t="s">
        <v>48</v>
      </c>
      <c r="D2552" s="4" t="s">
        <v>5263</v>
      </c>
      <c r="E2552" s="4">
        <v>1502954</v>
      </c>
      <c r="F2552" s="4" t="s">
        <v>5264</v>
      </c>
      <c r="G2552" s="4" t="s">
        <v>232</v>
      </c>
      <c r="H2552" s="4"/>
    </row>
    <row r="2553" s="1" customFormat="1" spans="1:8">
      <c r="A2553" s="4" t="s">
        <v>205</v>
      </c>
      <c r="B2553" s="4" t="s">
        <v>33</v>
      </c>
      <c r="C2553" s="4" t="s">
        <v>48</v>
      </c>
      <c r="D2553" s="4" t="s">
        <v>5265</v>
      </c>
      <c r="E2553" s="4">
        <v>1503705</v>
      </c>
      <c r="F2553" s="4" t="s">
        <v>5266</v>
      </c>
      <c r="G2553" s="4" t="s">
        <v>232</v>
      </c>
      <c r="H2553" s="4"/>
    </row>
    <row r="2554" s="1" customFormat="1" spans="1:8">
      <c r="A2554" s="4" t="s">
        <v>205</v>
      </c>
      <c r="B2554" s="4" t="s">
        <v>33</v>
      </c>
      <c r="C2554" s="4" t="s">
        <v>48</v>
      </c>
      <c r="D2554" s="4" t="s">
        <v>5267</v>
      </c>
      <c r="E2554" s="4">
        <v>1503804</v>
      </c>
      <c r="F2554" s="4" t="s">
        <v>5268</v>
      </c>
      <c r="G2554" s="4" t="s">
        <v>232</v>
      </c>
      <c r="H2554" s="4"/>
    </row>
    <row r="2555" s="1" customFormat="1" spans="1:8">
      <c r="A2555" s="4" t="s">
        <v>205</v>
      </c>
      <c r="B2555" s="4" t="s">
        <v>33</v>
      </c>
      <c r="C2555" s="4" t="s">
        <v>48</v>
      </c>
      <c r="D2555" s="4" t="s">
        <v>5269</v>
      </c>
      <c r="E2555" s="4">
        <v>1504208</v>
      </c>
      <c r="F2555" s="4" t="s">
        <v>5270</v>
      </c>
      <c r="G2555" s="4" t="s">
        <v>232</v>
      </c>
      <c r="H2555" s="4"/>
    </row>
    <row r="2556" s="1" customFormat="1" spans="1:8">
      <c r="A2556" s="4" t="s">
        <v>205</v>
      </c>
      <c r="B2556" s="4" t="s">
        <v>33</v>
      </c>
      <c r="C2556" s="4" t="s">
        <v>48</v>
      </c>
      <c r="D2556" s="4" t="s">
        <v>5271</v>
      </c>
      <c r="E2556" s="4">
        <v>1504976</v>
      </c>
      <c r="F2556" s="4" t="s">
        <v>5272</v>
      </c>
      <c r="G2556" s="4" t="s">
        <v>232</v>
      </c>
      <c r="H2556" s="4"/>
    </row>
    <row r="2557" s="1" customFormat="1" spans="1:8">
      <c r="A2557" s="4" t="s">
        <v>205</v>
      </c>
      <c r="B2557" s="4" t="s">
        <v>33</v>
      </c>
      <c r="C2557" s="4" t="s">
        <v>48</v>
      </c>
      <c r="D2557" s="4" t="s">
        <v>5273</v>
      </c>
      <c r="E2557" s="4">
        <v>1505064</v>
      </c>
      <c r="F2557" s="4" t="s">
        <v>5274</v>
      </c>
      <c r="G2557" s="4" t="s">
        <v>232</v>
      </c>
      <c r="H2557" s="4"/>
    </row>
    <row r="2558" s="1" customFormat="1" spans="1:8">
      <c r="A2558" s="4" t="s">
        <v>205</v>
      </c>
      <c r="B2558" s="4" t="s">
        <v>33</v>
      </c>
      <c r="C2558" s="4" t="s">
        <v>48</v>
      </c>
      <c r="D2558" s="4" t="s">
        <v>5275</v>
      </c>
      <c r="E2558" s="4">
        <v>1505494</v>
      </c>
      <c r="F2558" s="4" t="s">
        <v>5276</v>
      </c>
      <c r="G2558" s="4" t="s">
        <v>232</v>
      </c>
      <c r="H2558" s="4"/>
    </row>
    <row r="2559" s="1" customFormat="1" spans="1:8">
      <c r="A2559" s="4" t="s">
        <v>205</v>
      </c>
      <c r="B2559" s="4" t="s">
        <v>33</v>
      </c>
      <c r="C2559" s="4" t="s">
        <v>48</v>
      </c>
      <c r="D2559" s="4" t="s">
        <v>5277</v>
      </c>
      <c r="E2559" s="4">
        <v>1506187</v>
      </c>
      <c r="F2559" s="4" t="s">
        <v>5278</v>
      </c>
      <c r="G2559" s="4" t="s">
        <v>232</v>
      </c>
      <c r="H2559" s="4"/>
    </row>
    <row r="2560" s="1" customFormat="1" spans="1:8">
      <c r="A2560" s="4" t="s">
        <v>205</v>
      </c>
      <c r="B2560" s="4" t="s">
        <v>33</v>
      </c>
      <c r="C2560" s="4" t="s">
        <v>48</v>
      </c>
      <c r="D2560" s="4" t="s">
        <v>5279</v>
      </c>
      <c r="E2560" s="4">
        <v>1507151</v>
      </c>
      <c r="F2560" s="4" t="s">
        <v>5280</v>
      </c>
      <c r="G2560" s="4" t="s">
        <v>232</v>
      </c>
      <c r="H2560" s="4"/>
    </row>
    <row r="2561" s="1" customFormat="1" spans="1:8">
      <c r="A2561" s="4" t="s">
        <v>205</v>
      </c>
      <c r="B2561" s="4" t="s">
        <v>33</v>
      </c>
      <c r="C2561" s="4" t="s">
        <v>48</v>
      </c>
      <c r="D2561" s="4" t="s">
        <v>5281</v>
      </c>
      <c r="E2561" s="4">
        <v>1507508</v>
      </c>
      <c r="F2561" s="4" t="s">
        <v>5282</v>
      </c>
      <c r="G2561" s="4" t="s">
        <v>232</v>
      </c>
      <c r="H2561" s="4"/>
    </row>
    <row r="2562" s="1" customFormat="1" spans="1:8">
      <c r="A2562" s="4" t="s">
        <v>205</v>
      </c>
      <c r="B2562" s="4" t="s">
        <v>33</v>
      </c>
      <c r="C2562" s="4" t="s">
        <v>48</v>
      </c>
      <c r="D2562" s="4" t="s">
        <v>5283</v>
      </c>
      <c r="E2562" s="4">
        <v>1508100</v>
      </c>
      <c r="F2562" s="4" t="s">
        <v>5284</v>
      </c>
      <c r="G2562" s="4" t="s">
        <v>232</v>
      </c>
      <c r="H2562" s="4"/>
    </row>
    <row r="2563" s="1" customFormat="1" spans="1:8">
      <c r="A2563" s="4" t="s">
        <v>205</v>
      </c>
      <c r="B2563" s="4" t="s">
        <v>33</v>
      </c>
      <c r="C2563" s="4" t="s">
        <v>48</v>
      </c>
      <c r="D2563" s="4" t="s">
        <v>5285</v>
      </c>
      <c r="E2563" s="4">
        <v>1508126</v>
      </c>
      <c r="F2563" s="4" t="s">
        <v>5286</v>
      </c>
      <c r="G2563" s="4" t="s">
        <v>232</v>
      </c>
      <c r="H2563" s="4"/>
    </row>
    <row r="2564" s="1" customFormat="1" spans="1:8">
      <c r="A2564" s="4" t="s">
        <v>205</v>
      </c>
      <c r="B2564" s="4" t="s">
        <v>33</v>
      </c>
      <c r="C2564" s="4" t="s">
        <v>48</v>
      </c>
      <c r="D2564" s="4" t="s">
        <v>5287</v>
      </c>
      <c r="E2564" s="4">
        <v>1508308</v>
      </c>
      <c r="F2564" s="4" t="s">
        <v>5288</v>
      </c>
      <c r="G2564" s="4" t="s">
        <v>232</v>
      </c>
      <c r="H2564" s="4"/>
    </row>
    <row r="2565" s="1" customFormat="1" spans="1:8">
      <c r="A2565" s="4" t="s">
        <v>205</v>
      </c>
      <c r="B2565" s="4" t="s">
        <v>33</v>
      </c>
      <c r="C2565" s="4" t="s">
        <v>48</v>
      </c>
      <c r="D2565" s="4" t="s">
        <v>5289</v>
      </c>
      <c r="E2565" s="4">
        <v>1501253</v>
      </c>
      <c r="F2565" s="4" t="s">
        <v>5290</v>
      </c>
      <c r="G2565" s="4" t="s">
        <v>243</v>
      </c>
      <c r="H2565" s="4"/>
    </row>
    <row r="2566" s="1" customFormat="1" spans="1:8">
      <c r="A2566" s="4" t="s">
        <v>205</v>
      </c>
      <c r="B2566" s="4" t="s">
        <v>33</v>
      </c>
      <c r="C2566" s="4" t="s">
        <v>48</v>
      </c>
      <c r="D2566" s="4" t="s">
        <v>5291</v>
      </c>
      <c r="E2566" s="4">
        <v>1502152</v>
      </c>
      <c r="F2566" s="4" t="s">
        <v>5292</v>
      </c>
      <c r="G2566" s="4" t="s">
        <v>243</v>
      </c>
      <c r="H2566" s="4"/>
    </row>
    <row r="2567" s="1" customFormat="1" spans="1:8">
      <c r="A2567" s="4" t="s">
        <v>205</v>
      </c>
      <c r="B2567" s="4" t="s">
        <v>33</v>
      </c>
      <c r="C2567" s="4" t="s">
        <v>48</v>
      </c>
      <c r="D2567" s="4" t="s">
        <v>5293</v>
      </c>
      <c r="E2567" s="4">
        <v>1502707</v>
      </c>
      <c r="F2567" s="4" t="s">
        <v>5294</v>
      </c>
      <c r="G2567" s="4" t="s">
        <v>243</v>
      </c>
      <c r="H2567" s="4"/>
    </row>
    <row r="2568" s="1" customFormat="1" spans="1:8">
      <c r="A2568" s="4" t="s">
        <v>205</v>
      </c>
      <c r="B2568" s="4" t="s">
        <v>33</v>
      </c>
      <c r="C2568" s="4" t="s">
        <v>48</v>
      </c>
      <c r="D2568" s="4" t="s">
        <v>5295</v>
      </c>
      <c r="E2568" s="4">
        <v>1502764</v>
      </c>
      <c r="F2568" s="4" t="s">
        <v>5296</v>
      </c>
      <c r="G2568" s="4" t="s">
        <v>243</v>
      </c>
      <c r="H2568" s="4"/>
    </row>
    <row r="2569" s="1" customFormat="1" spans="1:8">
      <c r="A2569" s="4" t="s">
        <v>205</v>
      </c>
      <c r="B2569" s="4" t="s">
        <v>33</v>
      </c>
      <c r="C2569" s="4" t="s">
        <v>48</v>
      </c>
      <c r="D2569" s="4" t="s">
        <v>5297</v>
      </c>
      <c r="E2569" s="4">
        <v>1503044</v>
      </c>
      <c r="F2569" s="4" t="s">
        <v>5298</v>
      </c>
      <c r="G2569" s="4" t="s">
        <v>243</v>
      </c>
      <c r="H2569" s="4"/>
    </row>
    <row r="2570" s="1" customFormat="1" spans="1:8">
      <c r="A2570" s="4" t="s">
        <v>205</v>
      </c>
      <c r="B2570" s="4" t="s">
        <v>33</v>
      </c>
      <c r="C2570" s="4" t="s">
        <v>48</v>
      </c>
      <c r="D2570" s="4" t="s">
        <v>5299</v>
      </c>
      <c r="E2570" s="4">
        <v>1505437</v>
      </c>
      <c r="F2570" s="4" t="s">
        <v>5300</v>
      </c>
      <c r="G2570" s="4" t="s">
        <v>243</v>
      </c>
      <c r="H2570" s="4"/>
    </row>
    <row r="2571" s="1" customFormat="1" spans="1:8">
      <c r="A2571" s="4" t="s">
        <v>205</v>
      </c>
      <c r="B2571" s="4" t="s">
        <v>33</v>
      </c>
      <c r="C2571" s="4" t="s">
        <v>48</v>
      </c>
      <c r="D2571" s="4" t="s">
        <v>5301</v>
      </c>
      <c r="E2571" s="4">
        <v>1505536</v>
      </c>
      <c r="F2571" s="4" t="s">
        <v>5302</v>
      </c>
      <c r="G2571" s="4" t="s">
        <v>243</v>
      </c>
      <c r="H2571" s="4"/>
    </row>
    <row r="2572" s="1" customFormat="1" spans="1:8">
      <c r="A2572" s="4" t="s">
        <v>205</v>
      </c>
      <c r="B2572" s="4" t="s">
        <v>33</v>
      </c>
      <c r="C2572" s="4" t="s">
        <v>48</v>
      </c>
      <c r="D2572" s="4" t="s">
        <v>5303</v>
      </c>
      <c r="E2572" s="4">
        <v>1505551</v>
      </c>
      <c r="F2572" s="4" t="s">
        <v>5304</v>
      </c>
      <c r="G2572" s="4" t="s">
        <v>243</v>
      </c>
      <c r="H2572" s="4"/>
    </row>
    <row r="2573" s="1" customFormat="1" spans="1:8">
      <c r="A2573" s="4" t="s">
        <v>205</v>
      </c>
      <c r="B2573" s="4" t="s">
        <v>33</v>
      </c>
      <c r="C2573" s="4" t="s">
        <v>48</v>
      </c>
      <c r="D2573" s="4" t="s">
        <v>5305</v>
      </c>
      <c r="E2573" s="4">
        <v>1505635</v>
      </c>
      <c r="F2573" s="4" t="s">
        <v>5306</v>
      </c>
      <c r="G2573" s="4" t="s">
        <v>243</v>
      </c>
      <c r="H2573" s="4"/>
    </row>
    <row r="2574" s="1" customFormat="1" spans="1:8">
      <c r="A2574" s="4" t="s">
        <v>205</v>
      </c>
      <c r="B2574" s="4" t="s">
        <v>33</v>
      </c>
      <c r="C2574" s="4" t="s">
        <v>48</v>
      </c>
      <c r="D2574" s="4" t="s">
        <v>1545</v>
      </c>
      <c r="E2574" s="4">
        <v>1506138</v>
      </c>
      <c r="F2574" s="4" t="s">
        <v>5307</v>
      </c>
      <c r="G2574" s="4" t="s">
        <v>243</v>
      </c>
      <c r="H2574" s="4"/>
    </row>
    <row r="2575" s="1" customFormat="1" spans="1:8">
      <c r="A2575" s="4" t="s">
        <v>205</v>
      </c>
      <c r="B2575" s="4" t="s">
        <v>33</v>
      </c>
      <c r="C2575" s="4" t="s">
        <v>48</v>
      </c>
      <c r="D2575" s="4" t="s">
        <v>5308</v>
      </c>
      <c r="E2575" s="4">
        <v>1506161</v>
      </c>
      <c r="F2575" s="4" t="s">
        <v>5309</v>
      </c>
      <c r="G2575" s="4" t="s">
        <v>243</v>
      </c>
      <c r="H2575" s="4"/>
    </row>
    <row r="2576" s="1" customFormat="1" spans="1:8">
      <c r="A2576" s="4" t="s">
        <v>205</v>
      </c>
      <c r="B2576" s="4" t="s">
        <v>33</v>
      </c>
      <c r="C2576" s="4" t="s">
        <v>48</v>
      </c>
      <c r="D2576" s="4" t="s">
        <v>5310</v>
      </c>
      <c r="E2576" s="4">
        <v>1506583</v>
      </c>
      <c r="F2576" s="4" t="s">
        <v>5311</v>
      </c>
      <c r="G2576" s="4" t="s">
        <v>243</v>
      </c>
      <c r="H2576" s="4"/>
    </row>
    <row r="2577" s="1" customFormat="1" spans="1:8">
      <c r="A2577" s="4" t="s">
        <v>205</v>
      </c>
      <c r="B2577" s="4" t="s">
        <v>33</v>
      </c>
      <c r="C2577" s="4" t="s">
        <v>48</v>
      </c>
      <c r="D2577" s="4" t="s">
        <v>5312</v>
      </c>
      <c r="E2577" s="4">
        <v>1506708</v>
      </c>
      <c r="F2577" s="4" t="s">
        <v>5313</v>
      </c>
      <c r="G2577" s="4" t="s">
        <v>243</v>
      </c>
      <c r="H2577" s="4"/>
    </row>
    <row r="2578" s="1" customFormat="1" spans="1:8">
      <c r="A2578" s="4" t="s">
        <v>205</v>
      </c>
      <c r="B2578" s="4" t="s">
        <v>33</v>
      </c>
      <c r="C2578" s="4" t="s">
        <v>48</v>
      </c>
      <c r="D2578" s="4" t="s">
        <v>5314</v>
      </c>
      <c r="E2578" s="4">
        <v>1507755</v>
      </c>
      <c r="F2578" s="4" t="s">
        <v>5315</v>
      </c>
      <c r="G2578" s="4" t="s">
        <v>243</v>
      </c>
      <c r="H2578" s="4"/>
    </row>
    <row r="2579" s="1" customFormat="1" spans="1:8">
      <c r="A2579" s="4" t="s">
        <v>205</v>
      </c>
      <c r="B2579" s="4" t="s">
        <v>33</v>
      </c>
      <c r="C2579" s="4" t="s">
        <v>48</v>
      </c>
      <c r="D2579" s="4" t="s">
        <v>5316</v>
      </c>
      <c r="E2579" s="4">
        <v>1507300</v>
      </c>
      <c r="F2579" s="4" t="s">
        <v>5317</v>
      </c>
      <c r="G2579" s="4" t="s">
        <v>243</v>
      </c>
      <c r="H2579" s="4"/>
    </row>
    <row r="2580" s="1" customFormat="1" spans="1:8">
      <c r="A2580" s="4" t="s">
        <v>205</v>
      </c>
      <c r="B2580" s="4" t="s">
        <v>33</v>
      </c>
      <c r="C2580" s="4" t="s">
        <v>48</v>
      </c>
      <c r="D2580" s="4" t="s">
        <v>5318</v>
      </c>
      <c r="E2580" s="4">
        <v>1507458</v>
      </c>
      <c r="F2580" s="4" t="s">
        <v>5319</v>
      </c>
      <c r="G2580" s="4" t="s">
        <v>243</v>
      </c>
      <c r="H2580" s="4"/>
    </row>
    <row r="2581" s="1" customFormat="1" spans="1:8">
      <c r="A2581" s="4" t="s">
        <v>205</v>
      </c>
      <c r="B2581" s="4" t="s">
        <v>33</v>
      </c>
      <c r="C2581" s="4" t="s">
        <v>48</v>
      </c>
      <c r="D2581" s="4" t="s">
        <v>5320</v>
      </c>
      <c r="E2581" s="4">
        <v>1508084</v>
      </c>
      <c r="F2581" s="4" t="s">
        <v>5321</v>
      </c>
      <c r="G2581" s="4" t="s">
        <v>243</v>
      </c>
      <c r="H2581" s="4"/>
    </row>
    <row r="2582" s="1" customFormat="1" spans="1:8">
      <c r="A2582" s="4" t="s">
        <v>205</v>
      </c>
      <c r="B2582" s="4" t="s">
        <v>33</v>
      </c>
      <c r="C2582" s="4" t="s">
        <v>48</v>
      </c>
      <c r="D2582" s="4" t="s">
        <v>5322</v>
      </c>
      <c r="E2582" s="4">
        <v>1508407</v>
      </c>
      <c r="F2582" s="4" t="s">
        <v>5323</v>
      </c>
      <c r="G2582" s="4" t="s">
        <v>243</v>
      </c>
      <c r="H2582" s="4"/>
    </row>
    <row r="2583" s="1" customFormat="1" spans="1:8">
      <c r="A2583" s="4" t="s">
        <v>205</v>
      </c>
      <c r="B2583" s="4" t="s">
        <v>33</v>
      </c>
      <c r="C2583" s="4" t="s">
        <v>48</v>
      </c>
      <c r="D2583" s="4" t="s">
        <v>5324</v>
      </c>
      <c r="E2583" s="4">
        <v>1500347</v>
      </c>
      <c r="F2583" s="4" t="s">
        <v>5325</v>
      </c>
      <c r="G2583" s="4" t="s">
        <v>243</v>
      </c>
      <c r="H2583" s="4"/>
    </row>
    <row r="2584" s="1" customFormat="1" spans="1:8">
      <c r="A2584" s="4" t="s">
        <v>205</v>
      </c>
      <c r="B2584" s="4" t="s">
        <v>57</v>
      </c>
      <c r="C2584" s="4" t="s">
        <v>68</v>
      </c>
      <c r="D2584" s="4" t="s">
        <v>69</v>
      </c>
      <c r="E2584" s="4">
        <v>2507507</v>
      </c>
      <c r="F2584" s="4" t="s">
        <v>5326</v>
      </c>
      <c r="G2584" s="4" t="s">
        <v>207</v>
      </c>
      <c r="H2584" s="4"/>
    </row>
    <row r="2585" s="1" customFormat="1" spans="1:8">
      <c r="A2585" s="4" t="s">
        <v>205</v>
      </c>
      <c r="B2585" s="4" t="s">
        <v>57</v>
      </c>
      <c r="C2585" s="4" t="s">
        <v>68</v>
      </c>
      <c r="D2585" s="4" t="s">
        <v>5327</v>
      </c>
      <c r="E2585" s="4">
        <v>2501807</v>
      </c>
      <c r="F2585" s="4" t="s">
        <v>5328</v>
      </c>
      <c r="G2585" s="4" t="s">
        <v>210</v>
      </c>
      <c r="H2585" s="4"/>
    </row>
    <row r="2586" s="1" customFormat="1" spans="1:8">
      <c r="A2586" s="4" t="s">
        <v>205</v>
      </c>
      <c r="B2586" s="4" t="s">
        <v>57</v>
      </c>
      <c r="C2586" s="4" t="s">
        <v>68</v>
      </c>
      <c r="D2586" s="4" t="s">
        <v>5329</v>
      </c>
      <c r="E2586" s="4">
        <v>2503209</v>
      </c>
      <c r="F2586" s="4" t="s">
        <v>5330</v>
      </c>
      <c r="G2586" s="4" t="s">
        <v>210</v>
      </c>
      <c r="H2586" s="4"/>
    </row>
    <row r="2587" s="1" customFormat="1" spans="1:8">
      <c r="A2587" s="4" t="s">
        <v>205</v>
      </c>
      <c r="B2587" s="4" t="s">
        <v>57</v>
      </c>
      <c r="C2587" s="4" t="s">
        <v>68</v>
      </c>
      <c r="D2587" s="4" t="s">
        <v>683</v>
      </c>
      <c r="E2587" s="4">
        <v>2504603</v>
      </c>
      <c r="F2587" s="4" t="s">
        <v>5331</v>
      </c>
      <c r="G2587" s="4" t="s">
        <v>210</v>
      </c>
      <c r="H2587" s="4"/>
    </row>
    <row r="2588" s="1" customFormat="1" spans="1:8">
      <c r="A2588" s="4" t="s">
        <v>205</v>
      </c>
      <c r="B2588" s="4" t="s">
        <v>57</v>
      </c>
      <c r="C2588" s="4" t="s">
        <v>68</v>
      </c>
      <c r="D2588" s="4" t="s">
        <v>5332</v>
      </c>
      <c r="E2588" s="4">
        <v>2504900</v>
      </c>
      <c r="F2588" s="4" t="s">
        <v>5333</v>
      </c>
      <c r="G2588" s="4" t="s">
        <v>210</v>
      </c>
      <c r="H2588" s="4"/>
    </row>
    <row r="2589" s="1" customFormat="1" spans="1:8">
      <c r="A2589" s="4" t="s">
        <v>205</v>
      </c>
      <c r="B2589" s="4" t="s">
        <v>57</v>
      </c>
      <c r="C2589" s="4" t="s">
        <v>68</v>
      </c>
      <c r="D2589" s="4" t="s">
        <v>2546</v>
      </c>
      <c r="E2589" s="4">
        <v>2513703</v>
      </c>
      <c r="F2589" s="4" t="s">
        <v>5334</v>
      </c>
      <c r="G2589" s="4" t="s">
        <v>210</v>
      </c>
      <c r="H2589" s="4"/>
    </row>
    <row r="2590" s="1" customFormat="1" spans="1:8">
      <c r="A2590" s="4" t="s">
        <v>205</v>
      </c>
      <c r="B2590" s="4" t="s">
        <v>57</v>
      </c>
      <c r="C2590" s="4" t="s">
        <v>68</v>
      </c>
      <c r="D2590" s="4" t="s">
        <v>5335</v>
      </c>
      <c r="E2590" s="4">
        <v>2500304</v>
      </c>
      <c r="F2590" s="4" t="s">
        <v>5336</v>
      </c>
      <c r="G2590" s="4" t="s">
        <v>215</v>
      </c>
      <c r="H2590" s="4"/>
    </row>
    <row r="2591" s="1" customFormat="1" spans="1:8">
      <c r="A2591" s="4" t="s">
        <v>205</v>
      </c>
      <c r="B2591" s="4" t="s">
        <v>57</v>
      </c>
      <c r="C2591" s="4" t="s">
        <v>68</v>
      </c>
      <c r="D2591" s="4" t="s">
        <v>5337</v>
      </c>
      <c r="E2591" s="4">
        <v>2500403</v>
      </c>
      <c r="F2591" s="4" t="s">
        <v>5338</v>
      </c>
      <c r="G2591" s="4" t="s">
        <v>215</v>
      </c>
      <c r="H2591" s="4"/>
    </row>
    <row r="2592" s="1" customFormat="1" spans="1:8">
      <c r="A2592" s="4" t="s">
        <v>205</v>
      </c>
      <c r="B2592" s="4" t="s">
        <v>57</v>
      </c>
      <c r="C2592" s="4" t="s">
        <v>68</v>
      </c>
      <c r="D2592" s="4" t="s">
        <v>5339</v>
      </c>
      <c r="E2592" s="4">
        <v>2500502</v>
      </c>
      <c r="F2592" s="4" t="s">
        <v>5340</v>
      </c>
      <c r="G2592" s="4" t="s">
        <v>215</v>
      </c>
      <c r="H2592" s="4"/>
    </row>
    <row r="2593" s="1" customFormat="1" spans="1:8">
      <c r="A2593" s="4" t="s">
        <v>205</v>
      </c>
      <c r="B2593" s="4" t="s">
        <v>57</v>
      </c>
      <c r="C2593" s="4" t="s">
        <v>68</v>
      </c>
      <c r="D2593" s="4" t="s">
        <v>5341</v>
      </c>
      <c r="E2593" s="4">
        <v>2500601</v>
      </c>
      <c r="F2593" s="4" t="s">
        <v>5342</v>
      </c>
      <c r="G2593" s="4" t="s">
        <v>215</v>
      </c>
      <c r="H2593" s="4"/>
    </row>
    <row r="2594" s="1" customFormat="1" spans="1:8">
      <c r="A2594" s="4" t="s">
        <v>205</v>
      </c>
      <c r="B2594" s="4" t="s">
        <v>57</v>
      </c>
      <c r="C2594" s="4" t="s">
        <v>68</v>
      </c>
      <c r="D2594" s="4" t="s">
        <v>5343</v>
      </c>
      <c r="E2594" s="4">
        <v>2500908</v>
      </c>
      <c r="F2594" s="4" t="s">
        <v>5344</v>
      </c>
      <c r="G2594" s="4" t="s">
        <v>215</v>
      </c>
      <c r="H2594" s="4"/>
    </row>
    <row r="2595" s="1" customFormat="1" spans="1:8">
      <c r="A2595" s="4" t="s">
        <v>205</v>
      </c>
      <c r="B2595" s="4" t="s">
        <v>57</v>
      </c>
      <c r="C2595" s="4" t="s">
        <v>68</v>
      </c>
      <c r="D2595" s="4" t="s">
        <v>5345</v>
      </c>
      <c r="E2595" s="4">
        <v>2500809</v>
      </c>
      <c r="F2595" s="4" t="s">
        <v>5346</v>
      </c>
      <c r="G2595" s="4" t="s">
        <v>215</v>
      </c>
      <c r="H2595" s="4"/>
    </row>
    <row r="2596" s="1" customFormat="1" spans="1:8">
      <c r="A2596" s="4" t="s">
        <v>205</v>
      </c>
      <c r="B2596" s="4" t="s">
        <v>57</v>
      </c>
      <c r="C2596" s="4" t="s">
        <v>68</v>
      </c>
      <c r="D2596" s="4" t="s">
        <v>5347</v>
      </c>
      <c r="E2596" s="4">
        <v>2501104</v>
      </c>
      <c r="F2596" s="4" t="s">
        <v>5348</v>
      </c>
      <c r="G2596" s="4" t="s">
        <v>215</v>
      </c>
      <c r="H2596" s="4"/>
    </row>
    <row r="2597" s="1" customFormat="1" spans="1:8">
      <c r="A2597" s="4" t="s">
        <v>205</v>
      </c>
      <c r="B2597" s="4" t="s">
        <v>57</v>
      </c>
      <c r="C2597" s="4" t="s">
        <v>68</v>
      </c>
      <c r="D2597" s="4" t="s">
        <v>5349</v>
      </c>
      <c r="E2597" s="4">
        <v>2501203</v>
      </c>
      <c r="F2597" s="4" t="s">
        <v>5350</v>
      </c>
      <c r="G2597" s="4" t="s">
        <v>215</v>
      </c>
      <c r="H2597" s="4"/>
    </row>
    <row r="2598" s="1" customFormat="1" spans="1:8">
      <c r="A2598" s="4" t="s">
        <v>205</v>
      </c>
      <c r="B2598" s="4" t="s">
        <v>57</v>
      </c>
      <c r="C2598" s="4" t="s">
        <v>68</v>
      </c>
      <c r="D2598" s="4" t="s">
        <v>5351</v>
      </c>
      <c r="E2598" s="4">
        <v>2501302</v>
      </c>
      <c r="F2598" s="4" t="s">
        <v>5352</v>
      </c>
      <c r="G2598" s="4" t="s">
        <v>215</v>
      </c>
      <c r="H2598" s="4"/>
    </row>
    <row r="2599" s="1" customFormat="1" spans="1:8">
      <c r="A2599" s="4" t="s">
        <v>205</v>
      </c>
      <c r="B2599" s="4" t="s">
        <v>57</v>
      </c>
      <c r="C2599" s="4" t="s">
        <v>68</v>
      </c>
      <c r="D2599" s="4" t="s">
        <v>5353</v>
      </c>
      <c r="E2599" s="4">
        <v>2501500</v>
      </c>
      <c r="F2599" s="4" t="s">
        <v>5354</v>
      </c>
      <c r="G2599" s="4" t="s">
        <v>215</v>
      </c>
      <c r="H2599" s="4"/>
    </row>
    <row r="2600" s="1" customFormat="1" spans="1:8">
      <c r="A2600" s="4" t="s">
        <v>205</v>
      </c>
      <c r="B2600" s="4" t="s">
        <v>57</v>
      </c>
      <c r="C2600" s="4" t="s">
        <v>68</v>
      </c>
      <c r="D2600" s="4" t="s">
        <v>5355</v>
      </c>
      <c r="E2600" s="4">
        <v>2501575</v>
      </c>
      <c r="F2600" s="4" t="s">
        <v>5356</v>
      </c>
      <c r="G2600" s="4" t="s">
        <v>215</v>
      </c>
      <c r="H2600" s="4"/>
    </row>
    <row r="2601" s="1" customFormat="1" spans="1:8">
      <c r="A2601" s="4" t="s">
        <v>205</v>
      </c>
      <c r="B2601" s="4" t="s">
        <v>57</v>
      </c>
      <c r="C2601" s="4" t="s">
        <v>68</v>
      </c>
      <c r="D2601" s="4" t="s">
        <v>5357</v>
      </c>
      <c r="E2601" s="4">
        <v>2501401</v>
      </c>
      <c r="F2601" s="4" t="s">
        <v>5358</v>
      </c>
      <c r="G2601" s="4" t="s">
        <v>215</v>
      </c>
      <c r="H2601" s="4"/>
    </row>
    <row r="2602" s="1" customFormat="1" spans="1:8">
      <c r="A2602" s="4" t="s">
        <v>205</v>
      </c>
      <c r="B2602" s="4" t="s">
        <v>57</v>
      </c>
      <c r="C2602" s="4" t="s">
        <v>68</v>
      </c>
      <c r="D2602" s="4" t="s">
        <v>49</v>
      </c>
      <c r="E2602" s="4">
        <v>2501906</v>
      </c>
      <c r="F2602" s="4" t="s">
        <v>5359</v>
      </c>
      <c r="G2602" s="4" t="s">
        <v>215</v>
      </c>
      <c r="H2602" s="4"/>
    </row>
    <row r="2603" s="1" customFormat="1" spans="1:8">
      <c r="A2603" s="4" t="s">
        <v>205</v>
      </c>
      <c r="B2603" s="4" t="s">
        <v>57</v>
      </c>
      <c r="C2603" s="4" t="s">
        <v>68</v>
      </c>
      <c r="D2603" s="4" t="s">
        <v>5360</v>
      </c>
      <c r="E2603" s="4">
        <v>2502706</v>
      </c>
      <c r="F2603" s="4" t="s">
        <v>5361</v>
      </c>
      <c r="G2603" s="4" t="s">
        <v>215</v>
      </c>
      <c r="H2603" s="4"/>
    </row>
    <row r="2604" s="1" customFormat="1" spans="1:8">
      <c r="A2604" s="4" t="s">
        <v>205</v>
      </c>
      <c r="B2604" s="4" t="s">
        <v>57</v>
      </c>
      <c r="C2604" s="4" t="s">
        <v>68</v>
      </c>
      <c r="D2604" s="4" t="s">
        <v>5362</v>
      </c>
      <c r="E2604" s="4">
        <v>2503001</v>
      </c>
      <c r="F2604" s="4" t="s">
        <v>5363</v>
      </c>
      <c r="G2604" s="4" t="s">
        <v>215</v>
      </c>
      <c r="H2604" s="4"/>
    </row>
    <row r="2605" s="1" customFormat="1" spans="1:8">
      <c r="A2605" s="4" t="s">
        <v>205</v>
      </c>
      <c r="B2605" s="4" t="s">
        <v>57</v>
      </c>
      <c r="C2605" s="4" t="s">
        <v>68</v>
      </c>
      <c r="D2605" s="4" t="s">
        <v>5364</v>
      </c>
      <c r="E2605" s="4">
        <v>2503506</v>
      </c>
      <c r="F2605" s="4" t="s">
        <v>5365</v>
      </c>
      <c r="G2605" s="4" t="s">
        <v>215</v>
      </c>
      <c r="H2605" s="4"/>
    </row>
    <row r="2606" s="1" customFormat="1" spans="1:8">
      <c r="A2606" s="4" t="s">
        <v>205</v>
      </c>
      <c r="B2606" s="4" t="s">
        <v>57</v>
      </c>
      <c r="C2606" s="4" t="s">
        <v>68</v>
      </c>
      <c r="D2606" s="4" t="s">
        <v>5366</v>
      </c>
      <c r="E2606" s="4">
        <v>2503605</v>
      </c>
      <c r="F2606" s="4" t="s">
        <v>5367</v>
      </c>
      <c r="G2606" s="4" t="s">
        <v>215</v>
      </c>
      <c r="H2606" s="4"/>
    </row>
    <row r="2607" s="1" customFormat="1" spans="1:8">
      <c r="A2607" s="4" t="s">
        <v>205</v>
      </c>
      <c r="B2607" s="4" t="s">
        <v>57</v>
      </c>
      <c r="C2607" s="4" t="s">
        <v>68</v>
      </c>
      <c r="D2607" s="4" t="s">
        <v>5368</v>
      </c>
      <c r="E2607" s="4">
        <v>2503803</v>
      </c>
      <c r="F2607" s="4" t="s">
        <v>5369</v>
      </c>
      <c r="G2607" s="4" t="s">
        <v>215</v>
      </c>
      <c r="H2607" s="4"/>
    </row>
    <row r="2608" s="1" customFormat="1" spans="1:8">
      <c r="A2608" s="4" t="s">
        <v>205</v>
      </c>
      <c r="B2608" s="4" t="s">
        <v>57</v>
      </c>
      <c r="C2608" s="4" t="s">
        <v>68</v>
      </c>
      <c r="D2608" s="4" t="s">
        <v>5370</v>
      </c>
      <c r="E2608" s="4">
        <v>2504009</v>
      </c>
      <c r="F2608" s="4" t="s">
        <v>5371</v>
      </c>
      <c r="G2608" s="4" t="s">
        <v>215</v>
      </c>
      <c r="H2608" s="4"/>
    </row>
    <row r="2609" s="1" customFormat="1" spans="1:8">
      <c r="A2609" s="4" t="s">
        <v>205</v>
      </c>
      <c r="B2609" s="4" t="s">
        <v>57</v>
      </c>
      <c r="C2609" s="4" t="s">
        <v>68</v>
      </c>
      <c r="D2609" s="4" t="s">
        <v>5372</v>
      </c>
      <c r="E2609" s="4">
        <v>2504033</v>
      </c>
      <c r="F2609" s="4" t="s">
        <v>5373</v>
      </c>
      <c r="G2609" s="4" t="s">
        <v>215</v>
      </c>
      <c r="H2609" s="4"/>
    </row>
    <row r="2610" s="1" customFormat="1" spans="1:8">
      <c r="A2610" s="4" t="s">
        <v>205</v>
      </c>
      <c r="B2610" s="4" t="s">
        <v>57</v>
      </c>
      <c r="C2610" s="4" t="s">
        <v>68</v>
      </c>
      <c r="D2610" s="4" t="s">
        <v>5374</v>
      </c>
      <c r="E2610" s="4">
        <v>2504157</v>
      </c>
      <c r="F2610" s="4" t="s">
        <v>5375</v>
      </c>
      <c r="G2610" s="4" t="s">
        <v>215</v>
      </c>
      <c r="H2610" s="4"/>
    </row>
    <row r="2611" s="1" customFormat="1" spans="1:8">
      <c r="A2611" s="4" t="s">
        <v>205</v>
      </c>
      <c r="B2611" s="4" t="s">
        <v>57</v>
      </c>
      <c r="C2611" s="4" t="s">
        <v>68</v>
      </c>
      <c r="D2611" s="4" t="s">
        <v>5376</v>
      </c>
      <c r="E2611" s="4">
        <v>2504355</v>
      </c>
      <c r="F2611" s="4" t="s">
        <v>5377</v>
      </c>
      <c r="G2611" s="4" t="s">
        <v>215</v>
      </c>
      <c r="H2611" s="4"/>
    </row>
    <row r="2612" s="1" customFormat="1" spans="1:8">
      <c r="A2612" s="4" t="s">
        <v>205</v>
      </c>
      <c r="B2612" s="4" t="s">
        <v>57</v>
      </c>
      <c r="C2612" s="4" t="s">
        <v>68</v>
      </c>
      <c r="D2612" s="4" t="s">
        <v>5378</v>
      </c>
      <c r="E2612" s="4">
        <v>2505204</v>
      </c>
      <c r="F2612" s="4" t="s">
        <v>5379</v>
      </c>
      <c r="G2612" s="4" t="s">
        <v>215</v>
      </c>
      <c r="H2612" s="4"/>
    </row>
    <row r="2613" s="1" customFormat="1" spans="1:8">
      <c r="A2613" s="4" t="s">
        <v>205</v>
      </c>
      <c r="B2613" s="4" t="s">
        <v>57</v>
      </c>
      <c r="C2613" s="4" t="s">
        <v>68</v>
      </c>
      <c r="D2613" s="4" t="s">
        <v>5380</v>
      </c>
      <c r="E2613" s="4">
        <v>2505238</v>
      </c>
      <c r="F2613" s="4" t="s">
        <v>5381</v>
      </c>
      <c r="G2613" s="4" t="s">
        <v>215</v>
      </c>
      <c r="H2613" s="4"/>
    </row>
    <row r="2614" s="1" customFormat="1" spans="1:8">
      <c r="A2614" s="4" t="s">
        <v>205</v>
      </c>
      <c r="B2614" s="4" t="s">
        <v>57</v>
      </c>
      <c r="C2614" s="4" t="s">
        <v>68</v>
      </c>
      <c r="D2614" s="4" t="s">
        <v>5382</v>
      </c>
      <c r="E2614" s="4">
        <v>2505279</v>
      </c>
      <c r="F2614" s="4" t="s">
        <v>5383</v>
      </c>
      <c r="G2614" s="4" t="s">
        <v>215</v>
      </c>
      <c r="H2614" s="4"/>
    </row>
    <row r="2615" s="1" customFormat="1" spans="1:8">
      <c r="A2615" s="4" t="s">
        <v>205</v>
      </c>
      <c r="B2615" s="4" t="s">
        <v>57</v>
      </c>
      <c r="C2615" s="4" t="s">
        <v>68</v>
      </c>
      <c r="D2615" s="4" t="s">
        <v>5384</v>
      </c>
      <c r="E2615" s="4">
        <v>2505709</v>
      </c>
      <c r="F2615" s="4" t="s">
        <v>5385</v>
      </c>
      <c r="G2615" s="4" t="s">
        <v>215</v>
      </c>
      <c r="H2615" s="4"/>
    </row>
    <row r="2616" s="1" customFormat="1" spans="1:8">
      <c r="A2616" s="4" t="s">
        <v>205</v>
      </c>
      <c r="B2616" s="4" t="s">
        <v>57</v>
      </c>
      <c r="C2616" s="4" t="s">
        <v>68</v>
      </c>
      <c r="D2616" s="4" t="s">
        <v>5386</v>
      </c>
      <c r="E2616" s="4">
        <v>2505808</v>
      </c>
      <c r="F2616" s="4" t="s">
        <v>5387</v>
      </c>
      <c r="G2616" s="4" t="s">
        <v>215</v>
      </c>
      <c r="H2616" s="4"/>
    </row>
    <row r="2617" s="1" customFormat="1" spans="1:8">
      <c r="A2617" s="4" t="s">
        <v>205</v>
      </c>
      <c r="B2617" s="4" t="s">
        <v>57</v>
      </c>
      <c r="C2617" s="4" t="s">
        <v>68</v>
      </c>
      <c r="D2617" s="4" t="s">
        <v>5388</v>
      </c>
      <c r="E2617" s="4">
        <v>2506004</v>
      </c>
      <c r="F2617" s="4" t="s">
        <v>5389</v>
      </c>
      <c r="G2617" s="4" t="s">
        <v>215</v>
      </c>
      <c r="H2617" s="4"/>
    </row>
    <row r="2618" s="1" customFormat="1" spans="1:8">
      <c r="A2618" s="4" t="s">
        <v>205</v>
      </c>
      <c r="B2618" s="4" t="s">
        <v>57</v>
      </c>
      <c r="C2618" s="4" t="s">
        <v>68</v>
      </c>
      <c r="D2618" s="4" t="s">
        <v>5390</v>
      </c>
      <c r="E2618" s="4">
        <v>2506103</v>
      </c>
      <c r="F2618" s="4" t="s">
        <v>5391</v>
      </c>
      <c r="G2618" s="4" t="s">
        <v>215</v>
      </c>
      <c r="H2618" s="4"/>
    </row>
    <row r="2619" s="1" customFormat="1" spans="1:8">
      <c r="A2619" s="4" t="s">
        <v>205</v>
      </c>
      <c r="B2619" s="4" t="s">
        <v>57</v>
      </c>
      <c r="C2619" s="4" t="s">
        <v>68</v>
      </c>
      <c r="D2619" s="4" t="s">
        <v>5392</v>
      </c>
      <c r="E2619" s="4">
        <v>2506301</v>
      </c>
      <c r="F2619" s="4" t="s">
        <v>5393</v>
      </c>
      <c r="G2619" s="4" t="s">
        <v>215</v>
      </c>
      <c r="H2619" s="4"/>
    </row>
    <row r="2620" s="1" customFormat="1" spans="1:8">
      <c r="A2620" s="4" t="s">
        <v>205</v>
      </c>
      <c r="B2620" s="4" t="s">
        <v>57</v>
      </c>
      <c r="C2620" s="4" t="s">
        <v>68</v>
      </c>
      <c r="D2620" s="4" t="s">
        <v>5394</v>
      </c>
      <c r="E2620" s="4">
        <v>2506400</v>
      </c>
      <c r="F2620" s="4" t="s">
        <v>5395</v>
      </c>
      <c r="G2620" s="4" t="s">
        <v>215</v>
      </c>
      <c r="H2620" s="4"/>
    </row>
    <row r="2621" s="1" customFormat="1" spans="1:8">
      <c r="A2621" s="4" t="s">
        <v>205</v>
      </c>
      <c r="B2621" s="4" t="s">
        <v>57</v>
      </c>
      <c r="C2621" s="4" t="s">
        <v>68</v>
      </c>
      <c r="D2621" s="4" t="s">
        <v>5396</v>
      </c>
      <c r="E2621" s="4">
        <v>2506806</v>
      </c>
      <c r="F2621" s="4" t="s">
        <v>5397</v>
      </c>
      <c r="G2621" s="4" t="s">
        <v>215</v>
      </c>
      <c r="H2621" s="4"/>
    </row>
    <row r="2622" s="1" customFormat="1" spans="1:8">
      <c r="A2622" s="4" t="s">
        <v>205</v>
      </c>
      <c r="B2622" s="4" t="s">
        <v>57</v>
      </c>
      <c r="C2622" s="4" t="s">
        <v>68</v>
      </c>
      <c r="D2622" s="4" t="s">
        <v>5398</v>
      </c>
      <c r="E2622" s="4">
        <v>2506905</v>
      </c>
      <c r="F2622" s="4" t="s">
        <v>5399</v>
      </c>
      <c r="G2622" s="4" t="s">
        <v>215</v>
      </c>
      <c r="H2622" s="4"/>
    </row>
    <row r="2623" s="1" customFormat="1" spans="1:8">
      <c r="A2623" s="4" t="s">
        <v>205</v>
      </c>
      <c r="B2623" s="4" t="s">
        <v>57</v>
      </c>
      <c r="C2623" s="4" t="s">
        <v>68</v>
      </c>
      <c r="D2623" s="4" t="s">
        <v>5400</v>
      </c>
      <c r="E2623" s="4">
        <v>2507101</v>
      </c>
      <c r="F2623" s="4" t="s">
        <v>5401</v>
      </c>
      <c r="G2623" s="4" t="s">
        <v>215</v>
      </c>
      <c r="H2623" s="4"/>
    </row>
    <row r="2624" s="1" customFormat="1" spans="1:8">
      <c r="A2624" s="4" t="s">
        <v>205</v>
      </c>
      <c r="B2624" s="4" t="s">
        <v>57</v>
      </c>
      <c r="C2624" s="4" t="s">
        <v>68</v>
      </c>
      <c r="D2624" s="4" t="s">
        <v>5402</v>
      </c>
      <c r="E2624" s="4">
        <v>2507200</v>
      </c>
      <c r="F2624" s="4" t="s">
        <v>5403</v>
      </c>
      <c r="G2624" s="4" t="s">
        <v>215</v>
      </c>
      <c r="H2624" s="4"/>
    </row>
    <row r="2625" s="1" customFormat="1" spans="1:8">
      <c r="A2625" s="4" t="s">
        <v>205</v>
      </c>
      <c r="B2625" s="4" t="s">
        <v>57</v>
      </c>
      <c r="C2625" s="4" t="s">
        <v>68</v>
      </c>
      <c r="D2625" s="4" t="s">
        <v>5404</v>
      </c>
      <c r="E2625" s="4">
        <v>2507309</v>
      </c>
      <c r="F2625" s="4" t="s">
        <v>5405</v>
      </c>
      <c r="G2625" s="4" t="s">
        <v>215</v>
      </c>
      <c r="H2625" s="4"/>
    </row>
    <row r="2626" s="1" customFormat="1" spans="1:8">
      <c r="A2626" s="4" t="s">
        <v>205</v>
      </c>
      <c r="B2626" s="4" t="s">
        <v>57</v>
      </c>
      <c r="C2626" s="4" t="s">
        <v>68</v>
      </c>
      <c r="D2626" s="4" t="s">
        <v>5406</v>
      </c>
      <c r="E2626" s="4">
        <v>2507606</v>
      </c>
      <c r="F2626" s="4" t="s">
        <v>5407</v>
      </c>
      <c r="G2626" s="4" t="s">
        <v>215</v>
      </c>
      <c r="H2626" s="4"/>
    </row>
    <row r="2627" s="1" customFormat="1" spans="1:8">
      <c r="A2627" s="4" t="s">
        <v>205</v>
      </c>
      <c r="B2627" s="4" t="s">
        <v>57</v>
      </c>
      <c r="C2627" s="4" t="s">
        <v>68</v>
      </c>
      <c r="D2627" s="4" t="s">
        <v>5408</v>
      </c>
      <c r="E2627" s="4">
        <v>2507903</v>
      </c>
      <c r="F2627" s="4" t="s">
        <v>5409</v>
      </c>
      <c r="G2627" s="4" t="s">
        <v>215</v>
      </c>
      <c r="H2627" s="4"/>
    </row>
    <row r="2628" s="1" customFormat="1" spans="1:8">
      <c r="A2628" s="4" t="s">
        <v>205</v>
      </c>
      <c r="B2628" s="4" t="s">
        <v>57</v>
      </c>
      <c r="C2628" s="4" t="s">
        <v>68</v>
      </c>
      <c r="D2628" s="4" t="s">
        <v>5410</v>
      </c>
      <c r="E2628" s="4">
        <v>2508208</v>
      </c>
      <c r="F2628" s="4" t="s">
        <v>5411</v>
      </c>
      <c r="G2628" s="4" t="s">
        <v>215</v>
      </c>
      <c r="H2628" s="4"/>
    </row>
    <row r="2629" s="1" customFormat="1" spans="1:8">
      <c r="A2629" s="4" t="s">
        <v>205</v>
      </c>
      <c r="B2629" s="4" t="s">
        <v>57</v>
      </c>
      <c r="C2629" s="4" t="s">
        <v>68</v>
      </c>
      <c r="D2629" s="4" t="s">
        <v>5412</v>
      </c>
      <c r="E2629" s="4">
        <v>2508307</v>
      </c>
      <c r="F2629" s="4" t="s">
        <v>5413</v>
      </c>
      <c r="G2629" s="4" t="s">
        <v>215</v>
      </c>
      <c r="H2629" s="4"/>
    </row>
    <row r="2630" s="1" customFormat="1" spans="1:8">
      <c r="A2630" s="4" t="s">
        <v>205</v>
      </c>
      <c r="B2630" s="4" t="s">
        <v>57</v>
      </c>
      <c r="C2630" s="4" t="s">
        <v>68</v>
      </c>
      <c r="D2630" s="4" t="s">
        <v>5414</v>
      </c>
      <c r="E2630" s="4">
        <v>2508554</v>
      </c>
      <c r="F2630" s="4" t="s">
        <v>5415</v>
      </c>
      <c r="G2630" s="4" t="s">
        <v>215</v>
      </c>
      <c r="H2630" s="4"/>
    </row>
    <row r="2631" s="1" customFormat="1" spans="1:8">
      <c r="A2631" s="4" t="s">
        <v>205</v>
      </c>
      <c r="B2631" s="4" t="s">
        <v>57</v>
      </c>
      <c r="C2631" s="4" t="s">
        <v>68</v>
      </c>
      <c r="D2631" s="4" t="s">
        <v>5416</v>
      </c>
      <c r="E2631" s="4">
        <v>2508604</v>
      </c>
      <c r="F2631" s="4" t="s">
        <v>5417</v>
      </c>
      <c r="G2631" s="4" t="s">
        <v>215</v>
      </c>
      <c r="H2631" s="4"/>
    </row>
    <row r="2632" s="1" customFormat="1" spans="1:8">
      <c r="A2632" s="4" t="s">
        <v>205</v>
      </c>
      <c r="B2632" s="4" t="s">
        <v>57</v>
      </c>
      <c r="C2632" s="4" t="s">
        <v>68</v>
      </c>
      <c r="D2632" s="4" t="s">
        <v>5418</v>
      </c>
      <c r="E2632" s="4">
        <v>2508901</v>
      </c>
      <c r="F2632" s="4" t="s">
        <v>5419</v>
      </c>
      <c r="G2632" s="4" t="s">
        <v>215</v>
      </c>
      <c r="H2632" s="4"/>
    </row>
    <row r="2633" s="1" customFormat="1" spans="1:8">
      <c r="A2633" s="4" t="s">
        <v>205</v>
      </c>
      <c r="B2633" s="4" t="s">
        <v>57</v>
      </c>
      <c r="C2633" s="4" t="s">
        <v>68</v>
      </c>
      <c r="D2633" s="4" t="s">
        <v>5420</v>
      </c>
      <c r="E2633" s="4">
        <v>2509057</v>
      </c>
      <c r="F2633" s="4" t="s">
        <v>5421</v>
      </c>
      <c r="G2633" s="4" t="s">
        <v>215</v>
      </c>
      <c r="H2633" s="4"/>
    </row>
    <row r="2634" s="1" customFormat="1" spans="1:8">
      <c r="A2634" s="4" t="s">
        <v>205</v>
      </c>
      <c r="B2634" s="4" t="s">
        <v>57</v>
      </c>
      <c r="C2634" s="4" t="s">
        <v>68</v>
      </c>
      <c r="D2634" s="4" t="s">
        <v>5422</v>
      </c>
      <c r="E2634" s="4">
        <v>2509107</v>
      </c>
      <c r="F2634" s="4" t="s">
        <v>5423</v>
      </c>
      <c r="G2634" s="4" t="s">
        <v>215</v>
      </c>
      <c r="H2634" s="4"/>
    </row>
    <row r="2635" s="1" customFormat="1" spans="1:8">
      <c r="A2635" s="4" t="s">
        <v>205</v>
      </c>
      <c r="B2635" s="4" t="s">
        <v>57</v>
      </c>
      <c r="C2635" s="4" t="s">
        <v>68</v>
      </c>
      <c r="D2635" s="4" t="s">
        <v>5424</v>
      </c>
      <c r="E2635" s="4">
        <v>2509206</v>
      </c>
      <c r="F2635" s="4" t="s">
        <v>5425</v>
      </c>
      <c r="G2635" s="4" t="s">
        <v>215</v>
      </c>
      <c r="H2635" s="4"/>
    </row>
    <row r="2636" s="1" customFormat="1" spans="1:8">
      <c r="A2636" s="4" t="s">
        <v>205</v>
      </c>
      <c r="B2636" s="4" t="s">
        <v>57</v>
      </c>
      <c r="C2636" s="4" t="s">
        <v>68</v>
      </c>
      <c r="D2636" s="4" t="s">
        <v>5426</v>
      </c>
      <c r="E2636" s="4">
        <v>2509305</v>
      </c>
      <c r="F2636" s="4" t="s">
        <v>5427</v>
      </c>
      <c r="G2636" s="4" t="s">
        <v>215</v>
      </c>
      <c r="H2636" s="4"/>
    </row>
    <row r="2637" s="1" customFormat="1" spans="1:8">
      <c r="A2637" s="4" t="s">
        <v>205</v>
      </c>
      <c r="B2637" s="4" t="s">
        <v>57</v>
      </c>
      <c r="C2637" s="4" t="s">
        <v>68</v>
      </c>
      <c r="D2637" s="4" t="s">
        <v>5428</v>
      </c>
      <c r="E2637" s="4">
        <v>2509339</v>
      </c>
      <c r="F2637" s="4" t="s">
        <v>5429</v>
      </c>
      <c r="G2637" s="4" t="s">
        <v>215</v>
      </c>
      <c r="H2637" s="4"/>
    </row>
    <row r="2638" s="1" customFormat="1" spans="1:8">
      <c r="A2638" s="4" t="s">
        <v>205</v>
      </c>
      <c r="B2638" s="4" t="s">
        <v>57</v>
      </c>
      <c r="C2638" s="4" t="s">
        <v>68</v>
      </c>
      <c r="D2638" s="4" t="s">
        <v>5430</v>
      </c>
      <c r="E2638" s="4">
        <v>2509404</v>
      </c>
      <c r="F2638" s="4" t="s">
        <v>5431</v>
      </c>
      <c r="G2638" s="4" t="s">
        <v>215</v>
      </c>
      <c r="H2638" s="4"/>
    </row>
    <row r="2639" s="1" customFormat="1" spans="1:8">
      <c r="A2639" s="4" t="s">
        <v>205</v>
      </c>
      <c r="B2639" s="4" t="s">
        <v>57</v>
      </c>
      <c r="C2639" s="4" t="s">
        <v>68</v>
      </c>
      <c r="D2639" s="4" t="s">
        <v>5432</v>
      </c>
      <c r="E2639" s="4">
        <v>2509503</v>
      </c>
      <c r="F2639" s="4" t="s">
        <v>5433</v>
      </c>
      <c r="G2639" s="4" t="s">
        <v>215</v>
      </c>
      <c r="H2639" s="4"/>
    </row>
    <row r="2640" s="1" customFormat="1" spans="1:8">
      <c r="A2640" s="4" t="s">
        <v>205</v>
      </c>
      <c r="B2640" s="4" t="s">
        <v>57</v>
      </c>
      <c r="C2640" s="4" t="s">
        <v>68</v>
      </c>
      <c r="D2640" s="4" t="s">
        <v>1519</v>
      </c>
      <c r="E2640" s="4">
        <v>2509800</v>
      </c>
      <c r="F2640" s="4" t="s">
        <v>5434</v>
      </c>
      <c r="G2640" s="4" t="s">
        <v>215</v>
      </c>
      <c r="H2640" s="4"/>
    </row>
    <row r="2641" s="1" customFormat="1" spans="1:8">
      <c r="A2641" s="4" t="s">
        <v>205</v>
      </c>
      <c r="B2641" s="4" t="s">
        <v>57</v>
      </c>
      <c r="C2641" s="4" t="s">
        <v>68</v>
      </c>
      <c r="D2641" s="4" t="s">
        <v>5435</v>
      </c>
      <c r="E2641" s="4">
        <v>2509909</v>
      </c>
      <c r="F2641" s="4" t="s">
        <v>5436</v>
      </c>
      <c r="G2641" s="4" t="s">
        <v>215</v>
      </c>
      <c r="H2641" s="4"/>
    </row>
    <row r="2642" s="1" customFormat="1" spans="1:8">
      <c r="A2642" s="4" t="s">
        <v>205</v>
      </c>
      <c r="B2642" s="4" t="s">
        <v>57</v>
      </c>
      <c r="C2642" s="4" t="s">
        <v>68</v>
      </c>
      <c r="D2642" s="4" t="s">
        <v>5437</v>
      </c>
      <c r="E2642" s="4">
        <v>2511202</v>
      </c>
      <c r="F2642" s="4" t="s">
        <v>5438</v>
      </c>
      <c r="G2642" s="4" t="s">
        <v>215</v>
      </c>
      <c r="H2642" s="4"/>
    </row>
    <row r="2643" s="1" customFormat="1" spans="1:8">
      <c r="A2643" s="4" t="s">
        <v>205</v>
      </c>
      <c r="B2643" s="4" t="s">
        <v>57</v>
      </c>
      <c r="C2643" s="4" t="s">
        <v>68</v>
      </c>
      <c r="D2643" s="4" t="s">
        <v>5439</v>
      </c>
      <c r="E2643" s="4">
        <v>2512721</v>
      </c>
      <c r="F2643" s="4" t="s">
        <v>5440</v>
      </c>
      <c r="G2643" s="4" t="s">
        <v>215</v>
      </c>
      <c r="H2643" s="4"/>
    </row>
    <row r="2644" s="1" customFormat="1" spans="1:8">
      <c r="A2644" s="4" t="s">
        <v>205</v>
      </c>
      <c r="B2644" s="4" t="s">
        <v>57</v>
      </c>
      <c r="C2644" s="4" t="s">
        <v>68</v>
      </c>
      <c r="D2644" s="4" t="s">
        <v>267</v>
      </c>
      <c r="E2644" s="4">
        <v>2511509</v>
      </c>
      <c r="F2644" s="4" t="s">
        <v>5441</v>
      </c>
      <c r="G2644" s="4" t="s">
        <v>215</v>
      </c>
      <c r="H2644" s="4"/>
    </row>
    <row r="2645" s="1" customFormat="1" spans="1:8">
      <c r="A2645" s="4" t="s">
        <v>205</v>
      </c>
      <c r="B2645" s="4" t="s">
        <v>57</v>
      </c>
      <c r="C2645" s="4" t="s">
        <v>68</v>
      </c>
      <c r="D2645" s="4" t="s">
        <v>5442</v>
      </c>
      <c r="E2645" s="4">
        <v>2511608</v>
      </c>
      <c r="F2645" s="4" t="s">
        <v>5443</v>
      </c>
      <c r="G2645" s="4" t="s">
        <v>215</v>
      </c>
      <c r="H2645" s="4"/>
    </row>
    <row r="2646" s="1" customFormat="1" spans="1:8">
      <c r="A2646" s="4" t="s">
        <v>205</v>
      </c>
      <c r="B2646" s="4" t="s">
        <v>57</v>
      </c>
      <c r="C2646" s="4" t="s">
        <v>68</v>
      </c>
      <c r="D2646" s="4" t="s">
        <v>5444</v>
      </c>
      <c r="E2646" s="4">
        <v>2511707</v>
      </c>
      <c r="F2646" s="4" t="s">
        <v>5445</v>
      </c>
      <c r="G2646" s="4" t="s">
        <v>215</v>
      </c>
      <c r="H2646" s="4"/>
    </row>
    <row r="2647" s="1" customFormat="1" spans="1:8">
      <c r="A2647" s="4" t="s">
        <v>205</v>
      </c>
      <c r="B2647" s="4" t="s">
        <v>57</v>
      </c>
      <c r="C2647" s="4" t="s">
        <v>68</v>
      </c>
      <c r="D2647" s="4" t="s">
        <v>5446</v>
      </c>
      <c r="E2647" s="4">
        <v>2511806</v>
      </c>
      <c r="F2647" s="4" t="s">
        <v>5447</v>
      </c>
      <c r="G2647" s="4" t="s">
        <v>215</v>
      </c>
      <c r="H2647" s="4"/>
    </row>
    <row r="2648" s="1" customFormat="1" spans="1:8">
      <c r="A2648" s="4" t="s">
        <v>205</v>
      </c>
      <c r="B2648" s="4" t="s">
        <v>57</v>
      </c>
      <c r="C2648" s="4" t="s">
        <v>68</v>
      </c>
      <c r="D2648" s="4" t="s">
        <v>5448</v>
      </c>
      <c r="E2648" s="4">
        <v>2511905</v>
      </c>
      <c r="F2648" s="4" t="s">
        <v>5449</v>
      </c>
      <c r="G2648" s="4" t="s">
        <v>215</v>
      </c>
      <c r="H2648" s="4"/>
    </row>
    <row r="2649" s="1" customFormat="1" spans="1:8">
      <c r="A2649" s="4" t="s">
        <v>205</v>
      </c>
      <c r="B2649" s="4" t="s">
        <v>57</v>
      </c>
      <c r="C2649" s="4" t="s">
        <v>68</v>
      </c>
      <c r="D2649" s="4" t="s">
        <v>5450</v>
      </c>
      <c r="E2649" s="4">
        <v>2512002</v>
      </c>
      <c r="F2649" s="4" t="s">
        <v>5451</v>
      </c>
      <c r="G2649" s="4" t="s">
        <v>215</v>
      </c>
      <c r="H2649" s="4"/>
    </row>
    <row r="2650" s="1" customFormat="1" spans="1:8">
      <c r="A2650" s="4" t="s">
        <v>205</v>
      </c>
      <c r="B2650" s="4" t="s">
        <v>57</v>
      </c>
      <c r="C2650" s="4" t="s">
        <v>68</v>
      </c>
      <c r="D2650" s="4" t="s">
        <v>5452</v>
      </c>
      <c r="E2650" s="4">
        <v>2512408</v>
      </c>
      <c r="F2650" s="4" t="s">
        <v>5453</v>
      </c>
      <c r="G2650" s="4" t="s">
        <v>215</v>
      </c>
      <c r="H2650" s="4"/>
    </row>
    <row r="2651" s="1" customFormat="1" spans="1:8">
      <c r="A2651" s="4" t="s">
        <v>205</v>
      </c>
      <c r="B2651" s="4" t="s">
        <v>57</v>
      </c>
      <c r="C2651" s="4" t="s">
        <v>68</v>
      </c>
      <c r="D2651" s="4" t="s">
        <v>805</v>
      </c>
      <c r="E2651" s="4">
        <v>2512507</v>
      </c>
      <c r="F2651" s="4" t="s">
        <v>5454</v>
      </c>
      <c r="G2651" s="4" t="s">
        <v>215</v>
      </c>
      <c r="H2651" s="4"/>
    </row>
    <row r="2652" s="1" customFormat="1" spans="1:8">
      <c r="A2652" s="4" t="s">
        <v>205</v>
      </c>
      <c r="B2652" s="4" t="s">
        <v>57</v>
      </c>
      <c r="C2652" s="4" t="s">
        <v>68</v>
      </c>
      <c r="D2652" s="4" t="s">
        <v>5455</v>
      </c>
      <c r="E2652" s="4">
        <v>2512705</v>
      </c>
      <c r="F2652" s="4" t="s">
        <v>5456</v>
      </c>
      <c r="G2652" s="4" t="s">
        <v>215</v>
      </c>
      <c r="H2652" s="4"/>
    </row>
    <row r="2653" s="1" customFormat="1" spans="1:8">
      <c r="A2653" s="4" t="s">
        <v>205</v>
      </c>
      <c r="B2653" s="4" t="s">
        <v>57</v>
      </c>
      <c r="C2653" s="4" t="s">
        <v>68</v>
      </c>
      <c r="D2653" s="4" t="s">
        <v>2887</v>
      </c>
      <c r="E2653" s="4">
        <v>2512747</v>
      </c>
      <c r="F2653" s="4" t="s">
        <v>5457</v>
      </c>
      <c r="G2653" s="4" t="s">
        <v>215</v>
      </c>
      <c r="H2653" s="4"/>
    </row>
    <row r="2654" s="1" customFormat="1" spans="1:8">
      <c r="A2654" s="4" t="s">
        <v>205</v>
      </c>
      <c r="B2654" s="4" t="s">
        <v>57</v>
      </c>
      <c r="C2654" s="4" t="s">
        <v>68</v>
      </c>
      <c r="D2654" s="4" t="s">
        <v>5458</v>
      </c>
      <c r="E2654" s="4">
        <v>2512754</v>
      </c>
      <c r="F2654" s="4" t="s">
        <v>5459</v>
      </c>
      <c r="G2654" s="4" t="s">
        <v>215</v>
      </c>
      <c r="H2654" s="4"/>
    </row>
    <row r="2655" s="1" customFormat="1" spans="1:8">
      <c r="A2655" s="4" t="s">
        <v>205</v>
      </c>
      <c r="B2655" s="4" t="s">
        <v>57</v>
      </c>
      <c r="C2655" s="4" t="s">
        <v>68</v>
      </c>
      <c r="D2655" s="4" t="s">
        <v>5460</v>
      </c>
      <c r="E2655" s="4">
        <v>2512762</v>
      </c>
      <c r="F2655" s="4" t="s">
        <v>5461</v>
      </c>
      <c r="G2655" s="4" t="s">
        <v>215</v>
      </c>
      <c r="H2655" s="4"/>
    </row>
    <row r="2656" s="1" customFormat="1" spans="1:8">
      <c r="A2656" s="4" t="s">
        <v>205</v>
      </c>
      <c r="B2656" s="4" t="s">
        <v>57</v>
      </c>
      <c r="C2656" s="4" t="s">
        <v>68</v>
      </c>
      <c r="D2656" s="4" t="s">
        <v>5462</v>
      </c>
      <c r="E2656" s="4">
        <v>2512903</v>
      </c>
      <c r="F2656" s="4" t="s">
        <v>5463</v>
      </c>
      <c r="G2656" s="4" t="s">
        <v>215</v>
      </c>
      <c r="H2656" s="4"/>
    </row>
    <row r="2657" s="1" customFormat="1" spans="1:8">
      <c r="A2657" s="4" t="s">
        <v>205</v>
      </c>
      <c r="B2657" s="4" t="s">
        <v>57</v>
      </c>
      <c r="C2657" s="4" t="s">
        <v>68</v>
      </c>
      <c r="D2657" s="4" t="s">
        <v>5464</v>
      </c>
      <c r="E2657" s="4">
        <v>2513109</v>
      </c>
      <c r="F2657" s="4" t="s">
        <v>5465</v>
      </c>
      <c r="G2657" s="4" t="s">
        <v>215</v>
      </c>
      <c r="H2657" s="4"/>
    </row>
    <row r="2658" s="1" customFormat="1" spans="1:8">
      <c r="A2658" s="4" t="s">
        <v>205</v>
      </c>
      <c r="B2658" s="4" t="s">
        <v>57</v>
      </c>
      <c r="C2658" s="4" t="s">
        <v>68</v>
      </c>
      <c r="D2658" s="4" t="s">
        <v>5466</v>
      </c>
      <c r="E2658" s="4">
        <v>2515302</v>
      </c>
      <c r="F2658" s="4" t="s">
        <v>5467</v>
      </c>
      <c r="G2658" s="4" t="s">
        <v>215</v>
      </c>
      <c r="H2658" s="4"/>
    </row>
    <row r="2659" s="1" customFormat="1" spans="1:8">
      <c r="A2659" s="4" t="s">
        <v>205</v>
      </c>
      <c r="B2659" s="4" t="s">
        <v>57</v>
      </c>
      <c r="C2659" s="4" t="s">
        <v>68</v>
      </c>
      <c r="D2659" s="4" t="s">
        <v>5468</v>
      </c>
      <c r="E2659" s="4">
        <v>2515609</v>
      </c>
      <c r="F2659" s="4" t="s">
        <v>5469</v>
      </c>
      <c r="G2659" s="4" t="s">
        <v>215</v>
      </c>
      <c r="H2659" s="4"/>
    </row>
    <row r="2660" s="1" customFormat="1" spans="1:8">
      <c r="A2660" s="4" t="s">
        <v>205</v>
      </c>
      <c r="B2660" s="4" t="s">
        <v>57</v>
      </c>
      <c r="C2660" s="4" t="s">
        <v>68</v>
      </c>
      <c r="D2660" s="4" t="s">
        <v>5470</v>
      </c>
      <c r="E2660" s="4">
        <v>2515807</v>
      </c>
      <c r="F2660" s="4" t="s">
        <v>5471</v>
      </c>
      <c r="G2660" s="4" t="s">
        <v>215</v>
      </c>
      <c r="H2660" s="4"/>
    </row>
    <row r="2661" s="1" customFormat="1" spans="1:8">
      <c r="A2661" s="4" t="s">
        <v>205</v>
      </c>
      <c r="B2661" s="4" t="s">
        <v>57</v>
      </c>
      <c r="C2661" s="4" t="s">
        <v>68</v>
      </c>
      <c r="D2661" s="4" t="s">
        <v>5472</v>
      </c>
      <c r="E2661" s="4">
        <v>2515906</v>
      </c>
      <c r="F2661" s="4" t="s">
        <v>5473</v>
      </c>
      <c r="G2661" s="4" t="s">
        <v>215</v>
      </c>
      <c r="H2661" s="4"/>
    </row>
    <row r="2662" s="1" customFormat="1" spans="1:8">
      <c r="A2662" s="4" t="s">
        <v>205</v>
      </c>
      <c r="B2662" s="4" t="s">
        <v>57</v>
      </c>
      <c r="C2662" s="4" t="s">
        <v>68</v>
      </c>
      <c r="D2662" s="4" t="s">
        <v>5474</v>
      </c>
      <c r="E2662" s="4">
        <v>2515930</v>
      </c>
      <c r="F2662" s="4" t="s">
        <v>5475</v>
      </c>
      <c r="G2662" s="4" t="s">
        <v>215</v>
      </c>
      <c r="H2662" s="4"/>
    </row>
    <row r="2663" s="1" customFormat="1" spans="1:8">
      <c r="A2663" s="4" t="s">
        <v>205</v>
      </c>
      <c r="B2663" s="4" t="s">
        <v>57</v>
      </c>
      <c r="C2663" s="4" t="s">
        <v>68</v>
      </c>
      <c r="D2663" s="4" t="s">
        <v>5476</v>
      </c>
      <c r="E2663" s="4">
        <v>2515971</v>
      </c>
      <c r="F2663" s="4" t="s">
        <v>5477</v>
      </c>
      <c r="G2663" s="4" t="s">
        <v>215</v>
      </c>
      <c r="H2663" s="4"/>
    </row>
    <row r="2664" s="1" customFormat="1" spans="1:8">
      <c r="A2664" s="4" t="s">
        <v>205</v>
      </c>
      <c r="B2664" s="4" t="s">
        <v>57</v>
      </c>
      <c r="C2664" s="4" t="s">
        <v>68</v>
      </c>
      <c r="D2664" s="4" t="s">
        <v>5478</v>
      </c>
      <c r="E2664" s="4">
        <v>2516003</v>
      </c>
      <c r="F2664" s="4" t="s">
        <v>5479</v>
      </c>
      <c r="G2664" s="4" t="s">
        <v>215</v>
      </c>
      <c r="H2664" s="4"/>
    </row>
    <row r="2665" s="1" customFormat="1" spans="1:8">
      <c r="A2665" s="4" t="s">
        <v>205</v>
      </c>
      <c r="B2665" s="4" t="s">
        <v>57</v>
      </c>
      <c r="C2665" s="4" t="s">
        <v>68</v>
      </c>
      <c r="D2665" s="4" t="s">
        <v>5480</v>
      </c>
      <c r="E2665" s="4">
        <v>2514453</v>
      </c>
      <c r="F2665" s="4" t="s">
        <v>5481</v>
      </c>
      <c r="G2665" s="4" t="s">
        <v>215</v>
      </c>
      <c r="H2665" s="4"/>
    </row>
    <row r="2666" s="1" customFormat="1" spans="1:8">
      <c r="A2666" s="4" t="s">
        <v>205</v>
      </c>
      <c r="B2666" s="4" t="s">
        <v>57</v>
      </c>
      <c r="C2666" s="4" t="s">
        <v>68</v>
      </c>
      <c r="D2666" s="4" t="s">
        <v>5482</v>
      </c>
      <c r="E2666" s="4">
        <v>2515005</v>
      </c>
      <c r="F2666" s="4" t="s">
        <v>5483</v>
      </c>
      <c r="G2666" s="4" t="s">
        <v>215</v>
      </c>
      <c r="H2666" s="4"/>
    </row>
    <row r="2667" s="1" customFormat="1" spans="1:8">
      <c r="A2667" s="4" t="s">
        <v>205</v>
      </c>
      <c r="B2667" s="4" t="s">
        <v>57</v>
      </c>
      <c r="C2667" s="4" t="s">
        <v>68</v>
      </c>
      <c r="D2667" s="4" t="s">
        <v>5484</v>
      </c>
      <c r="E2667" s="4">
        <v>2515104</v>
      </c>
      <c r="F2667" s="4" t="s">
        <v>5485</v>
      </c>
      <c r="G2667" s="4" t="s">
        <v>215</v>
      </c>
      <c r="H2667" s="4"/>
    </row>
    <row r="2668" s="1" customFormat="1" spans="1:8">
      <c r="A2668" s="4" t="s">
        <v>205</v>
      </c>
      <c r="B2668" s="4" t="s">
        <v>57</v>
      </c>
      <c r="C2668" s="4" t="s">
        <v>68</v>
      </c>
      <c r="D2668" s="4" t="s">
        <v>5486</v>
      </c>
      <c r="E2668" s="4">
        <v>2516409</v>
      </c>
      <c r="F2668" s="4" t="s">
        <v>5487</v>
      </c>
      <c r="G2668" s="4" t="s">
        <v>215</v>
      </c>
      <c r="H2668" s="4"/>
    </row>
    <row r="2669" s="1" customFormat="1" spans="1:8">
      <c r="A2669" s="4" t="s">
        <v>205</v>
      </c>
      <c r="B2669" s="4" t="s">
        <v>57</v>
      </c>
      <c r="C2669" s="4" t="s">
        <v>68</v>
      </c>
      <c r="D2669" s="4" t="s">
        <v>5488</v>
      </c>
      <c r="E2669" s="4">
        <v>2500536</v>
      </c>
      <c r="F2669" s="4" t="s">
        <v>5489</v>
      </c>
      <c r="G2669" s="4" t="s">
        <v>232</v>
      </c>
      <c r="H2669" s="4"/>
    </row>
    <row r="2670" s="1" customFormat="1" spans="1:8">
      <c r="A2670" s="4" t="s">
        <v>205</v>
      </c>
      <c r="B2670" s="4" t="s">
        <v>57</v>
      </c>
      <c r="C2670" s="4" t="s">
        <v>68</v>
      </c>
      <c r="D2670" s="4" t="s">
        <v>5490</v>
      </c>
      <c r="E2670" s="4">
        <v>2500577</v>
      </c>
      <c r="F2670" s="4" t="s">
        <v>5491</v>
      </c>
      <c r="G2670" s="4" t="s">
        <v>232</v>
      </c>
      <c r="H2670" s="4"/>
    </row>
    <row r="2671" s="1" customFormat="1" spans="1:8">
      <c r="A2671" s="4" t="s">
        <v>205</v>
      </c>
      <c r="B2671" s="4" t="s">
        <v>57</v>
      </c>
      <c r="C2671" s="4" t="s">
        <v>68</v>
      </c>
      <c r="D2671" s="4" t="s">
        <v>5492</v>
      </c>
      <c r="E2671" s="4">
        <v>2500734</v>
      </c>
      <c r="F2671" s="4" t="s">
        <v>5493</v>
      </c>
      <c r="G2671" s="4" t="s">
        <v>232</v>
      </c>
      <c r="H2671" s="4"/>
    </row>
    <row r="2672" s="1" customFormat="1" spans="1:8">
      <c r="A2672" s="4" t="s">
        <v>205</v>
      </c>
      <c r="B2672" s="4" t="s">
        <v>57</v>
      </c>
      <c r="C2672" s="4" t="s">
        <v>68</v>
      </c>
      <c r="D2672" s="4" t="s">
        <v>5494</v>
      </c>
      <c r="E2672" s="4">
        <v>2501005</v>
      </c>
      <c r="F2672" s="4" t="s">
        <v>5495</v>
      </c>
      <c r="G2672" s="4" t="s">
        <v>232</v>
      </c>
      <c r="H2672" s="4"/>
    </row>
    <row r="2673" s="1" customFormat="1" spans="1:8">
      <c r="A2673" s="4" t="s">
        <v>205</v>
      </c>
      <c r="B2673" s="4" t="s">
        <v>57</v>
      </c>
      <c r="C2673" s="4" t="s">
        <v>68</v>
      </c>
      <c r="D2673" s="4" t="s">
        <v>5496</v>
      </c>
      <c r="E2673" s="4">
        <v>2501153</v>
      </c>
      <c r="F2673" s="4" t="s">
        <v>5497</v>
      </c>
      <c r="G2673" s="4" t="s">
        <v>232</v>
      </c>
      <c r="H2673" s="4"/>
    </row>
    <row r="2674" s="1" customFormat="1" spans="1:8">
      <c r="A2674" s="4" t="s">
        <v>205</v>
      </c>
      <c r="B2674" s="4" t="s">
        <v>57</v>
      </c>
      <c r="C2674" s="4" t="s">
        <v>68</v>
      </c>
      <c r="D2674" s="4" t="s">
        <v>5498</v>
      </c>
      <c r="E2674" s="4">
        <v>2501351</v>
      </c>
      <c r="F2674" s="4" t="s">
        <v>5499</v>
      </c>
      <c r="G2674" s="4" t="s">
        <v>232</v>
      </c>
      <c r="H2674" s="4"/>
    </row>
    <row r="2675" s="1" customFormat="1" spans="1:8">
      <c r="A2675" s="4" t="s">
        <v>205</v>
      </c>
      <c r="B2675" s="4" t="s">
        <v>57</v>
      </c>
      <c r="C2675" s="4" t="s">
        <v>68</v>
      </c>
      <c r="D2675" s="4" t="s">
        <v>5500</v>
      </c>
      <c r="E2675" s="4">
        <v>2501534</v>
      </c>
      <c r="F2675" s="4" t="s">
        <v>5501</v>
      </c>
      <c r="G2675" s="4" t="s">
        <v>232</v>
      </c>
      <c r="H2675" s="4"/>
    </row>
    <row r="2676" s="1" customFormat="1" spans="1:8">
      <c r="A2676" s="4" t="s">
        <v>205</v>
      </c>
      <c r="B2676" s="4" t="s">
        <v>57</v>
      </c>
      <c r="C2676" s="4" t="s">
        <v>68</v>
      </c>
      <c r="D2676" s="4" t="s">
        <v>5502</v>
      </c>
      <c r="E2676" s="4">
        <v>2501609</v>
      </c>
      <c r="F2676" s="4" t="s">
        <v>5503</v>
      </c>
      <c r="G2676" s="4" t="s">
        <v>232</v>
      </c>
      <c r="H2676" s="4"/>
    </row>
    <row r="2677" s="1" customFormat="1" spans="1:8">
      <c r="A2677" s="4" t="s">
        <v>205</v>
      </c>
      <c r="B2677" s="4" t="s">
        <v>57</v>
      </c>
      <c r="C2677" s="4" t="s">
        <v>68</v>
      </c>
      <c r="D2677" s="4" t="s">
        <v>257</v>
      </c>
      <c r="E2677" s="4">
        <v>2501708</v>
      </c>
      <c r="F2677" s="4" t="s">
        <v>5504</v>
      </c>
      <c r="G2677" s="4" t="s">
        <v>232</v>
      </c>
      <c r="H2677" s="4"/>
    </row>
    <row r="2678" s="1" customFormat="1" spans="1:8">
      <c r="A2678" s="4" t="s">
        <v>205</v>
      </c>
      <c r="B2678" s="4" t="s">
        <v>57</v>
      </c>
      <c r="C2678" s="4" t="s">
        <v>68</v>
      </c>
      <c r="D2678" s="4" t="s">
        <v>54</v>
      </c>
      <c r="E2678" s="4">
        <v>2502151</v>
      </c>
      <c r="F2678" s="4" t="s">
        <v>5505</v>
      </c>
      <c r="G2678" s="4" t="s">
        <v>232</v>
      </c>
      <c r="H2678" s="4"/>
    </row>
    <row r="2679" s="1" customFormat="1" spans="1:8">
      <c r="A2679" s="4" t="s">
        <v>205</v>
      </c>
      <c r="B2679" s="4" t="s">
        <v>57</v>
      </c>
      <c r="C2679" s="4" t="s">
        <v>68</v>
      </c>
      <c r="D2679" s="4" t="s">
        <v>5506</v>
      </c>
      <c r="E2679" s="4">
        <v>2502508</v>
      </c>
      <c r="F2679" s="4" t="s">
        <v>5507</v>
      </c>
      <c r="G2679" s="4" t="s">
        <v>232</v>
      </c>
      <c r="H2679" s="4"/>
    </row>
    <row r="2680" s="1" customFormat="1" spans="1:8">
      <c r="A2680" s="4" t="s">
        <v>205</v>
      </c>
      <c r="B2680" s="4" t="s">
        <v>57</v>
      </c>
      <c r="C2680" s="4" t="s">
        <v>68</v>
      </c>
      <c r="D2680" s="4" t="s">
        <v>5508</v>
      </c>
      <c r="E2680" s="4">
        <v>2503100</v>
      </c>
      <c r="F2680" s="4" t="s">
        <v>5509</v>
      </c>
      <c r="G2680" s="4" t="s">
        <v>232</v>
      </c>
      <c r="H2680" s="4"/>
    </row>
    <row r="2681" s="1" customFormat="1" spans="1:8">
      <c r="A2681" s="4" t="s">
        <v>205</v>
      </c>
      <c r="B2681" s="4" t="s">
        <v>57</v>
      </c>
      <c r="C2681" s="4" t="s">
        <v>68</v>
      </c>
      <c r="D2681" s="4" t="s">
        <v>5510</v>
      </c>
      <c r="E2681" s="4">
        <v>2503407</v>
      </c>
      <c r="F2681" s="4" t="s">
        <v>5511</v>
      </c>
      <c r="G2681" s="4" t="s">
        <v>232</v>
      </c>
      <c r="H2681" s="4"/>
    </row>
    <row r="2682" s="1" customFormat="1" spans="1:8">
      <c r="A2682" s="4" t="s">
        <v>205</v>
      </c>
      <c r="B2682" s="4" t="s">
        <v>57</v>
      </c>
      <c r="C2682" s="4" t="s">
        <v>68</v>
      </c>
      <c r="D2682" s="4" t="s">
        <v>5512</v>
      </c>
      <c r="E2682" s="4">
        <v>2503555</v>
      </c>
      <c r="F2682" s="4" t="s">
        <v>5513</v>
      </c>
      <c r="G2682" s="4" t="s">
        <v>232</v>
      </c>
      <c r="H2682" s="4"/>
    </row>
    <row r="2683" s="1" customFormat="1" spans="1:8">
      <c r="A2683" s="4" t="s">
        <v>205</v>
      </c>
      <c r="B2683" s="4" t="s">
        <v>57</v>
      </c>
      <c r="C2683" s="4" t="s">
        <v>68</v>
      </c>
      <c r="D2683" s="4" t="s">
        <v>5514</v>
      </c>
      <c r="E2683" s="4">
        <v>2503902</v>
      </c>
      <c r="F2683" s="4" t="s">
        <v>5515</v>
      </c>
      <c r="G2683" s="4" t="s">
        <v>232</v>
      </c>
      <c r="H2683" s="4"/>
    </row>
    <row r="2684" s="1" customFormat="1" spans="1:8">
      <c r="A2684" s="4" t="s">
        <v>205</v>
      </c>
      <c r="B2684" s="4" t="s">
        <v>57</v>
      </c>
      <c r="C2684" s="4" t="s">
        <v>68</v>
      </c>
      <c r="D2684" s="4" t="s">
        <v>5516</v>
      </c>
      <c r="E2684" s="4">
        <v>2504074</v>
      </c>
      <c r="F2684" s="4" t="s">
        <v>5517</v>
      </c>
      <c r="G2684" s="4" t="s">
        <v>232</v>
      </c>
      <c r="H2684" s="4"/>
    </row>
    <row r="2685" s="1" customFormat="1" spans="1:8">
      <c r="A2685" s="4" t="s">
        <v>205</v>
      </c>
      <c r="B2685" s="4" t="s">
        <v>57</v>
      </c>
      <c r="C2685" s="4" t="s">
        <v>68</v>
      </c>
      <c r="D2685" s="4" t="s">
        <v>5518</v>
      </c>
      <c r="E2685" s="4">
        <v>2504702</v>
      </c>
      <c r="F2685" s="4" t="s">
        <v>5519</v>
      </c>
      <c r="G2685" s="4" t="s">
        <v>232</v>
      </c>
      <c r="H2685" s="4"/>
    </row>
    <row r="2686" s="1" customFormat="1" spans="1:8">
      <c r="A2686" s="4" t="s">
        <v>205</v>
      </c>
      <c r="B2686" s="4" t="s">
        <v>57</v>
      </c>
      <c r="C2686" s="4" t="s">
        <v>68</v>
      </c>
      <c r="D2686" s="4" t="s">
        <v>5520</v>
      </c>
      <c r="E2686" s="4">
        <v>2504850</v>
      </c>
      <c r="F2686" s="4" t="s">
        <v>5521</v>
      </c>
      <c r="G2686" s="4" t="s">
        <v>232</v>
      </c>
      <c r="H2686" s="4"/>
    </row>
    <row r="2687" s="1" customFormat="1" spans="1:8">
      <c r="A2687" s="4" t="s">
        <v>205</v>
      </c>
      <c r="B2687" s="4" t="s">
        <v>57</v>
      </c>
      <c r="C2687" s="4" t="s">
        <v>68</v>
      </c>
      <c r="D2687" s="4" t="s">
        <v>5522</v>
      </c>
      <c r="E2687" s="4">
        <v>2505006</v>
      </c>
      <c r="F2687" s="4" t="s">
        <v>5523</v>
      </c>
      <c r="G2687" s="4" t="s">
        <v>232</v>
      </c>
      <c r="H2687" s="4"/>
    </row>
    <row r="2688" s="1" customFormat="1" spans="1:8">
      <c r="A2688" s="4" t="s">
        <v>205</v>
      </c>
      <c r="B2688" s="4" t="s">
        <v>57</v>
      </c>
      <c r="C2688" s="4" t="s">
        <v>68</v>
      </c>
      <c r="D2688" s="4" t="s">
        <v>5524</v>
      </c>
      <c r="E2688" s="4">
        <v>2505105</v>
      </c>
      <c r="F2688" s="4" t="s">
        <v>5525</v>
      </c>
      <c r="G2688" s="4" t="s">
        <v>232</v>
      </c>
      <c r="H2688" s="4"/>
    </row>
    <row r="2689" s="1" customFormat="1" spans="1:8">
      <c r="A2689" s="4" t="s">
        <v>205</v>
      </c>
      <c r="B2689" s="4" t="s">
        <v>57</v>
      </c>
      <c r="C2689" s="4" t="s">
        <v>68</v>
      </c>
      <c r="D2689" s="4" t="s">
        <v>5526</v>
      </c>
      <c r="E2689" s="4">
        <v>2505352</v>
      </c>
      <c r="F2689" s="4" t="s">
        <v>5527</v>
      </c>
      <c r="G2689" s="4" t="s">
        <v>232</v>
      </c>
      <c r="H2689" s="4"/>
    </row>
    <row r="2690" s="1" customFormat="1" spans="1:8">
      <c r="A2690" s="4" t="s">
        <v>205</v>
      </c>
      <c r="B2690" s="4" t="s">
        <v>57</v>
      </c>
      <c r="C2690" s="4" t="s">
        <v>68</v>
      </c>
      <c r="D2690" s="4" t="s">
        <v>5528</v>
      </c>
      <c r="E2690" s="4">
        <v>2505402</v>
      </c>
      <c r="F2690" s="4" t="s">
        <v>5529</v>
      </c>
      <c r="G2690" s="4" t="s">
        <v>232</v>
      </c>
      <c r="H2690" s="4"/>
    </row>
    <row r="2691" s="1" customFormat="1" spans="1:8">
      <c r="A2691" s="4" t="s">
        <v>205</v>
      </c>
      <c r="B2691" s="4" t="s">
        <v>57</v>
      </c>
      <c r="C2691" s="4" t="s">
        <v>68</v>
      </c>
      <c r="D2691" s="4" t="s">
        <v>5530</v>
      </c>
      <c r="E2691" s="4">
        <v>2506202</v>
      </c>
      <c r="F2691" s="4" t="s">
        <v>5531</v>
      </c>
      <c r="G2691" s="4" t="s">
        <v>232</v>
      </c>
      <c r="H2691" s="4"/>
    </row>
    <row r="2692" s="1" customFormat="1" spans="1:8">
      <c r="A2692" s="4" t="s">
        <v>205</v>
      </c>
      <c r="B2692" s="4" t="s">
        <v>57</v>
      </c>
      <c r="C2692" s="4" t="s">
        <v>68</v>
      </c>
      <c r="D2692" s="4" t="s">
        <v>5532</v>
      </c>
      <c r="E2692" s="4">
        <v>2506251</v>
      </c>
      <c r="F2692" s="4" t="s">
        <v>5533</v>
      </c>
      <c r="G2692" s="4" t="s">
        <v>232</v>
      </c>
      <c r="H2692" s="4"/>
    </row>
    <row r="2693" s="1" customFormat="1" spans="1:8">
      <c r="A2693" s="4" t="s">
        <v>205</v>
      </c>
      <c r="B2693" s="4" t="s">
        <v>57</v>
      </c>
      <c r="C2693" s="4" t="s">
        <v>68</v>
      </c>
      <c r="D2693" s="4" t="s">
        <v>5534</v>
      </c>
      <c r="E2693" s="4">
        <v>2506509</v>
      </c>
      <c r="F2693" s="4" t="s">
        <v>5535</v>
      </c>
      <c r="G2693" s="4" t="s">
        <v>232</v>
      </c>
      <c r="H2693" s="4"/>
    </row>
    <row r="2694" s="1" customFormat="1" spans="1:8">
      <c r="A2694" s="4" t="s">
        <v>205</v>
      </c>
      <c r="B2694" s="4" t="s">
        <v>57</v>
      </c>
      <c r="C2694" s="4" t="s">
        <v>68</v>
      </c>
      <c r="D2694" s="4" t="s">
        <v>5536</v>
      </c>
      <c r="E2694" s="4">
        <v>2507705</v>
      </c>
      <c r="F2694" s="4" t="s">
        <v>5537</v>
      </c>
      <c r="G2694" s="4" t="s">
        <v>232</v>
      </c>
      <c r="H2694" s="4"/>
    </row>
    <row r="2695" s="1" customFormat="1" spans="1:8">
      <c r="A2695" s="4" t="s">
        <v>205</v>
      </c>
      <c r="B2695" s="4" t="s">
        <v>57</v>
      </c>
      <c r="C2695" s="4" t="s">
        <v>68</v>
      </c>
      <c r="D2695" s="4" t="s">
        <v>5538</v>
      </c>
      <c r="E2695" s="4">
        <v>2507804</v>
      </c>
      <c r="F2695" s="4" t="s">
        <v>5539</v>
      </c>
      <c r="G2695" s="4" t="s">
        <v>232</v>
      </c>
      <c r="H2695" s="4"/>
    </row>
    <row r="2696" s="1" customFormat="1" spans="1:8">
      <c r="A2696" s="4" t="s">
        <v>205</v>
      </c>
      <c r="B2696" s="4" t="s">
        <v>57</v>
      </c>
      <c r="C2696" s="4" t="s">
        <v>68</v>
      </c>
      <c r="D2696" s="4" t="s">
        <v>5540</v>
      </c>
      <c r="E2696" s="4">
        <v>2508505</v>
      </c>
      <c r="F2696" s="4" t="s">
        <v>5541</v>
      </c>
      <c r="G2696" s="4" t="s">
        <v>232</v>
      </c>
      <c r="H2696" s="4"/>
    </row>
    <row r="2697" s="1" customFormat="1" spans="1:8">
      <c r="A2697" s="4" t="s">
        <v>205</v>
      </c>
      <c r="B2697" s="4" t="s">
        <v>57</v>
      </c>
      <c r="C2697" s="4" t="s">
        <v>68</v>
      </c>
      <c r="D2697" s="4" t="s">
        <v>5542</v>
      </c>
      <c r="E2697" s="4">
        <v>2508802</v>
      </c>
      <c r="F2697" s="4" t="s">
        <v>5543</v>
      </c>
      <c r="G2697" s="4" t="s">
        <v>232</v>
      </c>
      <c r="H2697" s="4"/>
    </row>
    <row r="2698" s="1" customFormat="1" spans="1:8">
      <c r="A2698" s="4" t="s">
        <v>205</v>
      </c>
      <c r="B2698" s="4" t="s">
        <v>57</v>
      </c>
      <c r="C2698" s="4" t="s">
        <v>68</v>
      </c>
      <c r="D2698" s="4" t="s">
        <v>5544</v>
      </c>
      <c r="E2698" s="4">
        <v>2509701</v>
      </c>
      <c r="F2698" s="4" t="s">
        <v>5545</v>
      </c>
      <c r="G2698" s="4" t="s">
        <v>232</v>
      </c>
      <c r="H2698" s="4"/>
    </row>
    <row r="2699" s="1" customFormat="1" spans="1:8">
      <c r="A2699" s="4" t="s">
        <v>205</v>
      </c>
      <c r="B2699" s="4" t="s">
        <v>57</v>
      </c>
      <c r="C2699" s="4" t="s">
        <v>68</v>
      </c>
      <c r="D2699" s="4" t="s">
        <v>5546</v>
      </c>
      <c r="E2699" s="4">
        <v>2510105</v>
      </c>
      <c r="F2699" s="4" t="s">
        <v>5547</v>
      </c>
      <c r="G2699" s="4" t="s">
        <v>232</v>
      </c>
      <c r="H2699" s="4"/>
    </row>
    <row r="2700" s="1" customFormat="1" spans="1:8">
      <c r="A2700" s="4" t="s">
        <v>205</v>
      </c>
      <c r="B2700" s="4" t="s">
        <v>57</v>
      </c>
      <c r="C2700" s="4" t="s">
        <v>68</v>
      </c>
      <c r="D2700" s="4" t="s">
        <v>5548</v>
      </c>
      <c r="E2700" s="4">
        <v>2510303</v>
      </c>
      <c r="F2700" s="4" t="s">
        <v>5549</v>
      </c>
      <c r="G2700" s="4" t="s">
        <v>232</v>
      </c>
      <c r="H2700" s="4"/>
    </row>
    <row r="2701" s="1" customFormat="1" spans="1:8">
      <c r="A2701" s="4" t="s">
        <v>205</v>
      </c>
      <c r="B2701" s="4" t="s">
        <v>57</v>
      </c>
      <c r="C2701" s="4" t="s">
        <v>68</v>
      </c>
      <c r="D2701" s="4" t="s">
        <v>5550</v>
      </c>
      <c r="E2701" s="4">
        <v>2510501</v>
      </c>
      <c r="F2701" s="4" t="s">
        <v>5551</v>
      </c>
      <c r="G2701" s="4" t="s">
        <v>232</v>
      </c>
      <c r="H2701" s="4"/>
    </row>
    <row r="2702" s="1" customFormat="1" spans="1:8">
      <c r="A2702" s="4" t="s">
        <v>205</v>
      </c>
      <c r="B2702" s="4" t="s">
        <v>57</v>
      </c>
      <c r="C2702" s="4" t="s">
        <v>68</v>
      </c>
      <c r="D2702" s="4" t="s">
        <v>5552</v>
      </c>
      <c r="E2702" s="4">
        <v>2510600</v>
      </c>
      <c r="F2702" s="4" t="s">
        <v>5553</v>
      </c>
      <c r="G2702" s="4" t="s">
        <v>232</v>
      </c>
      <c r="H2702" s="4"/>
    </row>
    <row r="2703" s="1" customFormat="1" spans="1:8">
      <c r="A2703" s="4" t="s">
        <v>205</v>
      </c>
      <c r="B2703" s="4" t="s">
        <v>57</v>
      </c>
      <c r="C2703" s="4" t="s">
        <v>68</v>
      </c>
      <c r="D2703" s="4" t="s">
        <v>5554</v>
      </c>
      <c r="E2703" s="4">
        <v>2510659</v>
      </c>
      <c r="F2703" s="4" t="s">
        <v>5555</v>
      </c>
      <c r="G2703" s="4" t="s">
        <v>232</v>
      </c>
      <c r="H2703" s="4"/>
    </row>
    <row r="2704" s="1" customFormat="1" spans="1:8">
      <c r="A2704" s="4" t="s">
        <v>205</v>
      </c>
      <c r="B2704" s="4" t="s">
        <v>57</v>
      </c>
      <c r="C2704" s="4" t="s">
        <v>68</v>
      </c>
      <c r="D2704" s="4" t="s">
        <v>5556</v>
      </c>
      <c r="E2704" s="4">
        <v>2510709</v>
      </c>
      <c r="F2704" s="4" t="s">
        <v>5557</v>
      </c>
      <c r="G2704" s="4" t="s">
        <v>232</v>
      </c>
      <c r="H2704" s="4"/>
    </row>
    <row r="2705" s="1" customFormat="1" spans="1:8">
      <c r="A2705" s="4" t="s">
        <v>205</v>
      </c>
      <c r="B2705" s="4" t="s">
        <v>57</v>
      </c>
      <c r="C2705" s="4" t="s">
        <v>68</v>
      </c>
      <c r="D2705" s="4" t="s">
        <v>5558</v>
      </c>
      <c r="E2705" s="4">
        <v>2510808</v>
      </c>
      <c r="F2705" s="4" t="s">
        <v>5559</v>
      </c>
      <c r="G2705" s="4" t="s">
        <v>232</v>
      </c>
      <c r="H2705" s="4"/>
    </row>
    <row r="2706" s="1" customFormat="1" spans="1:8">
      <c r="A2706" s="4" t="s">
        <v>205</v>
      </c>
      <c r="B2706" s="4" t="s">
        <v>57</v>
      </c>
      <c r="C2706" s="4" t="s">
        <v>68</v>
      </c>
      <c r="D2706" s="4" t="s">
        <v>5560</v>
      </c>
      <c r="E2706" s="4">
        <v>2511103</v>
      </c>
      <c r="F2706" s="4" t="s">
        <v>5561</v>
      </c>
      <c r="G2706" s="4" t="s">
        <v>232</v>
      </c>
      <c r="H2706" s="4"/>
    </row>
    <row r="2707" s="1" customFormat="1" spans="1:8">
      <c r="A2707" s="4" t="s">
        <v>205</v>
      </c>
      <c r="B2707" s="4" t="s">
        <v>57</v>
      </c>
      <c r="C2707" s="4" t="s">
        <v>68</v>
      </c>
      <c r="D2707" s="4" t="s">
        <v>5562</v>
      </c>
      <c r="E2707" s="4">
        <v>2511400</v>
      </c>
      <c r="F2707" s="4" t="s">
        <v>5563</v>
      </c>
      <c r="G2707" s="4" t="s">
        <v>232</v>
      </c>
      <c r="H2707" s="4"/>
    </row>
    <row r="2708" s="1" customFormat="1" spans="1:8">
      <c r="A2708" s="4" t="s">
        <v>205</v>
      </c>
      <c r="B2708" s="4" t="s">
        <v>57</v>
      </c>
      <c r="C2708" s="4" t="s">
        <v>68</v>
      </c>
      <c r="D2708" s="4" t="s">
        <v>4548</v>
      </c>
      <c r="E2708" s="4">
        <v>2512200</v>
      </c>
      <c r="F2708" s="4" t="s">
        <v>5564</v>
      </c>
      <c r="G2708" s="4" t="s">
        <v>232</v>
      </c>
      <c r="H2708" s="4"/>
    </row>
    <row r="2709" s="1" customFormat="1" spans="1:8">
      <c r="A2709" s="4" t="s">
        <v>205</v>
      </c>
      <c r="B2709" s="4" t="s">
        <v>57</v>
      </c>
      <c r="C2709" s="4" t="s">
        <v>68</v>
      </c>
      <c r="D2709" s="4" t="s">
        <v>5565</v>
      </c>
      <c r="E2709" s="4">
        <v>2512606</v>
      </c>
      <c r="F2709" s="4" t="s">
        <v>5566</v>
      </c>
      <c r="G2709" s="4" t="s">
        <v>232</v>
      </c>
      <c r="H2709" s="4"/>
    </row>
    <row r="2710" s="1" customFormat="1" spans="1:8">
      <c r="A2710" s="4" t="s">
        <v>205</v>
      </c>
      <c r="B2710" s="4" t="s">
        <v>57</v>
      </c>
      <c r="C2710" s="4" t="s">
        <v>68</v>
      </c>
      <c r="D2710" s="4" t="s">
        <v>5567</v>
      </c>
      <c r="E2710" s="4">
        <v>2512788</v>
      </c>
      <c r="F2710" s="4" t="s">
        <v>5568</v>
      </c>
      <c r="G2710" s="4" t="s">
        <v>232</v>
      </c>
      <c r="H2710" s="4"/>
    </row>
    <row r="2711" s="1" customFormat="1" spans="1:8">
      <c r="A2711" s="4" t="s">
        <v>205</v>
      </c>
      <c r="B2711" s="4" t="s">
        <v>57</v>
      </c>
      <c r="C2711" s="4" t="s">
        <v>68</v>
      </c>
      <c r="D2711" s="4" t="s">
        <v>5569</v>
      </c>
      <c r="E2711" s="4">
        <v>2513000</v>
      </c>
      <c r="F2711" s="4" t="s">
        <v>5570</v>
      </c>
      <c r="G2711" s="4" t="s">
        <v>232</v>
      </c>
      <c r="H2711" s="4"/>
    </row>
    <row r="2712" s="1" customFormat="1" spans="1:8">
      <c r="A2712" s="4" t="s">
        <v>205</v>
      </c>
      <c r="B2712" s="4" t="s">
        <v>57</v>
      </c>
      <c r="C2712" s="4" t="s">
        <v>68</v>
      </c>
      <c r="D2712" s="4" t="s">
        <v>5571</v>
      </c>
      <c r="E2712" s="4">
        <v>2513158</v>
      </c>
      <c r="F2712" s="4" t="s">
        <v>5572</v>
      </c>
      <c r="G2712" s="4" t="s">
        <v>232</v>
      </c>
      <c r="H2712" s="4"/>
    </row>
    <row r="2713" s="1" customFormat="1" spans="1:8">
      <c r="A2713" s="4" t="s">
        <v>205</v>
      </c>
      <c r="B2713" s="4" t="s">
        <v>57</v>
      </c>
      <c r="C2713" s="4" t="s">
        <v>68</v>
      </c>
      <c r="D2713" s="4" t="s">
        <v>1231</v>
      </c>
      <c r="E2713" s="4">
        <v>2513406</v>
      </c>
      <c r="F2713" s="4" t="s">
        <v>5573</v>
      </c>
      <c r="G2713" s="4" t="s">
        <v>232</v>
      </c>
      <c r="H2713" s="4"/>
    </row>
    <row r="2714" s="1" customFormat="1" spans="1:8">
      <c r="A2714" s="4" t="s">
        <v>205</v>
      </c>
      <c r="B2714" s="4" t="s">
        <v>57</v>
      </c>
      <c r="C2714" s="4" t="s">
        <v>68</v>
      </c>
      <c r="D2714" s="4" t="s">
        <v>5574</v>
      </c>
      <c r="E2714" s="4">
        <v>2513802</v>
      </c>
      <c r="F2714" s="4" t="s">
        <v>5575</v>
      </c>
      <c r="G2714" s="4" t="s">
        <v>232</v>
      </c>
      <c r="H2714" s="4"/>
    </row>
    <row r="2715" s="1" customFormat="1" spans="1:8">
      <c r="A2715" s="4" t="s">
        <v>205</v>
      </c>
      <c r="B2715" s="4" t="s">
        <v>57</v>
      </c>
      <c r="C2715" s="4" t="s">
        <v>68</v>
      </c>
      <c r="D2715" s="4" t="s">
        <v>5576</v>
      </c>
      <c r="E2715" s="4">
        <v>2513851</v>
      </c>
      <c r="F2715" s="4" t="s">
        <v>5577</v>
      </c>
      <c r="G2715" s="4" t="s">
        <v>232</v>
      </c>
      <c r="H2715" s="4"/>
    </row>
    <row r="2716" s="1" customFormat="1" spans="1:8">
      <c r="A2716" s="4" t="s">
        <v>205</v>
      </c>
      <c r="B2716" s="4" t="s">
        <v>57</v>
      </c>
      <c r="C2716" s="4" t="s">
        <v>68</v>
      </c>
      <c r="D2716" s="4" t="s">
        <v>5578</v>
      </c>
      <c r="E2716" s="4">
        <v>2515500</v>
      </c>
      <c r="F2716" s="4" t="s">
        <v>5579</v>
      </c>
      <c r="G2716" s="4" t="s">
        <v>232</v>
      </c>
      <c r="H2716" s="4"/>
    </row>
    <row r="2717" s="1" customFormat="1" spans="1:8">
      <c r="A2717" s="4" t="s">
        <v>205</v>
      </c>
      <c r="B2717" s="4" t="s">
        <v>57</v>
      </c>
      <c r="C2717" s="4" t="s">
        <v>68</v>
      </c>
      <c r="D2717" s="4" t="s">
        <v>5580</v>
      </c>
      <c r="E2717" s="4">
        <v>2516102</v>
      </c>
      <c r="F2717" s="4" t="s">
        <v>5581</v>
      </c>
      <c r="G2717" s="4" t="s">
        <v>232</v>
      </c>
      <c r="H2717" s="4"/>
    </row>
    <row r="2718" s="1" customFormat="1" spans="1:8">
      <c r="A2718" s="4" t="s">
        <v>205</v>
      </c>
      <c r="B2718" s="4" t="s">
        <v>57</v>
      </c>
      <c r="C2718" s="4" t="s">
        <v>68</v>
      </c>
      <c r="D2718" s="7" t="s">
        <v>5582</v>
      </c>
      <c r="E2718" s="4">
        <v>2516151</v>
      </c>
      <c r="F2718" s="4" t="s">
        <v>5583</v>
      </c>
      <c r="G2718" s="4" t="s">
        <v>232</v>
      </c>
      <c r="H2718" s="4"/>
    </row>
    <row r="2719" s="1" customFormat="1" spans="1:8">
      <c r="A2719" s="4" t="s">
        <v>205</v>
      </c>
      <c r="B2719" s="4" t="s">
        <v>57</v>
      </c>
      <c r="C2719" s="4" t="s">
        <v>68</v>
      </c>
      <c r="D2719" s="4" t="s">
        <v>5584</v>
      </c>
      <c r="E2719" s="4">
        <v>2516300</v>
      </c>
      <c r="F2719" s="4" t="s">
        <v>5585</v>
      </c>
      <c r="G2719" s="4" t="s">
        <v>232</v>
      </c>
      <c r="H2719" s="4"/>
    </row>
    <row r="2720" s="1" customFormat="1" spans="1:8">
      <c r="A2720" s="4" t="s">
        <v>205</v>
      </c>
      <c r="B2720" s="4" t="s">
        <v>57</v>
      </c>
      <c r="C2720" s="4" t="s">
        <v>68</v>
      </c>
      <c r="D2720" s="4" t="s">
        <v>5586</v>
      </c>
      <c r="E2720" s="4">
        <v>2513943</v>
      </c>
      <c r="F2720" s="4" t="s">
        <v>5587</v>
      </c>
      <c r="G2720" s="4" t="s">
        <v>232</v>
      </c>
      <c r="H2720" s="4"/>
    </row>
    <row r="2721" s="1" customFormat="1" spans="1:8">
      <c r="A2721" s="4" t="s">
        <v>205</v>
      </c>
      <c r="B2721" s="4" t="s">
        <v>57</v>
      </c>
      <c r="C2721" s="4" t="s">
        <v>68</v>
      </c>
      <c r="D2721" s="4" t="s">
        <v>5588</v>
      </c>
      <c r="E2721" s="4">
        <v>2514404</v>
      </c>
      <c r="F2721" s="4" t="s">
        <v>5589</v>
      </c>
      <c r="G2721" s="4" t="s">
        <v>232</v>
      </c>
      <c r="H2721" s="4"/>
    </row>
    <row r="2722" s="1" customFormat="1" spans="1:8">
      <c r="A2722" s="4" t="s">
        <v>205</v>
      </c>
      <c r="B2722" s="4" t="s">
        <v>57</v>
      </c>
      <c r="C2722" s="4" t="s">
        <v>68</v>
      </c>
      <c r="D2722" s="4" t="s">
        <v>5590</v>
      </c>
      <c r="E2722" s="4">
        <v>2514602</v>
      </c>
      <c r="F2722" s="4" t="s">
        <v>5591</v>
      </c>
      <c r="G2722" s="4" t="s">
        <v>232</v>
      </c>
      <c r="H2722" s="4"/>
    </row>
    <row r="2723" s="1" customFormat="1" spans="1:8">
      <c r="A2723" s="4" t="s">
        <v>205</v>
      </c>
      <c r="B2723" s="4" t="s">
        <v>57</v>
      </c>
      <c r="C2723" s="4" t="s">
        <v>68</v>
      </c>
      <c r="D2723" s="4" t="s">
        <v>5592</v>
      </c>
      <c r="E2723" s="4">
        <v>2514701</v>
      </c>
      <c r="F2723" s="4" t="s">
        <v>5593</v>
      </c>
      <c r="G2723" s="4" t="s">
        <v>232</v>
      </c>
      <c r="H2723" s="4"/>
    </row>
    <row r="2724" s="1" customFormat="1" spans="1:8">
      <c r="A2724" s="4" t="s">
        <v>205</v>
      </c>
      <c r="B2724" s="4" t="s">
        <v>57</v>
      </c>
      <c r="C2724" s="4" t="s">
        <v>68</v>
      </c>
      <c r="D2724" s="4" t="s">
        <v>5594</v>
      </c>
      <c r="E2724" s="4">
        <v>2514800</v>
      </c>
      <c r="F2724" s="4" t="s">
        <v>5595</v>
      </c>
      <c r="G2724" s="4" t="s">
        <v>232</v>
      </c>
      <c r="H2724" s="4"/>
    </row>
    <row r="2725" s="1" customFormat="1" spans="1:8">
      <c r="A2725" s="4" t="s">
        <v>205</v>
      </c>
      <c r="B2725" s="4" t="s">
        <v>57</v>
      </c>
      <c r="C2725" s="4" t="s">
        <v>68</v>
      </c>
      <c r="D2725" s="4" t="s">
        <v>5596</v>
      </c>
      <c r="E2725" s="4">
        <v>2514008</v>
      </c>
      <c r="F2725" s="4" t="s">
        <v>5597</v>
      </c>
      <c r="G2725" s="4" t="s">
        <v>232</v>
      </c>
      <c r="H2725" s="4"/>
    </row>
    <row r="2726" s="1" customFormat="1" spans="1:8">
      <c r="A2726" s="4" t="s">
        <v>205</v>
      </c>
      <c r="B2726" s="4" t="s">
        <v>57</v>
      </c>
      <c r="C2726" s="4" t="s">
        <v>68</v>
      </c>
      <c r="D2726" s="4" t="s">
        <v>5598</v>
      </c>
      <c r="E2726" s="4">
        <v>2514107</v>
      </c>
      <c r="F2726" s="4" t="s">
        <v>5599</v>
      </c>
      <c r="G2726" s="4" t="s">
        <v>232</v>
      </c>
      <c r="H2726" s="4"/>
    </row>
    <row r="2727" s="1" customFormat="1" spans="1:8">
      <c r="A2727" s="4" t="s">
        <v>205</v>
      </c>
      <c r="B2727" s="4" t="s">
        <v>57</v>
      </c>
      <c r="C2727" s="4" t="s">
        <v>68</v>
      </c>
      <c r="D2727" s="4" t="s">
        <v>5600</v>
      </c>
      <c r="E2727" s="4">
        <v>2514909</v>
      </c>
      <c r="F2727" s="4" t="s">
        <v>5601</v>
      </c>
      <c r="G2727" s="4" t="s">
        <v>232</v>
      </c>
      <c r="H2727" s="4"/>
    </row>
    <row r="2728" s="1" customFormat="1" spans="1:8">
      <c r="A2728" s="4" t="s">
        <v>205</v>
      </c>
      <c r="B2728" s="4" t="s">
        <v>57</v>
      </c>
      <c r="C2728" s="4" t="s">
        <v>68</v>
      </c>
      <c r="D2728" s="4" t="s">
        <v>5602</v>
      </c>
      <c r="E2728" s="4">
        <v>2515203</v>
      </c>
      <c r="F2728" s="4" t="s">
        <v>5603</v>
      </c>
      <c r="G2728" s="4" t="s">
        <v>232</v>
      </c>
      <c r="H2728" s="4"/>
    </row>
    <row r="2729" s="1" customFormat="1" spans="1:8">
      <c r="A2729" s="4" t="s">
        <v>205</v>
      </c>
      <c r="B2729" s="4" t="s">
        <v>57</v>
      </c>
      <c r="C2729" s="4" t="s">
        <v>68</v>
      </c>
      <c r="D2729" s="4" t="s">
        <v>5604</v>
      </c>
      <c r="E2729" s="4">
        <v>2515401</v>
      </c>
      <c r="F2729" s="4" t="s">
        <v>5605</v>
      </c>
      <c r="G2729" s="4" t="s">
        <v>232</v>
      </c>
      <c r="H2729" s="4"/>
    </row>
    <row r="2730" s="1" customFormat="1" spans="1:8">
      <c r="A2730" s="4" t="s">
        <v>205</v>
      </c>
      <c r="B2730" s="4" t="s">
        <v>57</v>
      </c>
      <c r="C2730" s="4" t="s">
        <v>68</v>
      </c>
      <c r="D2730" s="4" t="s">
        <v>867</v>
      </c>
      <c r="E2730" s="4">
        <v>2516508</v>
      </c>
      <c r="F2730" s="4" t="s">
        <v>5606</v>
      </c>
      <c r="G2730" s="4" t="s">
        <v>232</v>
      </c>
      <c r="H2730" s="4"/>
    </row>
    <row r="2731" s="1" customFormat="1" spans="1:8">
      <c r="A2731" s="4" t="s">
        <v>205</v>
      </c>
      <c r="B2731" s="4" t="s">
        <v>57</v>
      </c>
      <c r="C2731" s="4" t="s">
        <v>68</v>
      </c>
      <c r="D2731" s="4" t="s">
        <v>5607</v>
      </c>
      <c r="E2731" s="4">
        <v>2516706</v>
      </c>
      <c r="F2731" s="4" t="s">
        <v>5608</v>
      </c>
      <c r="G2731" s="4" t="s">
        <v>232</v>
      </c>
      <c r="H2731" s="4"/>
    </row>
    <row r="2732" s="1" customFormat="1" spans="1:8">
      <c r="A2732" s="4" t="s">
        <v>205</v>
      </c>
      <c r="B2732" s="4" t="s">
        <v>57</v>
      </c>
      <c r="C2732" s="4" t="s">
        <v>68</v>
      </c>
      <c r="D2732" s="4" t="s">
        <v>5609</v>
      </c>
      <c r="E2732" s="4">
        <v>2516755</v>
      </c>
      <c r="F2732" s="4" t="s">
        <v>5610</v>
      </c>
      <c r="G2732" s="4" t="s">
        <v>232</v>
      </c>
      <c r="H2732" s="4"/>
    </row>
    <row r="2733" s="1" customFormat="1" spans="1:8">
      <c r="A2733" s="4" t="s">
        <v>205</v>
      </c>
      <c r="B2733" s="4" t="s">
        <v>57</v>
      </c>
      <c r="C2733" s="4" t="s">
        <v>68</v>
      </c>
      <c r="D2733" s="4" t="s">
        <v>5611</v>
      </c>
      <c r="E2733" s="4">
        <v>2517001</v>
      </c>
      <c r="F2733" s="4" t="s">
        <v>5612</v>
      </c>
      <c r="G2733" s="4" t="s">
        <v>232</v>
      </c>
      <c r="H2733" s="4"/>
    </row>
    <row r="2734" s="1" customFormat="1" spans="1:8">
      <c r="A2734" s="4" t="s">
        <v>205</v>
      </c>
      <c r="B2734" s="4" t="s">
        <v>57</v>
      </c>
      <c r="C2734" s="4" t="s">
        <v>68</v>
      </c>
      <c r="D2734" s="4" t="s">
        <v>5613</v>
      </c>
      <c r="E2734" s="4">
        <v>2517100</v>
      </c>
      <c r="F2734" s="4" t="s">
        <v>5614</v>
      </c>
      <c r="G2734" s="4" t="s">
        <v>232</v>
      </c>
      <c r="H2734" s="4"/>
    </row>
    <row r="2735" s="1" customFormat="1" spans="1:8">
      <c r="A2735" s="4" t="s">
        <v>205</v>
      </c>
      <c r="B2735" s="4" t="s">
        <v>57</v>
      </c>
      <c r="C2735" s="4" t="s">
        <v>68</v>
      </c>
      <c r="D2735" s="4" t="s">
        <v>5615</v>
      </c>
      <c r="E2735" s="4">
        <v>2517407</v>
      </c>
      <c r="F2735" s="4" t="s">
        <v>5616</v>
      </c>
      <c r="G2735" s="4" t="s">
        <v>232</v>
      </c>
      <c r="H2735" s="4"/>
    </row>
    <row r="2736" s="1" customFormat="1" spans="1:8">
      <c r="A2736" s="4" t="s">
        <v>205</v>
      </c>
      <c r="B2736" s="4" t="s">
        <v>57</v>
      </c>
      <c r="C2736" s="4" t="s">
        <v>68</v>
      </c>
      <c r="D2736" s="4" t="s">
        <v>5617</v>
      </c>
      <c r="E2736" s="4">
        <v>2500205</v>
      </c>
      <c r="F2736" s="4" t="s">
        <v>5618</v>
      </c>
      <c r="G2736" s="4" t="s">
        <v>243</v>
      </c>
      <c r="H2736" s="4"/>
    </row>
    <row r="2737" s="1" customFormat="1" spans="1:8">
      <c r="A2737" s="4" t="s">
        <v>205</v>
      </c>
      <c r="B2737" s="4" t="s">
        <v>57</v>
      </c>
      <c r="C2737" s="4" t="s">
        <v>68</v>
      </c>
      <c r="D2737" s="4" t="s">
        <v>5619</v>
      </c>
      <c r="E2737" s="4">
        <v>2500775</v>
      </c>
      <c r="F2737" s="4" t="s">
        <v>5620</v>
      </c>
      <c r="G2737" s="4" t="s">
        <v>243</v>
      </c>
      <c r="H2737" s="4"/>
    </row>
    <row r="2738" s="1" customFormat="1" spans="1:8">
      <c r="A2738" s="4" t="s">
        <v>205</v>
      </c>
      <c r="B2738" s="4" t="s">
        <v>57</v>
      </c>
      <c r="C2738" s="4" t="s">
        <v>68</v>
      </c>
      <c r="D2738" s="4" t="s">
        <v>5621</v>
      </c>
      <c r="E2738" s="4">
        <v>2502003</v>
      </c>
      <c r="F2738" s="4" t="s">
        <v>5622</v>
      </c>
      <c r="G2738" s="4" t="s">
        <v>243</v>
      </c>
      <c r="H2738" s="4"/>
    </row>
    <row r="2739" s="1" customFormat="1" spans="1:8">
      <c r="A2739" s="4" t="s">
        <v>205</v>
      </c>
      <c r="B2739" s="4" t="s">
        <v>57</v>
      </c>
      <c r="C2739" s="4" t="s">
        <v>68</v>
      </c>
      <c r="D2739" s="4" t="s">
        <v>5623</v>
      </c>
      <c r="E2739" s="4">
        <v>2502052</v>
      </c>
      <c r="F2739" s="4" t="s">
        <v>5624</v>
      </c>
      <c r="G2739" s="4" t="s">
        <v>243</v>
      </c>
      <c r="H2739" s="4"/>
    </row>
    <row r="2740" s="1" customFormat="1" spans="1:8">
      <c r="A2740" s="4" t="s">
        <v>205</v>
      </c>
      <c r="B2740" s="4" t="s">
        <v>57</v>
      </c>
      <c r="C2740" s="4" t="s">
        <v>68</v>
      </c>
      <c r="D2740" s="4" t="s">
        <v>5625</v>
      </c>
      <c r="E2740" s="4">
        <v>2502102</v>
      </c>
      <c r="F2740" s="4" t="s">
        <v>5626</v>
      </c>
      <c r="G2740" s="4" t="s">
        <v>243</v>
      </c>
      <c r="H2740" s="4"/>
    </row>
    <row r="2741" s="1" customFormat="1" spans="1:8">
      <c r="A2741" s="4" t="s">
        <v>205</v>
      </c>
      <c r="B2741" s="4" t="s">
        <v>57</v>
      </c>
      <c r="C2741" s="4" t="s">
        <v>68</v>
      </c>
      <c r="D2741" s="4" t="s">
        <v>5627</v>
      </c>
      <c r="E2741" s="4">
        <v>2502201</v>
      </c>
      <c r="F2741" s="4" t="s">
        <v>5628</v>
      </c>
      <c r="G2741" s="4" t="s">
        <v>243</v>
      </c>
      <c r="H2741" s="4"/>
    </row>
    <row r="2742" s="1" customFormat="1" spans="1:8">
      <c r="A2742" s="4" t="s">
        <v>205</v>
      </c>
      <c r="B2742" s="4" t="s">
        <v>57</v>
      </c>
      <c r="C2742" s="4" t="s">
        <v>68</v>
      </c>
      <c r="D2742" s="4" t="s">
        <v>3012</v>
      </c>
      <c r="E2742" s="4">
        <v>2502300</v>
      </c>
      <c r="F2742" s="4" t="s">
        <v>5629</v>
      </c>
      <c r="G2742" s="4" t="s">
        <v>243</v>
      </c>
      <c r="H2742" s="4"/>
    </row>
    <row r="2743" s="1" customFormat="1" spans="1:8">
      <c r="A2743" s="4" t="s">
        <v>205</v>
      </c>
      <c r="B2743" s="4" t="s">
        <v>57</v>
      </c>
      <c r="C2743" s="4" t="s">
        <v>68</v>
      </c>
      <c r="D2743" s="4" t="s">
        <v>5630</v>
      </c>
      <c r="E2743" s="4">
        <v>2502409</v>
      </c>
      <c r="F2743" s="4" t="s">
        <v>5631</v>
      </c>
      <c r="G2743" s="4" t="s">
        <v>243</v>
      </c>
      <c r="H2743" s="4"/>
    </row>
    <row r="2744" s="1" customFormat="1" spans="1:8">
      <c r="A2744" s="4" t="s">
        <v>205</v>
      </c>
      <c r="B2744" s="4" t="s">
        <v>57</v>
      </c>
      <c r="C2744" s="4" t="s">
        <v>68</v>
      </c>
      <c r="D2744" s="4" t="s">
        <v>5632</v>
      </c>
      <c r="E2744" s="4">
        <v>2502805</v>
      </c>
      <c r="F2744" s="4" t="s">
        <v>5633</v>
      </c>
      <c r="G2744" s="4" t="s">
        <v>243</v>
      </c>
      <c r="H2744" s="4"/>
    </row>
    <row r="2745" s="1" customFormat="1" spans="1:8">
      <c r="A2745" s="4" t="s">
        <v>205</v>
      </c>
      <c r="B2745" s="4" t="s">
        <v>57</v>
      </c>
      <c r="C2745" s="4" t="s">
        <v>68</v>
      </c>
      <c r="D2745" s="4" t="s">
        <v>5634</v>
      </c>
      <c r="E2745" s="4">
        <v>2502904</v>
      </c>
      <c r="F2745" s="4" t="s">
        <v>5635</v>
      </c>
      <c r="G2745" s="4" t="s">
        <v>243</v>
      </c>
      <c r="H2745" s="4"/>
    </row>
    <row r="2746" s="1" customFormat="1" spans="1:8">
      <c r="A2746" s="4" t="s">
        <v>205</v>
      </c>
      <c r="B2746" s="4" t="s">
        <v>57</v>
      </c>
      <c r="C2746" s="4" t="s">
        <v>68</v>
      </c>
      <c r="D2746" s="4" t="s">
        <v>5636</v>
      </c>
      <c r="E2746" s="4">
        <v>2503308</v>
      </c>
      <c r="F2746" s="4" t="s">
        <v>5637</v>
      </c>
      <c r="G2746" s="4" t="s">
        <v>243</v>
      </c>
      <c r="H2746" s="4"/>
    </row>
    <row r="2747" s="1" customFormat="1" spans="1:8">
      <c r="A2747" s="4" t="s">
        <v>205</v>
      </c>
      <c r="B2747" s="4" t="s">
        <v>57</v>
      </c>
      <c r="C2747" s="4" t="s">
        <v>68</v>
      </c>
      <c r="D2747" s="4" t="s">
        <v>5638</v>
      </c>
      <c r="E2747" s="4">
        <v>2503704</v>
      </c>
      <c r="F2747" s="4" t="s">
        <v>5639</v>
      </c>
      <c r="G2747" s="4" t="s">
        <v>243</v>
      </c>
      <c r="H2747" s="4"/>
    </row>
    <row r="2748" s="1" customFormat="1" spans="1:8">
      <c r="A2748" s="4" t="s">
        <v>205</v>
      </c>
      <c r="B2748" s="4" t="s">
        <v>57</v>
      </c>
      <c r="C2748" s="4" t="s">
        <v>68</v>
      </c>
      <c r="D2748" s="4" t="s">
        <v>5640</v>
      </c>
      <c r="E2748" s="4">
        <v>2503753</v>
      </c>
      <c r="F2748" s="4" t="s">
        <v>5641</v>
      </c>
      <c r="G2748" s="4" t="s">
        <v>243</v>
      </c>
      <c r="H2748" s="4"/>
    </row>
    <row r="2749" s="1" customFormat="1" spans="1:8">
      <c r="A2749" s="4" t="s">
        <v>205</v>
      </c>
      <c r="B2749" s="4" t="s">
        <v>57</v>
      </c>
      <c r="C2749" s="4" t="s">
        <v>68</v>
      </c>
      <c r="D2749" s="4" t="s">
        <v>5642</v>
      </c>
      <c r="E2749" s="4">
        <v>2504108</v>
      </c>
      <c r="F2749" s="4" t="s">
        <v>5643</v>
      </c>
      <c r="G2749" s="4" t="s">
        <v>243</v>
      </c>
      <c r="H2749" s="4"/>
    </row>
    <row r="2750" s="1" customFormat="1" spans="1:8">
      <c r="A2750" s="4" t="s">
        <v>205</v>
      </c>
      <c r="B2750" s="4" t="s">
        <v>57</v>
      </c>
      <c r="C2750" s="4" t="s">
        <v>68</v>
      </c>
      <c r="D2750" s="4" t="s">
        <v>5644</v>
      </c>
      <c r="E2750" s="4">
        <v>2504207</v>
      </c>
      <c r="F2750" s="4" t="s">
        <v>5645</v>
      </c>
      <c r="G2750" s="4" t="s">
        <v>243</v>
      </c>
      <c r="H2750" s="4"/>
    </row>
    <row r="2751" s="1" customFormat="1" spans="1:8">
      <c r="A2751" s="4" t="s">
        <v>205</v>
      </c>
      <c r="B2751" s="4" t="s">
        <v>57</v>
      </c>
      <c r="C2751" s="4" t="s">
        <v>68</v>
      </c>
      <c r="D2751" s="4" t="s">
        <v>5646</v>
      </c>
      <c r="E2751" s="4">
        <v>2504306</v>
      </c>
      <c r="F2751" s="4" t="s">
        <v>5647</v>
      </c>
      <c r="G2751" s="4" t="s">
        <v>243</v>
      </c>
      <c r="H2751" s="4"/>
    </row>
    <row r="2752" s="1" customFormat="1" spans="1:8">
      <c r="A2752" s="4" t="s">
        <v>205</v>
      </c>
      <c r="B2752" s="4" t="s">
        <v>57</v>
      </c>
      <c r="C2752" s="4" t="s">
        <v>68</v>
      </c>
      <c r="D2752" s="4" t="s">
        <v>5648</v>
      </c>
      <c r="E2752" s="4">
        <v>2504405</v>
      </c>
      <c r="F2752" s="4" t="s">
        <v>5649</v>
      </c>
      <c r="G2752" s="4" t="s">
        <v>243</v>
      </c>
      <c r="H2752" s="4"/>
    </row>
    <row r="2753" s="1" customFormat="1" spans="1:8">
      <c r="A2753" s="4" t="s">
        <v>205</v>
      </c>
      <c r="B2753" s="4" t="s">
        <v>57</v>
      </c>
      <c r="C2753" s="4" t="s">
        <v>68</v>
      </c>
      <c r="D2753" s="4" t="s">
        <v>5650</v>
      </c>
      <c r="E2753" s="4">
        <v>2504504</v>
      </c>
      <c r="F2753" s="4" t="s">
        <v>5651</v>
      </c>
      <c r="G2753" s="4" t="s">
        <v>243</v>
      </c>
      <c r="H2753" s="4"/>
    </row>
    <row r="2754" s="1" customFormat="1" spans="1:8">
      <c r="A2754" s="4" t="s">
        <v>205</v>
      </c>
      <c r="B2754" s="4" t="s">
        <v>57</v>
      </c>
      <c r="C2754" s="4" t="s">
        <v>68</v>
      </c>
      <c r="D2754" s="4" t="s">
        <v>5652</v>
      </c>
      <c r="E2754" s="4">
        <v>2504801</v>
      </c>
      <c r="F2754" s="4" t="s">
        <v>5653</v>
      </c>
      <c r="G2754" s="4" t="s">
        <v>243</v>
      </c>
      <c r="H2754" s="4"/>
    </row>
    <row r="2755" s="1" customFormat="1" spans="1:8">
      <c r="A2755" s="4" t="s">
        <v>205</v>
      </c>
      <c r="B2755" s="4" t="s">
        <v>57</v>
      </c>
      <c r="C2755" s="4" t="s">
        <v>68</v>
      </c>
      <c r="D2755" s="4" t="s">
        <v>5654</v>
      </c>
      <c r="E2755" s="4">
        <v>2505303</v>
      </c>
      <c r="F2755" s="4" t="s">
        <v>5655</v>
      </c>
      <c r="G2755" s="4" t="s">
        <v>243</v>
      </c>
      <c r="H2755" s="4"/>
    </row>
    <row r="2756" s="1" customFormat="1" spans="1:8">
      <c r="A2756" s="4" t="s">
        <v>205</v>
      </c>
      <c r="B2756" s="4" t="s">
        <v>57</v>
      </c>
      <c r="C2756" s="4" t="s">
        <v>68</v>
      </c>
      <c r="D2756" s="4" t="s">
        <v>5656</v>
      </c>
      <c r="E2756" s="4">
        <v>2505600</v>
      </c>
      <c r="F2756" s="4" t="s">
        <v>5657</v>
      </c>
      <c r="G2756" s="4" t="s">
        <v>243</v>
      </c>
      <c r="H2756" s="4"/>
    </row>
    <row r="2757" s="1" customFormat="1" spans="1:8">
      <c r="A2757" s="4" t="s">
        <v>205</v>
      </c>
      <c r="B2757" s="4" t="s">
        <v>57</v>
      </c>
      <c r="C2757" s="4" t="s">
        <v>68</v>
      </c>
      <c r="D2757" s="4" t="s">
        <v>5658</v>
      </c>
      <c r="E2757" s="4">
        <v>2505907</v>
      </c>
      <c r="F2757" s="4" t="s">
        <v>5659</v>
      </c>
      <c r="G2757" s="4" t="s">
        <v>243</v>
      </c>
      <c r="H2757" s="4"/>
    </row>
    <row r="2758" s="1" customFormat="1" spans="1:8">
      <c r="A2758" s="4" t="s">
        <v>205</v>
      </c>
      <c r="B2758" s="4" t="s">
        <v>57</v>
      </c>
      <c r="C2758" s="4" t="s">
        <v>68</v>
      </c>
      <c r="D2758" s="4" t="s">
        <v>5660</v>
      </c>
      <c r="E2758" s="4">
        <v>2506608</v>
      </c>
      <c r="F2758" s="4" t="s">
        <v>5661</v>
      </c>
      <c r="G2758" s="4" t="s">
        <v>243</v>
      </c>
      <c r="H2758" s="4"/>
    </row>
    <row r="2759" s="1" customFormat="1" spans="1:8">
      <c r="A2759" s="4" t="s">
        <v>205</v>
      </c>
      <c r="B2759" s="4" t="s">
        <v>57</v>
      </c>
      <c r="C2759" s="4" t="s">
        <v>68</v>
      </c>
      <c r="D2759" s="4" t="s">
        <v>5662</v>
      </c>
      <c r="E2759" s="4">
        <v>2502607</v>
      </c>
      <c r="F2759" s="4" t="s">
        <v>5663</v>
      </c>
      <c r="G2759" s="4" t="s">
        <v>243</v>
      </c>
      <c r="H2759" s="4"/>
    </row>
    <row r="2760" s="1" customFormat="1" spans="1:8">
      <c r="A2760" s="4" t="s">
        <v>205</v>
      </c>
      <c r="B2760" s="4" t="s">
        <v>57</v>
      </c>
      <c r="C2760" s="4" t="s">
        <v>68</v>
      </c>
      <c r="D2760" s="4" t="s">
        <v>5664</v>
      </c>
      <c r="E2760" s="4">
        <v>2506707</v>
      </c>
      <c r="F2760" s="4" t="s">
        <v>5665</v>
      </c>
      <c r="G2760" s="4" t="s">
        <v>243</v>
      </c>
      <c r="H2760" s="4"/>
    </row>
    <row r="2761" s="1" customFormat="1" spans="1:8">
      <c r="A2761" s="4" t="s">
        <v>205</v>
      </c>
      <c r="B2761" s="4" t="s">
        <v>57</v>
      </c>
      <c r="C2761" s="4" t="s">
        <v>68</v>
      </c>
      <c r="D2761" s="4" t="s">
        <v>5666</v>
      </c>
      <c r="E2761" s="4">
        <v>2507002</v>
      </c>
      <c r="F2761" s="4" t="s">
        <v>5667</v>
      </c>
      <c r="G2761" s="4" t="s">
        <v>243</v>
      </c>
      <c r="H2761" s="4"/>
    </row>
    <row r="2762" s="1" customFormat="1" spans="1:8">
      <c r="A2762" s="4" t="s">
        <v>205</v>
      </c>
      <c r="B2762" s="4" t="s">
        <v>57</v>
      </c>
      <c r="C2762" s="4" t="s">
        <v>68</v>
      </c>
      <c r="D2762" s="4" t="s">
        <v>5668</v>
      </c>
      <c r="E2762" s="4">
        <v>2507408</v>
      </c>
      <c r="F2762" s="4" t="s">
        <v>5669</v>
      </c>
      <c r="G2762" s="4" t="s">
        <v>243</v>
      </c>
      <c r="H2762" s="4"/>
    </row>
    <row r="2763" s="1" customFormat="1" spans="1:8">
      <c r="A2763" s="4" t="s">
        <v>205</v>
      </c>
      <c r="B2763" s="4" t="s">
        <v>57</v>
      </c>
      <c r="C2763" s="4" t="s">
        <v>68</v>
      </c>
      <c r="D2763" s="4" t="s">
        <v>5670</v>
      </c>
      <c r="E2763" s="4">
        <v>2513653</v>
      </c>
      <c r="F2763" s="4" t="s">
        <v>5671</v>
      </c>
      <c r="G2763" s="4" t="s">
        <v>243</v>
      </c>
      <c r="H2763" s="4"/>
    </row>
    <row r="2764" s="1" customFormat="1" spans="1:8">
      <c r="A2764" s="4" t="s">
        <v>205</v>
      </c>
      <c r="B2764" s="4" t="s">
        <v>57</v>
      </c>
      <c r="C2764" s="4" t="s">
        <v>68</v>
      </c>
      <c r="D2764" s="4" t="s">
        <v>5672</v>
      </c>
      <c r="E2764" s="4">
        <v>2508000</v>
      </c>
      <c r="F2764" s="4" t="s">
        <v>5673</v>
      </c>
      <c r="G2764" s="4" t="s">
        <v>243</v>
      </c>
      <c r="H2764" s="4"/>
    </row>
    <row r="2765" s="1" customFormat="1" spans="1:8">
      <c r="A2765" s="4" t="s">
        <v>205</v>
      </c>
      <c r="B2765" s="4" t="s">
        <v>57</v>
      </c>
      <c r="C2765" s="4" t="s">
        <v>68</v>
      </c>
      <c r="D2765" s="4" t="s">
        <v>5674</v>
      </c>
      <c r="E2765" s="4">
        <v>2508109</v>
      </c>
      <c r="F2765" s="4" t="s">
        <v>5675</v>
      </c>
      <c r="G2765" s="4" t="s">
        <v>243</v>
      </c>
      <c r="H2765" s="4"/>
    </row>
    <row r="2766" s="1" customFormat="1" spans="1:8">
      <c r="A2766" s="4" t="s">
        <v>205</v>
      </c>
      <c r="B2766" s="4" t="s">
        <v>57</v>
      </c>
      <c r="C2766" s="4" t="s">
        <v>68</v>
      </c>
      <c r="D2766" s="4" t="s">
        <v>5676</v>
      </c>
      <c r="E2766" s="4">
        <v>2508406</v>
      </c>
      <c r="F2766" s="4" t="s">
        <v>5677</v>
      </c>
      <c r="G2766" s="4" t="s">
        <v>243</v>
      </c>
      <c r="H2766" s="4"/>
    </row>
    <row r="2767" s="1" customFormat="1" spans="1:8">
      <c r="A2767" s="4" t="s">
        <v>205</v>
      </c>
      <c r="B2767" s="4" t="s">
        <v>57</v>
      </c>
      <c r="C2767" s="4" t="s">
        <v>68</v>
      </c>
      <c r="D2767" s="4" t="s">
        <v>5678</v>
      </c>
      <c r="E2767" s="4">
        <v>2509008</v>
      </c>
      <c r="F2767" s="4" t="s">
        <v>5679</v>
      </c>
      <c r="G2767" s="4" t="s">
        <v>243</v>
      </c>
      <c r="H2767" s="4"/>
    </row>
    <row r="2768" s="1" customFormat="1" spans="1:8">
      <c r="A2768" s="4" t="s">
        <v>205</v>
      </c>
      <c r="B2768" s="4" t="s">
        <v>57</v>
      </c>
      <c r="C2768" s="4" t="s">
        <v>68</v>
      </c>
      <c r="D2768" s="4" t="s">
        <v>5680</v>
      </c>
      <c r="E2768" s="4">
        <v>2509156</v>
      </c>
      <c r="F2768" s="4" t="s">
        <v>5681</v>
      </c>
      <c r="G2768" s="4" t="s">
        <v>243</v>
      </c>
      <c r="H2768" s="4"/>
    </row>
    <row r="2769" s="1" customFormat="1" spans="1:8">
      <c r="A2769" s="4" t="s">
        <v>205</v>
      </c>
      <c r="B2769" s="4" t="s">
        <v>57</v>
      </c>
      <c r="C2769" s="4" t="s">
        <v>68</v>
      </c>
      <c r="D2769" s="4" t="s">
        <v>5682</v>
      </c>
      <c r="E2769" s="4">
        <v>2509370</v>
      </c>
      <c r="F2769" s="4" t="s">
        <v>5683</v>
      </c>
      <c r="G2769" s="4" t="s">
        <v>243</v>
      </c>
      <c r="H2769" s="4"/>
    </row>
    <row r="2770" s="1" customFormat="1" spans="1:8">
      <c r="A2770" s="4" t="s">
        <v>205</v>
      </c>
      <c r="B2770" s="4" t="s">
        <v>57</v>
      </c>
      <c r="C2770" s="4" t="s">
        <v>68</v>
      </c>
      <c r="D2770" s="4" t="s">
        <v>5684</v>
      </c>
      <c r="E2770" s="4">
        <v>2509396</v>
      </c>
      <c r="F2770" s="4" t="s">
        <v>5685</v>
      </c>
      <c r="G2770" s="4" t="s">
        <v>243</v>
      </c>
      <c r="H2770" s="4"/>
    </row>
    <row r="2771" s="1" customFormat="1" spans="1:8">
      <c r="A2771" s="4" t="s">
        <v>205</v>
      </c>
      <c r="B2771" s="4" t="s">
        <v>57</v>
      </c>
      <c r="C2771" s="4" t="s">
        <v>68</v>
      </c>
      <c r="D2771" s="4" t="s">
        <v>5686</v>
      </c>
      <c r="E2771" s="4">
        <v>2509602</v>
      </c>
      <c r="F2771" s="4" t="s">
        <v>5687</v>
      </c>
      <c r="G2771" s="4" t="s">
        <v>243</v>
      </c>
      <c r="H2771" s="4"/>
    </row>
    <row r="2772" s="1" customFormat="1" spans="1:8">
      <c r="A2772" s="4" t="s">
        <v>205</v>
      </c>
      <c r="B2772" s="4" t="s">
        <v>57</v>
      </c>
      <c r="C2772" s="4" t="s">
        <v>68</v>
      </c>
      <c r="D2772" s="4" t="s">
        <v>5688</v>
      </c>
      <c r="E2772" s="4">
        <v>2508703</v>
      </c>
      <c r="F2772" s="4" t="s">
        <v>5689</v>
      </c>
      <c r="G2772" s="4" t="s">
        <v>243</v>
      </c>
      <c r="H2772" s="4"/>
    </row>
    <row r="2773" s="1" customFormat="1" spans="1:8">
      <c r="A2773" s="4" t="s">
        <v>205</v>
      </c>
      <c r="B2773" s="4" t="s">
        <v>57</v>
      </c>
      <c r="C2773" s="4" t="s">
        <v>68</v>
      </c>
      <c r="D2773" s="4" t="s">
        <v>5690</v>
      </c>
      <c r="E2773" s="4">
        <v>2510006</v>
      </c>
      <c r="F2773" s="4" t="s">
        <v>5691</v>
      </c>
      <c r="G2773" s="4" t="s">
        <v>243</v>
      </c>
      <c r="H2773" s="4"/>
    </row>
    <row r="2774" s="1" customFormat="1" spans="1:8">
      <c r="A2774" s="4" t="s">
        <v>205</v>
      </c>
      <c r="B2774" s="4" t="s">
        <v>57</v>
      </c>
      <c r="C2774" s="4" t="s">
        <v>68</v>
      </c>
      <c r="D2774" s="4" t="s">
        <v>1786</v>
      </c>
      <c r="E2774" s="4">
        <v>2510204</v>
      </c>
      <c r="F2774" s="4" t="s">
        <v>5692</v>
      </c>
      <c r="G2774" s="4" t="s">
        <v>243</v>
      </c>
      <c r="H2774" s="4"/>
    </row>
    <row r="2775" s="1" customFormat="1" spans="1:8">
      <c r="A2775" s="4" t="s">
        <v>205</v>
      </c>
      <c r="B2775" s="4" t="s">
        <v>57</v>
      </c>
      <c r="C2775" s="4" t="s">
        <v>68</v>
      </c>
      <c r="D2775" s="4" t="s">
        <v>5693</v>
      </c>
      <c r="E2775" s="4">
        <v>2510402</v>
      </c>
      <c r="F2775" s="4" t="s">
        <v>5694</v>
      </c>
      <c r="G2775" s="4" t="s">
        <v>243</v>
      </c>
      <c r="H2775" s="4"/>
    </row>
    <row r="2776" s="1" customFormat="1" spans="1:8">
      <c r="A2776" s="4" t="s">
        <v>205</v>
      </c>
      <c r="B2776" s="4" t="s">
        <v>57</v>
      </c>
      <c r="C2776" s="4" t="s">
        <v>68</v>
      </c>
      <c r="D2776" s="4" t="s">
        <v>5695</v>
      </c>
      <c r="E2776" s="4">
        <v>2510907</v>
      </c>
      <c r="F2776" s="4" t="s">
        <v>5696</v>
      </c>
      <c r="G2776" s="4" t="s">
        <v>243</v>
      </c>
      <c r="H2776" s="4"/>
    </row>
    <row r="2777" s="1" customFormat="1" spans="1:8">
      <c r="A2777" s="4" t="s">
        <v>205</v>
      </c>
      <c r="B2777" s="4" t="s">
        <v>57</v>
      </c>
      <c r="C2777" s="4" t="s">
        <v>68</v>
      </c>
      <c r="D2777" s="4" t="s">
        <v>1673</v>
      </c>
      <c r="E2777" s="4">
        <v>2511004</v>
      </c>
      <c r="F2777" s="4" t="s">
        <v>5697</v>
      </c>
      <c r="G2777" s="4" t="s">
        <v>243</v>
      </c>
      <c r="H2777" s="4"/>
    </row>
    <row r="2778" s="1" customFormat="1" spans="1:8">
      <c r="A2778" s="4" t="s">
        <v>205</v>
      </c>
      <c r="B2778" s="4" t="s">
        <v>57</v>
      </c>
      <c r="C2778" s="4" t="s">
        <v>68</v>
      </c>
      <c r="D2778" s="4" t="s">
        <v>5698</v>
      </c>
      <c r="E2778" s="4">
        <v>2511301</v>
      </c>
      <c r="F2778" s="4" t="s">
        <v>5699</v>
      </c>
      <c r="G2778" s="4" t="s">
        <v>243</v>
      </c>
      <c r="H2778" s="4"/>
    </row>
    <row r="2779" s="1" customFormat="1" spans="1:8">
      <c r="A2779" s="4" t="s">
        <v>205</v>
      </c>
      <c r="B2779" s="4" t="s">
        <v>57</v>
      </c>
      <c r="C2779" s="4" t="s">
        <v>68</v>
      </c>
      <c r="D2779" s="4" t="s">
        <v>5700</v>
      </c>
      <c r="E2779" s="4">
        <v>2512101</v>
      </c>
      <c r="F2779" s="4" t="s">
        <v>5701</v>
      </c>
      <c r="G2779" s="4" t="s">
        <v>243</v>
      </c>
      <c r="H2779" s="4"/>
    </row>
    <row r="2780" s="1" customFormat="1" spans="1:8">
      <c r="A2780" s="4" t="s">
        <v>205</v>
      </c>
      <c r="B2780" s="4" t="s">
        <v>57</v>
      </c>
      <c r="C2780" s="4" t="s">
        <v>68</v>
      </c>
      <c r="D2780" s="4" t="s">
        <v>5702</v>
      </c>
      <c r="E2780" s="4">
        <v>2512036</v>
      </c>
      <c r="F2780" s="4" t="s">
        <v>5703</v>
      </c>
      <c r="G2780" s="4" t="s">
        <v>243</v>
      </c>
      <c r="H2780" s="4"/>
    </row>
    <row r="2781" s="1" customFormat="1" spans="1:8">
      <c r="A2781" s="4" t="s">
        <v>205</v>
      </c>
      <c r="B2781" s="4" t="s">
        <v>57</v>
      </c>
      <c r="C2781" s="4" t="s">
        <v>68</v>
      </c>
      <c r="D2781" s="4" t="s">
        <v>5704</v>
      </c>
      <c r="E2781" s="4">
        <v>2512077</v>
      </c>
      <c r="F2781" s="4" t="s">
        <v>5705</v>
      </c>
      <c r="G2781" s="4" t="s">
        <v>243</v>
      </c>
      <c r="H2781" s="4"/>
    </row>
    <row r="2782" s="1" customFormat="1" spans="1:8">
      <c r="A2782" s="4" t="s">
        <v>205</v>
      </c>
      <c r="B2782" s="4" t="s">
        <v>57</v>
      </c>
      <c r="C2782" s="4" t="s">
        <v>68</v>
      </c>
      <c r="D2782" s="4" t="s">
        <v>5706</v>
      </c>
      <c r="E2782" s="4">
        <v>2512309</v>
      </c>
      <c r="F2782" s="4" t="s">
        <v>5707</v>
      </c>
      <c r="G2782" s="4" t="s">
        <v>243</v>
      </c>
      <c r="H2782" s="4"/>
    </row>
    <row r="2783" s="1" customFormat="1" spans="1:8">
      <c r="A2783" s="4" t="s">
        <v>205</v>
      </c>
      <c r="B2783" s="4" t="s">
        <v>57</v>
      </c>
      <c r="C2783" s="4" t="s">
        <v>68</v>
      </c>
      <c r="D2783" s="4" t="s">
        <v>5708</v>
      </c>
      <c r="E2783" s="4">
        <v>2512804</v>
      </c>
      <c r="F2783" s="4" t="s">
        <v>5709</v>
      </c>
      <c r="G2783" s="4" t="s">
        <v>243</v>
      </c>
      <c r="H2783" s="4"/>
    </row>
    <row r="2784" s="1" customFormat="1" spans="1:8">
      <c r="A2784" s="4" t="s">
        <v>205</v>
      </c>
      <c r="B2784" s="4" t="s">
        <v>57</v>
      </c>
      <c r="C2784" s="4" t="s">
        <v>68</v>
      </c>
      <c r="D2784" s="4" t="s">
        <v>5710</v>
      </c>
      <c r="E2784" s="4">
        <v>2513208</v>
      </c>
      <c r="F2784" s="4" t="s">
        <v>5711</v>
      </c>
      <c r="G2784" s="4" t="s">
        <v>243</v>
      </c>
      <c r="H2784" s="4"/>
    </row>
    <row r="2785" s="1" customFormat="1" spans="1:8">
      <c r="A2785" s="4" t="s">
        <v>205</v>
      </c>
      <c r="B2785" s="4" t="s">
        <v>57</v>
      </c>
      <c r="C2785" s="4" t="s">
        <v>68</v>
      </c>
      <c r="D2785" s="4" t="s">
        <v>2716</v>
      </c>
      <c r="E2785" s="4">
        <v>2513307</v>
      </c>
      <c r="F2785" s="4" t="s">
        <v>5712</v>
      </c>
      <c r="G2785" s="4" t="s">
        <v>243</v>
      </c>
      <c r="H2785" s="4"/>
    </row>
    <row r="2786" s="1" customFormat="1" spans="1:8">
      <c r="A2786" s="4" t="s">
        <v>205</v>
      </c>
      <c r="B2786" s="4" t="s">
        <v>57</v>
      </c>
      <c r="C2786" s="4" t="s">
        <v>68</v>
      </c>
      <c r="D2786" s="4" t="s">
        <v>825</v>
      </c>
      <c r="E2786" s="4">
        <v>2513356</v>
      </c>
      <c r="F2786" s="4" t="s">
        <v>5713</v>
      </c>
      <c r="G2786" s="4" t="s">
        <v>243</v>
      </c>
      <c r="H2786" s="4"/>
    </row>
    <row r="2787" s="1" customFormat="1" spans="1:8">
      <c r="A2787" s="4" t="s">
        <v>205</v>
      </c>
      <c r="B2787" s="4" t="s">
        <v>57</v>
      </c>
      <c r="C2787" s="4" t="s">
        <v>68</v>
      </c>
      <c r="D2787" s="4" t="s">
        <v>5714</v>
      </c>
      <c r="E2787" s="4">
        <v>2513505</v>
      </c>
      <c r="F2787" s="4" t="s">
        <v>5715</v>
      </c>
      <c r="G2787" s="4" t="s">
        <v>243</v>
      </c>
      <c r="H2787" s="4"/>
    </row>
    <row r="2788" s="1" customFormat="1" spans="1:8">
      <c r="A2788" s="4" t="s">
        <v>205</v>
      </c>
      <c r="B2788" s="4" t="s">
        <v>57</v>
      </c>
      <c r="C2788" s="4" t="s">
        <v>68</v>
      </c>
      <c r="D2788" s="4" t="s">
        <v>5716</v>
      </c>
      <c r="E2788" s="4">
        <v>2513604</v>
      </c>
      <c r="F2788" s="4" t="s">
        <v>5717</v>
      </c>
      <c r="G2788" s="4" t="s">
        <v>243</v>
      </c>
      <c r="H2788" s="4"/>
    </row>
    <row r="2789" s="1" customFormat="1" spans="1:8">
      <c r="A2789" s="4" t="s">
        <v>205</v>
      </c>
      <c r="B2789" s="4" t="s">
        <v>57</v>
      </c>
      <c r="C2789" s="4" t="s">
        <v>68</v>
      </c>
      <c r="D2789" s="4" t="s">
        <v>5718</v>
      </c>
      <c r="E2789" s="4">
        <v>2515708</v>
      </c>
      <c r="F2789" s="4" t="s">
        <v>5719</v>
      </c>
      <c r="G2789" s="4" t="s">
        <v>243</v>
      </c>
      <c r="H2789" s="4"/>
    </row>
    <row r="2790" s="1" customFormat="1" spans="1:8">
      <c r="A2790" s="4" t="s">
        <v>205</v>
      </c>
      <c r="B2790" s="4" t="s">
        <v>57</v>
      </c>
      <c r="C2790" s="4" t="s">
        <v>68</v>
      </c>
      <c r="D2790" s="4" t="s">
        <v>5720</v>
      </c>
      <c r="E2790" s="4">
        <v>2516201</v>
      </c>
      <c r="F2790" s="4" t="s">
        <v>5721</v>
      </c>
      <c r="G2790" s="4" t="s">
        <v>243</v>
      </c>
      <c r="H2790" s="4"/>
    </row>
    <row r="2791" s="1" customFormat="1" spans="1:8">
      <c r="A2791" s="4" t="s">
        <v>205</v>
      </c>
      <c r="B2791" s="4" t="s">
        <v>57</v>
      </c>
      <c r="C2791" s="4" t="s">
        <v>68</v>
      </c>
      <c r="D2791" s="4" t="s">
        <v>5722</v>
      </c>
      <c r="E2791" s="4">
        <v>2513927</v>
      </c>
      <c r="F2791" s="4" t="s">
        <v>5723</v>
      </c>
      <c r="G2791" s="4" t="s">
        <v>243</v>
      </c>
      <c r="H2791" s="4"/>
    </row>
    <row r="2792" s="1" customFormat="1" spans="1:8">
      <c r="A2792" s="4" t="s">
        <v>205</v>
      </c>
      <c r="B2792" s="4" t="s">
        <v>57</v>
      </c>
      <c r="C2792" s="4" t="s">
        <v>68</v>
      </c>
      <c r="D2792" s="4" t="s">
        <v>2736</v>
      </c>
      <c r="E2792" s="4">
        <v>2513901</v>
      </c>
      <c r="F2792" s="4" t="s">
        <v>5724</v>
      </c>
      <c r="G2792" s="4" t="s">
        <v>243</v>
      </c>
      <c r="H2792" s="4"/>
    </row>
    <row r="2793" s="1" customFormat="1" spans="1:8">
      <c r="A2793" s="4" t="s">
        <v>205</v>
      </c>
      <c r="B2793" s="4" t="s">
        <v>57</v>
      </c>
      <c r="C2793" s="4" t="s">
        <v>68</v>
      </c>
      <c r="D2793" s="4" t="s">
        <v>847</v>
      </c>
      <c r="E2793" s="4">
        <v>2513968</v>
      </c>
      <c r="F2793" s="4" t="s">
        <v>5725</v>
      </c>
      <c r="G2793" s="4" t="s">
        <v>243</v>
      </c>
      <c r="H2793" s="4"/>
    </row>
    <row r="2794" s="1" customFormat="1" spans="1:8">
      <c r="A2794" s="4" t="s">
        <v>205</v>
      </c>
      <c r="B2794" s="4" t="s">
        <v>57</v>
      </c>
      <c r="C2794" s="4" t="s">
        <v>68</v>
      </c>
      <c r="D2794" s="4" t="s">
        <v>4268</v>
      </c>
      <c r="E2794" s="4">
        <v>2513984</v>
      </c>
      <c r="F2794" s="4" t="s">
        <v>5726</v>
      </c>
      <c r="G2794" s="4" t="s">
        <v>243</v>
      </c>
      <c r="H2794" s="4"/>
    </row>
    <row r="2795" s="1" customFormat="1" spans="1:8">
      <c r="A2795" s="4" t="s">
        <v>205</v>
      </c>
      <c r="B2795" s="4" t="s">
        <v>57</v>
      </c>
      <c r="C2795" s="4" t="s">
        <v>68</v>
      </c>
      <c r="D2795" s="4" t="s">
        <v>5727</v>
      </c>
      <c r="E2795" s="4">
        <v>2514206</v>
      </c>
      <c r="F2795" s="4" t="s">
        <v>5728</v>
      </c>
      <c r="G2795" s="4" t="s">
        <v>243</v>
      </c>
      <c r="H2795" s="4"/>
    </row>
    <row r="2796" s="1" customFormat="1" spans="1:8">
      <c r="A2796" s="4" t="s">
        <v>205</v>
      </c>
      <c r="B2796" s="4" t="s">
        <v>57</v>
      </c>
      <c r="C2796" s="4" t="s">
        <v>68</v>
      </c>
      <c r="D2796" s="4" t="s">
        <v>5729</v>
      </c>
      <c r="E2796" s="4">
        <v>2514305</v>
      </c>
      <c r="F2796" s="4" t="s">
        <v>5730</v>
      </c>
      <c r="G2796" s="4" t="s">
        <v>243</v>
      </c>
      <c r="H2796" s="4"/>
    </row>
    <row r="2797" s="1" customFormat="1" spans="1:8">
      <c r="A2797" s="4" t="s">
        <v>205</v>
      </c>
      <c r="B2797" s="4" t="s">
        <v>57</v>
      </c>
      <c r="C2797" s="4" t="s">
        <v>68</v>
      </c>
      <c r="D2797" s="4" t="s">
        <v>5731</v>
      </c>
      <c r="E2797" s="4">
        <v>2514503</v>
      </c>
      <c r="F2797" s="4" t="s">
        <v>5732</v>
      </c>
      <c r="G2797" s="4" t="s">
        <v>243</v>
      </c>
      <c r="H2797" s="4"/>
    </row>
    <row r="2798" s="1" customFormat="1" spans="1:8">
      <c r="A2798" s="4" t="s">
        <v>205</v>
      </c>
      <c r="B2798" s="4" t="s">
        <v>57</v>
      </c>
      <c r="C2798" s="4" t="s">
        <v>68</v>
      </c>
      <c r="D2798" s="4" t="s">
        <v>5733</v>
      </c>
      <c r="E2798" s="4">
        <v>2514552</v>
      </c>
      <c r="F2798" s="4" t="s">
        <v>5734</v>
      </c>
      <c r="G2798" s="4" t="s">
        <v>243</v>
      </c>
      <c r="H2798" s="4"/>
    </row>
    <row r="2799" s="1" customFormat="1" spans="1:8">
      <c r="A2799" s="4" t="s">
        <v>205</v>
      </c>
      <c r="B2799" s="4" t="s">
        <v>57</v>
      </c>
      <c r="C2799" s="4" t="s">
        <v>68</v>
      </c>
      <c r="D2799" s="4" t="s">
        <v>5735</v>
      </c>
      <c r="E2799" s="4">
        <v>2514651</v>
      </c>
      <c r="F2799" s="4" t="s">
        <v>5736</v>
      </c>
      <c r="G2799" s="4" t="s">
        <v>243</v>
      </c>
      <c r="H2799" s="4"/>
    </row>
    <row r="2800" s="1" customFormat="1" spans="1:8">
      <c r="A2800" s="4" t="s">
        <v>205</v>
      </c>
      <c r="B2800" s="4" t="s">
        <v>57</v>
      </c>
      <c r="C2800" s="4" t="s">
        <v>68</v>
      </c>
      <c r="D2800" s="4" t="s">
        <v>5737</v>
      </c>
      <c r="E2800" s="4">
        <v>2500700</v>
      </c>
      <c r="F2800" s="4" t="s">
        <v>5738</v>
      </c>
      <c r="G2800" s="4" t="s">
        <v>243</v>
      </c>
      <c r="H2800" s="4"/>
    </row>
    <row r="2801" s="1" customFormat="1" spans="1:8">
      <c r="A2801" s="4" t="s">
        <v>205</v>
      </c>
      <c r="B2801" s="4" t="s">
        <v>57</v>
      </c>
      <c r="C2801" s="4" t="s">
        <v>68</v>
      </c>
      <c r="D2801" s="4" t="s">
        <v>5739</v>
      </c>
      <c r="E2801" s="4">
        <v>2516607</v>
      </c>
      <c r="F2801" s="4" t="s">
        <v>5740</v>
      </c>
      <c r="G2801" s="4" t="s">
        <v>243</v>
      </c>
      <c r="H2801" s="4"/>
    </row>
    <row r="2802" s="1" customFormat="1" spans="1:8">
      <c r="A2802" s="4" t="s">
        <v>205</v>
      </c>
      <c r="B2802" s="4" t="s">
        <v>57</v>
      </c>
      <c r="C2802" s="4" t="s">
        <v>68</v>
      </c>
      <c r="D2802" s="4" t="s">
        <v>5741</v>
      </c>
      <c r="E2802" s="4">
        <v>2516805</v>
      </c>
      <c r="F2802" s="4" t="s">
        <v>5742</v>
      </c>
      <c r="G2802" s="4" t="s">
        <v>243</v>
      </c>
      <c r="H2802" s="4"/>
    </row>
    <row r="2803" s="1" customFormat="1" spans="1:8">
      <c r="A2803" s="4" t="s">
        <v>205</v>
      </c>
      <c r="B2803" s="4" t="s">
        <v>57</v>
      </c>
      <c r="C2803" s="4" t="s">
        <v>68</v>
      </c>
      <c r="D2803" s="4" t="s">
        <v>5743</v>
      </c>
      <c r="E2803" s="4">
        <v>2516904</v>
      </c>
      <c r="F2803" s="4" t="s">
        <v>5744</v>
      </c>
      <c r="G2803" s="4" t="s">
        <v>243</v>
      </c>
      <c r="H2803" s="4"/>
    </row>
    <row r="2804" s="1" customFormat="1" spans="1:8">
      <c r="A2804" s="4" t="s">
        <v>205</v>
      </c>
      <c r="B2804" s="4" t="s">
        <v>57</v>
      </c>
      <c r="C2804" s="4" t="s">
        <v>68</v>
      </c>
      <c r="D2804" s="4" t="s">
        <v>5745</v>
      </c>
      <c r="E2804" s="4">
        <v>2517209</v>
      </c>
      <c r="F2804" s="4" t="s">
        <v>5746</v>
      </c>
      <c r="G2804" s="4" t="s">
        <v>243</v>
      </c>
      <c r="H2804" s="4"/>
    </row>
    <row r="2805" s="1" customFormat="1" spans="1:8">
      <c r="A2805" s="4" t="s">
        <v>205</v>
      </c>
      <c r="B2805" s="4" t="s">
        <v>57</v>
      </c>
      <c r="C2805" s="4" t="s">
        <v>68</v>
      </c>
      <c r="D2805" s="4" t="s">
        <v>5747</v>
      </c>
      <c r="E2805" s="4">
        <v>2505501</v>
      </c>
      <c r="F2805" s="4" t="s">
        <v>5748</v>
      </c>
      <c r="G2805" s="4" t="s">
        <v>243</v>
      </c>
      <c r="H2805" s="4"/>
    </row>
    <row r="2806" s="1" customFormat="1" spans="1:8">
      <c r="A2806" s="4" t="s">
        <v>205</v>
      </c>
      <c r="B2806" s="4" t="s">
        <v>57</v>
      </c>
      <c r="C2806" s="4" t="s">
        <v>68</v>
      </c>
      <c r="D2806" s="4" t="s">
        <v>453</v>
      </c>
      <c r="E2806" s="4">
        <v>2500106</v>
      </c>
      <c r="F2806" s="4" t="s">
        <v>5749</v>
      </c>
      <c r="G2806" s="4" t="s">
        <v>243</v>
      </c>
      <c r="H2806" s="4"/>
    </row>
    <row r="2807" s="1" customFormat="1" spans="1:8">
      <c r="A2807" s="4" t="s">
        <v>205</v>
      </c>
      <c r="B2807" s="4" t="s">
        <v>57</v>
      </c>
      <c r="C2807" s="4" t="s">
        <v>70</v>
      </c>
      <c r="D2807" s="4" t="s">
        <v>71</v>
      </c>
      <c r="E2807" s="4">
        <v>2611606</v>
      </c>
      <c r="F2807" s="4" t="s">
        <v>5750</v>
      </c>
      <c r="G2807" s="4" t="s">
        <v>207</v>
      </c>
      <c r="H2807" s="4"/>
    </row>
    <row r="2808" s="1" customFormat="1" spans="1:8">
      <c r="A2808" s="4" t="s">
        <v>205</v>
      </c>
      <c r="B2808" s="4" t="s">
        <v>57</v>
      </c>
      <c r="C2808" s="4" t="s">
        <v>70</v>
      </c>
      <c r="D2808" s="4" t="s">
        <v>5751</v>
      </c>
      <c r="E2808" s="4">
        <v>2600054</v>
      </c>
      <c r="F2808" s="4" t="s">
        <v>5752</v>
      </c>
      <c r="G2808" s="4" t="s">
        <v>210</v>
      </c>
      <c r="H2808" s="4"/>
    </row>
    <row r="2809" s="1" customFormat="1" spans="1:8">
      <c r="A2809" s="4" t="s">
        <v>205</v>
      </c>
      <c r="B2809" s="4" t="s">
        <v>57</v>
      </c>
      <c r="C2809" s="4" t="s">
        <v>70</v>
      </c>
      <c r="D2809" s="4" t="s">
        <v>5753</v>
      </c>
      <c r="E2809" s="4">
        <v>2602902</v>
      </c>
      <c r="F2809" s="4" t="s">
        <v>5754</v>
      </c>
      <c r="G2809" s="4" t="s">
        <v>210</v>
      </c>
      <c r="H2809" s="4"/>
    </row>
    <row r="2810" s="1" customFormat="1" spans="1:8">
      <c r="A2810" s="4" t="s">
        <v>205</v>
      </c>
      <c r="B2810" s="4" t="s">
        <v>57</v>
      </c>
      <c r="C2810" s="4" t="s">
        <v>70</v>
      </c>
      <c r="D2810" s="4" t="s">
        <v>5755</v>
      </c>
      <c r="E2810" s="4">
        <v>2603454</v>
      </c>
      <c r="F2810" s="4" t="s">
        <v>5756</v>
      </c>
      <c r="G2810" s="4" t="s">
        <v>210</v>
      </c>
      <c r="H2810" s="4"/>
    </row>
    <row r="2811" s="1" customFormat="1" spans="1:8">
      <c r="A2811" s="4" t="s">
        <v>205</v>
      </c>
      <c r="B2811" s="4" t="s">
        <v>57</v>
      </c>
      <c r="C2811" s="4" t="s">
        <v>70</v>
      </c>
      <c r="D2811" s="4" t="s">
        <v>5757</v>
      </c>
      <c r="E2811" s="4">
        <v>2606804</v>
      </c>
      <c r="F2811" s="4" t="s">
        <v>5758</v>
      </c>
      <c r="G2811" s="4" t="s">
        <v>210</v>
      </c>
      <c r="H2811" s="4"/>
    </row>
    <row r="2812" s="1" customFormat="1" spans="1:8">
      <c r="A2812" s="4" t="s">
        <v>205</v>
      </c>
      <c r="B2812" s="4" t="s">
        <v>57</v>
      </c>
      <c r="C2812" s="4" t="s">
        <v>70</v>
      </c>
      <c r="D2812" s="4" t="s">
        <v>5759</v>
      </c>
      <c r="E2812" s="4">
        <v>2607752</v>
      </c>
      <c r="F2812" s="4" t="s">
        <v>5760</v>
      </c>
      <c r="G2812" s="4" t="s">
        <v>210</v>
      </c>
      <c r="H2812" s="4"/>
    </row>
    <row r="2813" s="1" customFormat="1" spans="1:8">
      <c r="A2813" s="4" t="s">
        <v>205</v>
      </c>
      <c r="B2813" s="4" t="s">
        <v>57</v>
      </c>
      <c r="C2813" s="4" t="s">
        <v>70</v>
      </c>
      <c r="D2813" s="4" t="s">
        <v>5761</v>
      </c>
      <c r="E2813" s="4">
        <v>2607901</v>
      </c>
      <c r="F2813" s="4" t="s">
        <v>5762</v>
      </c>
      <c r="G2813" s="4" t="s">
        <v>210</v>
      </c>
      <c r="H2813" s="4"/>
    </row>
    <row r="2814" s="1" customFormat="1" spans="1:8">
      <c r="A2814" s="4" t="s">
        <v>205</v>
      </c>
      <c r="B2814" s="4" t="s">
        <v>57</v>
      </c>
      <c r="C2814" s="4" t="s">
        <v>70</v>
      </c>
      <c r="D2814" s="4" t="s">
        <v>5763</v>
      </c>
      <c r="E2814" s="4">
        <v>2609402</v>
      </c>
      <c r="F2814" s="4" t="s">
        <v>5764</v>
      </c>
      <c r="G2814" s="4" t="s">
        <v>210</v>
      </c>
      <c r="H2814" s="4"/>
    </row>
    <row r="2815" s="1" customFormat="1" spans="1:8">
      <c r="A2815" s="4" t="s">
        <v>205</v>
      </c>
      <c r="B2815" s="4" t="s">
        <v>57</v>
      </c>
      <c r="C2815" s="4" t="s">
        <v>70</v>
      </c>
      <c r="D2815" s="4" t="s">
        <v>5765</v>
      </c>
      <c r="E2815" s="4">
        <v>2609600</v>
      </c>
      <c r="F2815" s="4" t="s">
        <v>5766</v>
      </c>
      <c r="G2815" s="4" t="s">
        <v>210</v>
      </c>
      <c r="H2815" s="4"/>
    </row>
    <row r="2816" s="1" customFormat="1" spans="1:8">
      <c r="A2816" s="4" t="s">
        <v>205</v>
      </c>
      <c r="B2816" s="4" t="s">
        <v>57</v>
      </c>
      <c r="C2816" s="4" t="s">
        <v>70</v>
      </c>
      <c r="D2816" s="4" t="s">
        <v>5695</v>
      </c>
      <c r="E2816" s="4">
        <v>2610707</v>
      </c>
      <c r="F2816" s="4" t="s">
        <v>5767</v>
      </c>
      <c r="G2816" s="4" t="s">
        <v>210</v>
      </c>
      <c r="H2816" s="4"/>
    </row>
    <row r="2817" s="1" customFormat="1" spans="1:8">
      <c r="A2817" s="4" t="s">
        <v>205</v>
      </c>
      <c r="B2817" s="4" t="s">
        <v>57</v>
      </c>
      <c r="C2817" s="4" t="s">
        <v>70</v>
      </c>
      <c r="D2817" s="4" t="s">
        <v>5768</v>
      </c>
      <c r="E2817" s="4">
        <v>2613701</v>
      </c>
      <c r="F2817" s="4" t="s">
        <v>5769</v>
      </c>
      <c r="G2817" s="4" t="s">
        <v>210</v>
      </c>
      <c r="H2817" s="4"/>
    </row>
    <row r="2818" s="1" customFormat="1" spans="1:8">
      <c r="A2818" s="4" t="s">
        <v>205</v>
      </c>
      <c r="B2818" s="4" t="s">
        <v>57</v>
      </c>
      <c r="C2818" s="4" t="s">
        <v>70</v>
      </c>
      <c r="D2818" s="4" t="s">
        <v>5770</v>
      </c>
      <c r="E2818" s="4">
        <v>2600302</v>
      </c>
      <c r="F2818" s="4" t="s">
        <v>5771</v>
      </c>
      <c r="G2818" s="4" t="s">
        <v>215</v>
      </c>
      <c r="H2818" s="4"/>
    </row>
    <row r="2819" s="1" customFormat="1" spans="1:8">
      <c r="A2819" s="4" t="s">
        <v>205</v>
      </c>
      <c r="B2819" s="4" t="s">
        <v>57</v>
      </c>
      <c r="C2819" s="4" t="s">
        <v>70</v>
      </c>
      <c r="D2819" s="4" t="s">
        <v>5339</v>
      </c>
      <c r="E2819" s="4">
        <v>2600609</v>
      </c>
      <c r="F2819" s="4" t="s">
        <v>5772</v>
      </c>
      <c r="G2819" s="4" t="s">
        <v>215</v>
      </c>
      <c r="H2819" s="4"/>
    </row>
    <row r="2820" s="1" customFormat="1" spans="1:8">
      <c r="A2820" s="4" t="s">
        <v>205</v>
      </c>
      <c r="B2820" s="4" t="s">
        <v>57</v>
      </c>
      <c r="C2820" s="4" t="s">
        <v>70</v>
      </c>
      <c r="D2820" s="4" t="s">
        <v>5773</v>
      </c>
      <c r="E2820" s="4">
        <v>2600708</v>
      </c>
      <c r="F2820" s="4" t="s">
        <v>5774</v>
      </c>
      <c r="G2820" s="4" t="s">
        <v>215</v>
      </c>
      <c r="H2820" s="4"/>
    </row>
    <row r="2821" s="1" customFormat="1" spans="1:8">
      <c r="A2821" s="4" t="s">
        <v>205</v>
      </c>
      <c r="B2821" s="4" t="s">
        <v>57</v>
      </c>
      <c r="C2821" s="4" t="s">
        <v>70</v>
      </c>
      <c r="D2821" s="4" t="s">
        <v>5775</v>
      </c>
      <c r="E2821" s="4">
        <v>2600807</v>
      </c>
      <c r="F2821" s="4" t="s">
        <v>5776</v>
      </c>
      <c r="G2821" s="4" t="s">
        <v>215</v>
      </c>
      <c r="H2821" s="4"/>
    </row>
    <row r="2822" s="1" customFormat="1" spans="1:8">
      <c r="A2822" s="4" t="s">
        <v>205</v>
      </c>
      <c r="B2822" s="4" t="s">
        <v>57</v>
      </c>
      <c r="C2822" s="4" t="s">
        <v>70</v>
      </c>
      <c r="D2822" s="4" t="s">
        <v>5777</v>
      </c>
      <c r="E2822" s="4">
        <v>2600906</v>
      </c>
      <c r="F2822" s="4" t="s">
        <v>5778</v>
      </c>
      <c r="G2822" s="4" t="s">
        <v>215</v>
      </c>
      <c r="H2822" s="4"/>
    </row>
    <row r="2823" s="1" customFormat="1" spans="1:8">
      <c r="A2823" s="4" t="s">
        <v>205</v>
      </c>
      <c r="B2823" s="4" t="s">
        <v>57</v>
      </c>
      <c r="C2823" s="4" t="s">
        <v>70</v>
      </c>
      <c r="D2823" s="4" t="s">
        <v>5779</v>
      </c>
      <c r="E2823" s="4">
        <v>2601003</v>
      </c>
      <c r="F2823" s="4" t="s">
        <v>5780</v>
      </c>
      <c r="G2823" s="4" t="s">
        <v>215</v>
      </c>
      <c r="H2823" s="4"/>
    </row>
    <row r="2824" s="1" customFormat="1" spans="1:8">
      <c r="A2824" s="4" t="s">
        <v>205</v>
      </c>
      <c r="B2824" s="4" t="s">
        <v>57</v>
      </c>
      <c r="C2824" s="4" t="s">
        <v>70</v>
      </c>
      <c r="D2824" s="4" t="s">
        <v>5781</v>
      </c>
      <c r="E2824" s="4">
        <v>2601052</v>
      </c>
      <c r="F2824" s="4" t="s">
        <v>5782</v>
      </c>
      <c r="G2824" s="4" t="s">
        <v>215</v>
      </c>
      <c r="H2824" s="4"/>
    </row>
    <row r="2825" s="1" customFormat="1" spans="1:8">
      <c r="A2825" s="4" t="s">
        <v>205</v>
      </c>
      <c r="B2825" s="4" t="s">
        <v>57</v>
      </c>
      <c r="C2825" s="4" t="s">
        <v>70</v>
      </c>
      <c r="D2825" s="4" t="s">
        <v>5783</v>
      </c>
      <c r="E2825" s="4">
        <v>2601201</v>
      </c>
      <c r="F2825" s="4" t="s">
        <v>5784</v>
      </c>
      <c r="G2825" s="4" t="s">
        <v>215</v>
      </c>
      <c r="H2825" s="4"/>
    </row>
    <row r="2826" s="1" customFormat="1" spans="1:8">
      <c r="A2826" s="4" t="s">
        <v>205</v>
      </c>
      <c r="B2826" s="4" t="s">
        <v>57</v>
      </c>
      <c r="C2826" s="4" t="s">
        <v>70</v>
      </c>
      <c r="D2826" s="4" t="s">
        <v>5785</v>
      </c>
      <c r="E2826" s="4">
        <v>2601300</v>
      </c>
      <c r="F2826" s="4" t="s">
        <v>5786</v>
      </c>
      <c r="G2826" s="4" t="s">
        <v>215</v>
      </c>
      <c r="H2826" s="4"/>
    </row>
    <row r="2827" s="1" customFormat="1" spans="1:8">
      <c r="A2827" s="4" t="s">
        <v>205</v>
      </c>
      <c r="B2827" s="4" t="s">
        <v>57</v>
      </c>
      <c r="C2827" s="4" t="s">
        <v>70</v>
      </c>
      <c r="D2827" s="4" t="s">
        <v>5787</v>
      </c>
      <c r="E2827" s="4">
        <v>2601409</v>
      </c>
      <c r="F2827" s="4" t="s">
        <v>5788</v>
      </c>
      <c r="G2827" s="4" t="s">
        <v>215</v>
      </c>
      <c r="H2827" s="4"/>
    </row>
    <row r="2828" s="1" customFormat="1" spans="1:8">
      <c r="A2828" s="4" t="s">
        <v>205</v>
      </c>
      <c r="B2828" s="4" t="s">
        <v>57</v>
      </c>
      <c r="C2828" s="4" t="s">
        <v>70</v>
      </c>
      <c r="D2828" s="4" t="s">
        <v>5789</v>
      </c>
      <c r="E2828" s="4">
        <v>2601706</v>
      </c>
      <c r="F2828" s="4" t="s">
        <v>5790</v>
      </c>
      <c r="G2828" s="4" t="s">
        <v>215</v>
      </c>
      <c r="H2828" s="4"/>
    </row>
    <row r="2829" s="1" customFormat="1" spans="1:8">
      <c r="A2829" s="4" t="s">
        <v>205</v>
      </c>
      <c r="B2829" s="4" t="s">
        <v>57</v>
      </c>
      <c r="C2829" s="4" t="s">
        <v>70</v>
      </c>
      <c r="D2829" s="4" t="s">
        <v>5791</v>
      </c>
      <c r="E2829" s="4">
        <v>2601508</v>
      </c>
      <c r="F2829" s="4" t="s">
        <v>5792</v>
      </c>
      <c r="G2829" s="4" t="s">
        <v>215</v>
      </c>
      <c r="H2829" s="4"/>
    </row>
    <row r="2830" s="1" customFormat="1" spans="1:8">
      <c r="A2830" s="4" t="s">
        <v>205</v>
      </c>
      <c r="B2830" s="4" t="s">
        <v>57</v>
      </c>
      <c r="C2830" s="4" t="s">
        <v>70</v>
      </c>
      <c r="D2830" s="4" t="s">
        <v>5793</v>
      </c>
      <c r="E2830" s="4">
        <v>2601904</v>
      </c>
      <c r="F2830" s="4" t="s">
        <v>5794</v>
      </c>
      <c r="G2830" s="4" t="s">
        <v>215</v>
      </c>
      <c r="H2830" s="4"/>
    </row>
    <row r="2831" s="1" customFormat="1" spans="1:8">
      <c r="A2831" s="4" t="s">
        <v>205</v>
      </c>
      <c r="B2831" s="4" t="s">
        <v>57</v>
      </c>
      <c r="C2831" s="4" t="s">
        <v>70</v>
      </c>
      <c r="D2831" s="4" t="s">
        <v>2792</v>
      </c>
      <c r="E2831" s="4">
        <v>2602209</v>
      </c>
      <c r="F2831" s="4" t="s">
        <v>5795</v>
      </c>
      <c r="G2831" s="4" t="s">
        <v>215</v>
      </c>
      <c r="H2831" s="4"/>
    </row>
    <row r="2832" s="1" customFormat="1" spans="1:8">
      <c r="A2832" s="4" t="s">
        <v>205</v>
      </c>
      <c r="B2832" s="4" t="s">
        <v>57</v>
      </c>
      <c r="C2832" s="4" t="s">
        <v>70</v>
      </c>
      <c r="D2832" s="4" t="s">
        <v>949</v>
      </c>
      <c r="E2832" s="4">
        <v>2602308</v>
      </c>
      <c r="F2832" s="4" t="s">
        <v>5796</v>
      </c>
      <c r="G2832" s="4" t="s">
        <v>215</v>
      </c>
      <c r="H2832" s="4"/>
    </row>
    <row r="2833" s="1" customFormat="1" spans="1:8">
      <c r="A2833" s="4" t="s">
        <v>205</v>
      </c>
      <c r="B2833" s="4" t="s">
        <v>57</v>
      </c>
      <c r="C2833" s="4" t="s">
        <v>70</v>
      </c>
      <c r="D2833" s="4" t="s">
        <v>5797</v>
      </c>
      <c r="E2833" s="4">
        <v>2602605</v>
      </c>
      <c r="F2833" s="4" t="s">
        <v>5798</v>
      </c>
      <c r="G2833" s="4" t="s">
        <v>215</v>
      </c>
      <c r="H2833" s="4"/>
    </row>
    <row r="2834" s="1" customFormat="1" spans="1:8">
      <c r="A2834" s="4" t="s">
        <v>205</v>
      </c>
      <c r="B2834" s="4" t="s">
        <v>57</v>
      </c>
      <c r="C2834" s="4" t="s">
        <v>70</v>
      </c>
      <c r="D2834" s="4" t="s">
        <v>5799</v>
      </c>
      <c r="E2834" s="4">
        <v>2602407</v>
      </c>
      <c r="F2834" s="4" t="s">
        <v>5800</v>
      </c>
      <c r="G2834" s="4" t="s">
        <v>215</v>
      </c>
      <c r="H2834" s="4"/>
    </row>
    <row r="2835" s="1" customFormat="1" spans="1:8">
      <c r="A2835" s="4" t="s">
        <v>205</v>
      </c>
      <c r="B2835" s="4" t="s">
        <v>57</v>
      </c>
      <c r="C2835" s="4" t="s">
        <v>70</v>
      </c>
      <c r="D2835" s="4" t="s">
        <v>5801</v>
      </c>
      <c r="E2835" s="4">
        <v>2602704</v>
      </c>
      <c r="F2835" s="4" t="s">
        <v>5802</v>
      </c>
      <c r="G2835" s="4" t="s">
        <v>215</v>
      </c>
      <c r="H2835" s="4"/>
    </row>
    <row r="2836" s="1" customFormat="1" spans="1:8">
      <c r="A2836" s="4" t="s">
        <v>205</v>
      </c>
      <c r="B2836" s="4" t="s">
        <v>57</v>
      </c>
      <c r="C2836" s="4" t="s">
        <v>70</v>
      </c>
      <c r="D2836" s="4" t="s">
        <v>5803</v>
      </c>
      <c r="E2836" s="4">
        <v>2603108</v>
      </c>
      <c r="F2836" s="4" t="s">
        <v>5804</v>
      </c>
      <c r="G2836" s="4" t="s">
        <v>215</v>
      </c>
      <c r="H2836" s="4"/>
    </row>
    <row r="2837" s="1" customFormat="1" spans="1:8">
      <c r="A2837" s="4" t="s">
        <v>205</v>
      </c>
      <c r="B2837" s="4" t="s">
        <v>57</v>
      </c>
      <c r="C2837" s="4" t="s">
        <v>70</v>
      </c>
      <c r="D2837" s="4" t="s">
        <v>5805</v>
      </c>
      <c r="E2837" s="4">
        <v>2603207</v>
      </c>
      <c r="F2837" s="4" t="s">
        <v>5806</v>
      </c>
      <c r="G2837" s="4" t="s">
        <v>215</v>
      </c>
      <c r="H2837" s="4"/>
    </row>
    <row r="2838" s="1" customFormat="1" spans="1:8">
      <c r="A2838" s="4" t="s">
        <v>205</v>
      </c>
      <c r="B2838" s="4" t="s">
        <v>57</v>
      </c>
      <c r="C2838" s="4" t="s">
        <v>70</v>
      </c>
      <c r="D2838" s="4" t="s">
        <v>5807</v>
      </c>
      <c r="E2838" s="4">
        <v>2603306</v>
      </c>
      <c r="F2838" s="4" t="s">
        <v>5808</v>
      </c>
      <c r="G2838" s="4" t="s">
        <v>215</v>
      </c>
      <c r="H2838" s="4"/>
    </row>
    <row r="2839" s="1" customFormat="1" spans="1:8">
      <c r="A2839" s="4" t="s">
        <v>205</v>
      </c>
      <c r="B2839" s="4" t="s">
        <v>57</v>
      </c>
      <c r="C2839" s="4" t="s">
        <v>70</v>
      </c>
      <c r="D2839" s="4" t="s">
        <v>5809</v>
      </c>
      <c r="E2839" s="4">
        <v>2603504</v>
      </c>
      <c r="F2839" s="4" t="s">
        <v>5810</v>
      </c>
      <c r="G2839" s="4" t="s">
        <v>215</v>
      </c>
      <c r="H2839" s="4"/>
    </row>
    <row r="2840" s="1" customFormat="1" spans="1:8">
      <c r="A2840" s="4" t="s">
        <v>205</v>
      </c>
      <c r="B2840" s="4" t="s">
        <v>57</v>
      </c>
      <c r="C2840" s="4" t="s">
        <v>70</v>
      </c>
      <c r="D2840" s="4" t="s">
        <v>5811</v>
      </c>
      <c r="E2840" s="4">
        <v>2603603</v>
      </c>
      <c r="F2840" s="4" t="s">
        <v>5812</v>
      </c>
      <c r="G2840" s="4" t="s">
        <v>215</v>
      </c>
      <c r="H2840" s="4"/>
    </row>
    <row r="2841" s="1" customFormat="1" spans="1:8">
      <c r="A2841" s="4" t="s">
        <v>205</v>
      </c>
      <c r="B2841" s="4" t="s">
        <v>57</v>
      </c>
      <c r="C2841" s="4" t="s">
        <v>70</v>
      </c>
      <c r="D2841" s="4" t="s">
        <v>5813</v>
      </c>
      <c r="E2841" s="4">
        <v>2603702</v>
      </c>
      <c r="F2841" s="4" t="s">
        <v>5814</v>
      </c>
      <c r="G2841" s="4" t="s">
        <v>215</v>
      </c>
      <c r="H2841" s="4"/>
    </row>
    <row r="2842" s="1" customFormat="1" spans="1:8">
      <c r="A2842" s="4" t="s">
        <v>205</v>
      </c>
      <c r="B2842" s="4" t="s">
        <v>57</v>
      </c>
      <c r="C2842" s="4" t="s">
        <v>70</v>
      </c>
      <c r="D2842" s="4" t="s">
        <v>5815</v>
      </c>
      <c r="E2842" s="4">
        <v>2603801</v>
      </c>
      <c r="F2842" s="4" t="s">
        <v>5816</v>
      </c>
      <c r="G2842" s="4" t="s">
        <v>215</v>
      </c>
      <c r="H2842" s="4"/>
    </row>
    <row r="2843" s="1" customFormat="1" spans="1:8">
      <c r="A2843" s="4" t="s">
        <v>205</v>
      </c>
      <c r="B2843" s="4" t="s">
        <v>57</v>
      </c>
      <c r="C2843" s="4" t="s">
        <v>70</v>
      </c>
      <c r="D2843" s="4" t="s">
        <v>5817</v>
      </c>
      <c r="E2843" s="4">
        <v>2604007</v>
      </c>
      <c r="F2843" s="4" t="s">
        <v>5818</v>
      </c>
      <c r="G2843" s="4" t="s">
        <v>215</v>
      </c>
      <c r="H2843" s="4"/>
    </row>
    <row r="2844" s="1" customFormat="1" spans="1:8">
      <c r="A2844" s="4" t="s">
        <v>205</v>
      </c>
      <c r="B2844" s="4" t="s">
        <v>57</v>
      </c>
      <c r="C2844" s="4" t="s">
        <v>70</v>
      </c>
      <c r="D2844" s="4" t="s">
        <v>5819</v>
      </c>
      <c r="E2844" s="4">
        <v>2604106</v>
      </c>
      <c r="F2844" s="4" t="s">
        <v>5820</v>
      </c>
      <c r="G2844" s="4" t="s">
        <v>215</v>
      </c>
      <c r="H2844" s="4"/>
    </row>
    <row r="2845" s="1" customFormat="1" spans="1:8">
      <c r="A2845" s="4" t="s">
        <v>205</v>
      </c>
      <c r="B2845" s="4" t="s">
        <v>57</v>
      </c>
      <c r="C2845" s="4" t="s">
        <v>70</v>
      </c>
      <c r="D2845" s="4" t="s">
        <v>5821</v>
      </c>
      <c r="E2845" s="4">
        <v>2604155</v>
      </c>
      <c r="F2845" s="4" t="s">
        <v>5822</v>
      </c>
      <c r="G2845" s="4" t="s">
        <v>215</v>
      </c>
      <c r="H2845" s="4"/>
    </row>
    <row r="2846" s="1" customFormat="1" spans="1:8">
      <c r="A2846" s="4" t="s">
        <v>205</v>
      </c>
      <c r="B2846" s="4" t="s">
        <v>57</v>
      </c>
      <c r="C2846" s="4" t="s">
        <v>70</v>
      </c>
      <c r="D2846" s="4" t="s">
        <v>5823</v>
      </c>
      <c r="E2846" s="4">
        <v>2604205</v>
      </c>
      <c r="F2846" s="4" t="s">
        <v>5824</v>
      </c>
      <c r="G2846" s="4" t="s">
        <v>215</v>
      </c>
      <c r="H2846" s="4"/>
    </row>
    <row r="2847" s="1" customFormat="1" spans="1:8">
      <c r="A2847" s="4" t="s">
        <v>205</v>
      </c>
      <c r="B2847" s="4" t="s">
        <v>57</v>
      </c>
      <c r="C2847" s="4" t="s">
        <v>70</v>
      </c>
      <c r="D2847" s="4" t="s">
        <v>5825</v>
      </c>
      <c r="E2847" s="4">
        <v>2604403</v>
      </c>
      <c r="F2847" s="4" t="s">
        <v>5826</v>
      </c>
      <c r="G2847" s="4" t="s">
        <v>215</v>
      </c>
      <c r="H2847" s="4"/>
    </row>
    <row r="2848" s="1" customFormat="1" spans="1:8">
      <c r="A2848" s="4" t="s">
        <v>205</v>
      </c>
      <c r="B2848" s="4" t="s">
        <v>57</v>
      </c>
      <c r="C2848" s="4" t="s">
        <v>70</v>
      </c>
      <c r="D2848" s="4" t="s">
        <v>5827</v>
      </c>
      <c r="E2848" s="4">
        <v>2604502</v>
      </c>
      <c r="F2848" s="4" t="s">
        <v>5828</v>
      </c>
      <c r="G2848" s="4" t="s">
        <v>215</v>
      </c>
      <c r="H2848" s="4"/>
    </row>
    <row r="2849" s="1" customFormat="1" spans="1:8">
      <c r="A2849" s="4" t="s">
        <v>205</v>
      </c>
      <c r="B2849" s="4" t="s">
        <v>57</v>
      </c>
      <c r="C2849" s="4" t="s">
        <v>70</v>
      </c>
      <c r="D2849" s="4" t="s">
        <v>5650</v>
      </c>
      <c r="E2849" s="4">
        <v>2604601</v>
      </c>
      <c r="F2849" s="4" t="s">
        <v>5829</v>
      </c>
      <c r="G2849" s="4" t="s">
        <v>215</v>
      </c>
      <c r="H2849" s="4"/>
    </row>
    <row r="2850" s="1" customFormat="1" spans="1:8">
      <c r="A2850" s="4" t="s">
        <v>205</v>
      </c>
      <c r="B2850" s="4" t="s">
        <v>57</v>
      </c>
      <c r="C2850" s="4" t="s">
        <v>70</v>
      </c>
      <c r="D2850" s="4" t="s">
        <v>5830</v>
      </c>
      <c r="E2850" s="4">
        <v>2604700</v>
      </c>
      <c r="F2850" s="4" t="s">
        <v>5831</v>
      </c>
      <c r="G2850" s="4" t="s">
        <v>215</v>
      </c>
      <c r="H2850" s="4"/>
    </row>
    <row r="2851" s="1" customFormat="1" spans="1:8">
      <c r="A2851" s="4" t="s">
        <v>205</v>
      </c>
      <c r="B2851" s="4" t="s">
        <v>57</v>
      </c>
      <c r="C2851" s="4" t="s">
        <v>70</v>
      </c>
      <c r="D2851" s="4" t="s">
        <v>5832</v>
      </c>
      <c r="E2851" s="4">
        <v>2604809</v>
      </c>
      <c r="F2851" s="4" t="s">
        <v>5833</v>
      </c>
      <c r="G2851" s="4" t="s">
        <v>215</v>
      </c>
      <c r="H2851" s="4"/>
    </row>
    <row r="2852" s="1" customFormat="1" spans="1:8">
      <c r="A2852" s="4" t="s">
        <v>205</v>
      </c>
      <c r="B2852" s="4" t="s">
        <v>57</v>
      </c>
      <c r="C2852" s="4" t="s">
        <v>70</v>
      </c>
      <c r="D2852" s="4" t="s">
        <v>5834</v>
      </c>
      <c r="E2852" s="4">
        <v>2604908</v>
      </c>
      <c r="F2852" s="4" t="s">
        <v>5835</v>
      </c>
      <c r="G2852" s="4" t="s">
        <v>215</v>
      </c>
      <c r="H2852" s="4"/>
    </row>
    <row r="2853" s="1" customFormat="1" spans="1:8">
      <c r="A2853" s="4" t="s">
        <v>205</v>
      </c>
      <c r="B2853" s="4" t="s">
        <v>57</v>
      </c>
      <c r="C2853" s="4" t="s">
        <v>70</v>
      </c>
      <c r="D2853" s="4" t="s">
        <v>5836</v>
      </c>
      <c r="E2853" s="4">
        <v>2605004</v>
      </c>
      <c r="F2853" s="4" t="s">
        <v>5837</v>
      </c>
      <c r="G2853" s="4" t="s">
        <v>215</v>
      </c>
      <c r="H2853" s="4"/>
    </row>
    <row r="2854" s="1" customFormat="1" spans="1:8">
      <c r="A2854" s="4" t="s">
        <v>205</v>
      </c>
      <c r="B2854" s="4" t="s">
        <v>57</v>
      </c>
      <c r="C2854" s="4" t="s">
        <v>70</v>
      </c>
      <c r="D2854" s="4" t="s">
        <v>5838</v>
      </c>
      <c r="E2854" s="4">
        <v>2605202</v>
      </c>
      <c r="F2854" s="4" t="s">
        <v>5839</v>
      </c>
      <c r="G2854" s="4" t="s">
        <v>215</v>
      </c>
      <c r="H2854" s="4"/>
    </row>
    <row r="2855" s="1" customFormat="1" spans="1:8">
      <c r="A2855" s="4" t="s">
        <v>205</v>
      </c>
      <c r="B2855" s="4" t="s">
        <v>57</v>
      </c>
      <c r="C2855" s="4" t="s">
        <v>70</v>
      </c>
      <c r="D2855" s="4" t="s">
        <v>5840</v>
      </c>
      <c r="E2855" s="4">
        <v>2605400</v>
      </c>
      <c r="F2855" s="4" t="s">
        <v>5841</v>
      </c>
      <c r="G2855" s="4" t="s">
        <v>215</v>
      </c>
      <c r="H2855" s="4"/>
    </row>
    <row r="2856" s="1" customFormat="1" spans="1:8">
      <c r="A2856" s="4" t="s">
        <v>205</v>
      </c>
      <c r="B2856" s="4" t="s">
        <v>57</v>
      </c>
      <c r="C2856" s="4" t="s">
        <v>70</v>
      </c>
      <c r="D2856" s="4" t="s">
        <v>5842</v>
      </c>
      <c r="E2856" s="4">
        <v>2605509</v>
      </c>
      <c r="F2856" s="4" t="s">
        <v>5843</v>
      </c>
      <c r="G2856" s="4" t="s">
        <v>215</v>
      </c>
      <c r="H2856" s="4"/>
    </row>
    <row r="2857" s="1" customFormat="1" spans="1:8">
      <c r="A2857" s="4" t="s">
        <v>205</v>
      </c>
      <c r="B2857" s="4" t="s">
        <v>57</v>
      </c>
      <c r="C2857" s="4" t="s">
        <v>70</v>
      </c>
      <c r="D2857" s="4" t="s">
        <v>5844</v>
      </c>
      <c r="E2857" s="4">
        <v>2605806</v>
      </c>
      <c r="F2857" s="4" t="s">
        <v>5845</v>
      </c>
      <c r="G2857" s="4" t="s">
        <v>215</v>
      </c>
      <c r="H2857" s="4"/>
    </row>
    <row r="2858" s="1" customFormat="1" spans="1:8">
      <c r="A2858" s="4" t="s">
        <v>205</v>
      </c>
      <c r="B2858" s="4" t="s">
        <v>57</v>
      </c>
      <c r="C2858" s="4" t="s">
        <v>70</v>
      </c>
      <c r="D2858" s="4" t="s">
        <v>5846</v>
      </c>
      <c r="E2858" s="4">
        <v>2605905</v>
      </c>
      <c r="F2858" s="4" t="s">
        <v>5847</v>
      </c>
      <c r="G2858" s="4" t="s">
        <v>215</v>
      </c>
      <c r="H2858" s="4"/>
    </row>
    <row r="2859" s="1" customFormat="1" spans="1:8">
      <c r="A2859" s="4" t="s">
        <v>205</v>
      </c>
      <c r="B2859" s="4" t="s">
        <v>57</v>
      </c>
      <c r="C2859" s="4" t="s">
        <v>70</v>
      </c>
      <c r="D2859" s="4" t="s">
        <v>5848</v>
      </c>
      <c r="E2859" s="4">
        <v>2606002</v>
      </c>
      <c r="F2859" s="4" t="s">
        <v>5849</v>
      </c>
      <c r="G2859" s="4" t="s">
        <v>215</v>
      </c>
      <c r="H2859" s="4"/>
    </row>
    <row r="2860" s="1" customFormat="1" spans="1:8">
      <c r="A2860" s="4" t="s">
        <v>205</v>
      </c>
      <c r="B2860" s="4" t="s">
        <v>57</v>
      </c>
      <c r="C2860" s="4" t="s">
        <v>70</v>
      </c>
      <c r="D2860" s="4" t="s">
        <v>5850</v>
      </c>
      <c r="E2860" s="4">
        <v>2606101</v>
      </c>
      <c r="F2860" s="4" t="s">
        <v>5851</v>
      </c>
      <c r="G2860" s="4" t="s">
        <v>215</v>
      </c>
      <c r="H2860" s="4"/>
    </row>
    <row r="2861" s="1" customFormat="1" spans="1:8">
      <c r="A2861" s="4" t="s">
        <v>205</v>
      </c>
      <c r="B2861" s="4" t="s">
        <v>57</v>
      </c>
      <c r="C2861" s="4" t="s">
        <v>70</v>
      </c>
      <c r="D2861" s="4" t="s">
        <v>5852</v>
      </c>
      <c r="E2861" s="4">
        <v>2606200</v>
      </c>
      <c r="F2861" s="4" t="s">
        <v>5853</v>
      </c>
      <c r="G2861" s="4" t="s">
        <v>215</v>
      </c>
      <c r="H2861" s="4"/>
    </row>
    <row r="2862" s="1" customFormat="1" spans="1:8">
      <c r="A2862" s="4" t="s">
        <v>205</v>
      </c>
      <c r="B2862" s="4" t="s">
        <v>57</v>
      </c>
      <c r="C2862" s="4" t="s">
        <v>70</v>
      </c>
      <c r="D2862" s="4" t="s">
        <v>5854</v>
      </c>
      <c r="E2862" s="4">
        <v>2606408</v>
      </c>
      <c r="F2862" s="4" t="s">
        <v>5855</v>
      </c>
      <c r="G2862" s="4" t="s">
        <v>215</v>
      </c>
      <c r="H2862" s="4"/>
    </row>
    <row r="2863" s="1" customFormat="1" spans="1:8">
      <c r="A2863" s="4" t="s">
        <v>205</v>
      </c>
      <c r="B2863" s="4" t="s">
        <v>57</v>
      </c>
      <c r="C2863" s="4" t="s">
        <v>70</v>
      </c>
      <c r="D2863" s="4" t="s">
        <v>5856</v>
      </c>
      <c r="E2863" s="4">
        <v>2606705</v>
      </c>
      <c r="F2863" s="4" t="s">
        <v>5857</v>
      </c>
      <c r="G2863" s="4" t="s">
        <v>215</v>
      </c>
      <c r="H2863" s="4"/>
    </row>
    <row r="2864" s="1" customFormat="1" spans="1:8">
      <c r="A2864" s="4" t="s">
        <v>205</v>
      </c>
      <c r="B2864" s="4" t="s">
        <v>57</v>
      </c>
      <c r="C2864" s="4" t="s">
        <v>70</v>
      </c>
      <c r="D2864" s="4" t="s">
        <v>5858</v>
      </c>
      <c r="E2864" s="4">
        <v>2607604</v>
      </c>
      <c r="F2864" s="4" t="s">
        <v>5859</v>
      </c>
      <c r="G2864" s="4" t="s">
        <v>215</v>
      </c>
      <c r="H2864" s="4"/>
    </row>
    <row r="2865" s="1" customFormat="1" spans="1:8">
      <c r="A2865" s="4" t="s">
        <v>205</v>
      </c>
      <c r="B2865" s="4" t="s">
        <v>57</v>
      </c>
      <c r="C2865" s="4" t="s">
        <v>70</v>
      </c>
      <c r="D2865" s="4" t="s">
        <v>5860</v>
      </c>
      <c r="E2865" s="4">
        <v>2607208</v>
      </c>
      <c r="F2865" s="4" t="s">
        <v>5861</v>
      </c>
      <c r="G2865" s="4" t="s">
        <v>215</v>
      </c>
      <c r="H2865" s="4"/>
    </row>
    <row r="2866" s="1" customFormat="1" spans="1:8">
      <c r="A2866" s="4" t="s">
        <v>205</v>
      </c>
      <c r="B2866" s="4" t="s">
        <v>57</v>
      </c>
      <c r="C2866" s="4" t="s">
        <v>70</v>
      </c>
      <c r="D2866" s="4" t="s">
        <v>1077</v>
      </c>
      <c r="E2866" s="4">
        <v>2607653</v>
      </c>
      <c r="F2866" s="4" t="s">
        <v>5862</v>
      </c>
      <c r="G2866" s="4" t="s">
        <v>215</v>
      </c>
      <c r="H2866" s="4"/>
    </row>
    <row r="2867" s="1" customFormat="1" spans="1:8">
      <c r="A2867" s="4" t="s">
        <v>205</v>
      </c>
      <c r="B2867" s="4" t="s">
        <v>57</v>
      </c>
      <c r="C2867" s="4" t="s">
        <v>70</v>
      </c>
      <c r="D2867" s="4" t="s">
        <v>5863</v>
      </c>
      <c r="E2867" s="4">
        <v>2607802</v>
      </c>
      <c r="F2867" s="4" t="s">
        <v>5864</v>
      </c>
      <c r="G2867" s="4" t="s">
        <v>215</v>
      </c>
      <c r="H2867" s="4"/>
    </row>
    <row r="2868" s="1" customFormat="1" spans="1:8">
      <c r="A2868" s="4" t="s">
        <v>205</v>
      </c>
      <c r="B2868" s="4" t="s">
        <v>57</v>
      </c>
      <c r="C2868" s="4" t="s">
        <v>70</v>
      </c>
      <c r="D2868" s="4" t="s">
        <v>5865</v>
      </c>
      <c r="E2868" s="4">
        <v>2607950</v>
      </c>
      <c r="F2868" s="4" t="s">
        <v>5866</v>
      </c>
      <c r="G2868" s="4" t="s">
        <v>215</v>
      </c>
      <c r="H2868" s="4"/>
    </row>
    <row r="2869" s="1" customFormat="1" spans="1:8">
      <c r="A2869" s="4" t="s">
        <v>205</v>
      </c>
      <c r="B2869" s="4" t="s">
        <v>57</v>
      </c>
      <c r="C2869" s="4" t="s">
        <v>70</v>
      </c>
      <c r="D2869" s="4" t="s">
        <v>5867</v>
      </c>
      <c r="E2869" s="4">
        <v>2608008</v>
      </c>
      <c r="F2869" s="4" t="s">
        <v>5868</v>
      </c>
      <c r="G2869" s="4" t="s">
        <v>215</v>
      </c>
      <c r="H2869" s="4"/>
    </row>
    <row r="2870" s="1" customFormat="1" spans="1:8">
      <c r="A2870" s="4" t="s">
        <v>205</v>
      </c>
      <c r="B2870" s="4" t="s">
        <v>57</v>
      </c>
      <c r="C2870" s="4" t="s">
        <v>70</v>
      </c>
      <c r="D2870" s="4" t="s">
        <v>5869</v>
      </c>
      <c r="E2870" s="4">
        <v>2608206</v>
      </c>
      <c r="F2870" s="4" t="s">
        <v>5870</v>
      </c>
      <c r="G2870" s="4" t="s">
        <v>215</v>
      </c>
      <c r="H2870" s="4"/>
    </row>
    <row r="2871" s="1" customFormat="1" spans="1:8">
      <c r="A2871" s="4" t="s">
        <v>205</v>
      </c>
      <c r="B2871" s="4" t="s">
        <v>57</v>
      </c>
      <c r="C2871" s="4" t="s">
        <v>70</v>
      </c>
      <c r="D2871" s="4" t="s">
        <v>5871</v>
      </c>
      <c r="E2871" s="4">
        <v>2608107</v>
      </c>
      <c r="F2871" s="4" t="s">
        <v>5872</v>
      </c>
      <c r="G2871" s="4" t="s">
        <v>215</v>
      </c>
      <c r="H2871" s="4"/>
    </row>
    <row r="2872" s="1" customFormat="1" spans="1:8">
      <c r="A2872" s="4" t="s">
        <v>205</v>
      </c>
      <c r="B2872" s="4" t="s">
        <v>57</v>
      </c>
      <c r="C2872" s="4" t="s">
        <v>70</v>
      </c>
      <c r="D2872" s="4" t="s">
        <v>5873</v>
      </c>
      <c r="E2872" s="4">
        <v>2608255</v>
      </c>
      <c r="F2872" s="4" t="s">
        <v>5874</v>
      </c>
      <c r="G2872" s="4" t="s">
        <v>215</v>
      </c>
      <c r="H2872" s="4"/>
    </row>
    <row r="2873" s="1" customFormat="1" spans="1:8">
      <c r="A2873" s="4" t="s">
        <v>205</v>
      </c>
      <c r="B2873" s="4" t="s">
        <v>57</v>
      </c>
      <c r="C2873" s="4" t="s">
        <v>70</v>
      </c>
      <c r="D2873" s="4" t="s">
        <v>5875</v>
      </c>
      <c r="E2873" s="4">
        <v>2608305</v>
      </c>
      <c r="F2873" s="4" t="s">
        <v>5876</v>
      </c>
      <c r="G2873" s="4" t="s">
        <v>215</v>
      </c>
      <c r="H2873" s="4"/>
    </row>
    <row r="2874" s="1" customFormat="1" spans="1:8">
      <c r="A2874" s="4" t="s">
        <v>205</v>
      </c>
      <c r="B2874" s="4" t="s">
        <v>57</v>
      </c>
      <c r="C2874" s="4" t="s">
        <v>70</v>
      </c>
      <c r="D2874" s="4" t="s">
        <v>5877</v>
      </c>
      <c r="E2874" s="4">
        <v>2608404</v>
      </c>
      <c r="F2874" s="4" t="s">
        <v>5878</v>
      </c>
      <c r="G2874" s="4" t="s">
        <v>215</v>
      </c>
      <c r="H2874" s="4"/>
    </row>
    <row r="2875" s="1" customFormat="1" spans="1:8">
      <c r="A2875" s="4" t="s">
        <v>205</v>
      </c>
      <c r="B2875" s="4" t="s">
        <v>57</v>
      </c>
      <c r="C2875" s="4" t="s">
        <v>70</v>
      </c>
      <c r="D2875" s="4" t="s">
        <v>5879</v>
      </c>
      <c r="E2875" s="4">
        <v>2608453</v>
      </c>
      <c r="F2875" s="4" t="s">
        <v>5880</v>
      </c>
      <c r="G2875" s="4" t="s">
        <v>215</v>
      </c>
      <c r="H2875" s="4"/>
    </row>
    <row r="2876" s="1" customFormat="1" spans="1:8">
      <c r="A2876" s="4" t="s">
        <v>205</v>
      </c>
      <c r="B2876" s="4" t="s">
        <v>57</v>
      </c>
      <c r="C2876" s="4" t="s">
        <v>70</v>
      </c>
      <c r="D2876" s="7" t="s">
        <v>5881</v>
      </c>
      <c r="E2876" s="4">
        <v>2608503</v>
      </c>
      <c r="F2876" s="4" t="s">
        <v>5882</v>
      </c>
      <c r="G2876" s="4" t="s">
        <v>215</v>
      </c>
      <c r="H2876" s="4"/>
    </row>
    <row r="2877" s="1" customFormat="1" spans="1:8">
      <c r="A2877" s="4" t="s">
        <v>205</v>
      </c>
      <c r="B2877" s="4" t="s">
        <v>57</v>
      </c>
      <c r="C2877" s="4" t="s">
        <v>70</v>
      </c>
      <c r="D2877" s="4" t="s">
        <v>5883</v>
      </c>
      <c r="E2877" s="4">
        <v>2608602</v>
      </c>
      <c r="F2877" s="4" t="s">
        <v>5884</v>
      </c>
      <c r="G2877" s="4" t="s">
        <v>215</v>
      </c>
      <c r="H2877" s="4"/>
    </row>
    <row r="2878" s="1" customFormat="1" spans="1:8">
      <c r="A2878" s="4" t="s">
        <v>205</v>
      </c>
      <c r="B2878" s="4" t="s">
        <v>57</v>
      </c>
      <c r="C2878" s="4" t="s">
        <v>70</v>
      </c>
      <c r="D2878" s="4" t="s">
        <v>5885</v>
      </c>
      <c r="E2878" s="4">
        <v>2608701</v>
      </c>
      <c r="F2878" s="4" t="s">
        <v>5886</v>
      </c>
      <c r="G2878" s="4" t="s">
        <v>215</v>
      </c>
      <c r="H2878" s="4"/>
    </row>
    <row r="2879" s="1" customFormat="1" spans="1:8">
      <c r="A2879" s="4" t="s">
        <v>205</v>
      </c>
      <c r="B2879" s="4" t="s">
        <v>57</v>
      </c>
      <c r="C2879" s="4" t="s">
        <v>70</v>
      </c>
      <c r="D2879" s="4" t="s">
        <v>5887</v>
      </c>
      <c r="E2879" s="4">
        <v>2608800</v>
      </c>
      <c r="F2879" s="4" t="s">
        <v>5888</v>
      </c>
      <c r="G2879" s="4" t="s">
        <v>215</v>
      </c>
      <c r="H2879" s="4"/>
    </row>
    <row r="2880" s="1" customFormat="1" spans="1:8">
      <c r="A2880" s="4" t="s">
        <v>205</v>
      </c>
      <c r="B2880" s="4" t="s">
        <v>57</v>
      </c>
      <c r="C2880" s="4" t="s">
        <v>70</v>
      </c>
      <c r="D2880" s="4" t="s">
        <v>5889</v>
      </c>
      <c r="E2880" s="4">
        <v>2608909</v>
      </c>
      <c r="F2880" s="4" t="s">
        <v>5890</v>
      </c>
      <c r="G2880" s="4" t="s">
        <v>215</v>
      </c>
      <c r="H2880" s="4"/>
    </row>
    <row r="2881" s="1" customFormat="1" spans="1:8">
      <c r="A2881" s="4" t="s">
        <v>205</v>
      </c>
      <c r="B2881" s="4" t="s">
        <v>57</v>
      </c>
      <c r="C2881" s="4" t="s">
        <v>70</v>
      </c>
      <c r="D2881" s="4" t="s">
        <v>5891</v>
      </c>
      <c r="E2881" s="4">
        <v>2609006</v>
      </c>
      <c r="F2881" s="4" t="s">
        <v>5892</v>
      </c>
      <c r="G2881" s="4" t="s">
        <v>215</v>
      </c>
      <c r="H2881" s="4"/>
    </row>
    <row r="2882" s="1" customFormat="1" spans="1:8">
      <c r="A2882" s="4" t="s">
        <v>205</v>
      </c>
      <c r="B2882" s="4" t="s">
        <v>57</v>
      </c>
      <c r="C2882" s="4" t="s">
        <v>70</v>
      </c>
      <c r="D2882" s="4" t="s">
        <v>5893</v>
      </c>
      <c r="E2882" s="4">
        <v>2609105</v>
      </c>
      <c r="F2882" s="4" t="s">
        <v>5894</v>
      </c>
      <c r="G2882" s="4" t="s">
        <v>215</v>
      </c>
      <c r="H2882" s="4"/>
    </row>
    <row r="2883" s="1" customFormat="1" spans="1:8">
      <c r="A2883" s="4" t="s">
        <v>205</v>
      </c>
      <c r="B2883" s="4" t="s">
        <v>57</v>
      </c>
      <c r="C2883" s="4" t="s">
        <v>70</v>
      </c>
      <c r="D2883" s="4" t="s">
        <v>5895</v>
      </c>
      <c r="E2883" s="4">
        <v>2609204</v>
      </c>
      <c r="F2883" s="4" t="s">
        <v>5896</v>
      </c>
      <c r="G2883" s="4" t="s">
        <v>215</v>
      </c>
      <c r="H2883" s="4"/>
    </row>
    <row r="2884" s="1" customFormat="1" spans="1:8">
      <c r="A2884" s="4" t="s">
        <v>205</v>
      </c>
      <c r="B2884" s="4" t="s">
        <v>57</v>
      </c>
      <c r="C2884" s="4" t="s">
        <v>70</v>
      </c>
      <c r="D2884" s="4" t="s">
        <v>5897</v>
      </c>
      <c r="E2884" s="4">
        <v>2609501</v>
      </c>
      <c r="F2884" s="4" t="s">
        <v>5898</v>
      </c>
      <c r="G2884" s="4" t="s">
        <v>215</v>
      </c>
      <c r="H2884" s="4"/>
    </row>
    <row r="2885" s="1" customFormat="1" spans="1:8">
      <c r="A2885" s="4" t="s">
        <v>205</v>
      </c>
      <c r="B2885" s="4" t="s">
        <v>57</v>
      </c>
      <c r="C2885" s="4" t="s">
        <v>70</v>
      </c>
      <c r="D2885" s="4" t="s">
        <v>5899</v>
      </c>
      <c r="E2885" s="4">
        <v>2609709</v>
      </c>
      <c r="F2885" s="4" t="s">
        <v>5900</v>
      </c>
      <c r="G2885" s="4" t="s">
        <v>215</v>
      </c>
      <c r="H2885" s="4"/>
    </row>
    <row r="2886" s="1" customFormat="1" spans="1:8">
      <c r="A2886" s="4" t="s">
        <v>205</v>
      </c>
      <c r="B2886" s="4" t="s">
        <v>57</v>
      </c>
      <c r="C2886" s="4" t="s">
        <v>70</v>
      </c>
      <c r="D2886" s="4" t="s">
        <v>5901</v>
      </c>
      <c r="E2886" s="4">
        <v>2610004</v>
      </c>
      <c r="F2886" s="4" t="s">
        <v>5902</v>
      </c>
      <c r="G2886" s="4" t="s">
        <v>215</v>
      </c>
      <c r="H2886" s="4"/>
    </row>
    <row r="2887" s="1" customFormat="1" spans="1:8">
      <c r="A2887" s="4" t="s">
        <v>205</v>
      </c>
      <c r="B2887" s="4" t="s">
        <v>57</v>
      </c>
      <c r="C2887" s="4" t="s">
        <v>70</v>
      </c>
      <c r="D2887" s="4" t="s">
        <v>5903</v>
      </c>
      <c r="E2887" s="4">
        <v>2610103</v>
      </c>
      <c r="F2887" s="4" t="s">
        <v>5904</v>
      </c>
      <c r="G2887" s="4" t="s">
        <v>215</v>
      </c>
      <c r="H2887" s="4"/>
    </row>
    <row r="2888" s="1" customFormat="1" spans="1:8">
      <c r="A2888" s="4" t="s">
        <v>205</v>
      </c>
      <c r="B2888" s="4" t="s">
        <v>57</v>
      </c>
      <c r="C2888" s="4" t="s">
        <v>70</v>
      </c>
      <c r="D2888" s="4" t="s">
        <v>5905</v>
      </c>
      <c r="E2888" s="4">
        <v>2610202</v>
      </c>
      <c r="F2888" s="4" t="s">
        <v>5906</v>
      </c>
      <c r="G2888" s="4" t="s">
        <v>215</v>
      </c>
      <c r="H2888" s="4"/>
    </row>
    <row r="2889" s="1" customFormat="1" spans="1:8">
      <c r="A2889" s="4" t="s">
        <v>205</v>
      </c>
      <c r="B2889" s="4" t="s">
        <v>57</v>
      </c>
      <c r="C2889" s="4" t="s">
        <v>70</v>
      </c>
      <c r="D2889" s="4" t="s">
        <v>5907</v>
      </c>
      <c r="E2889" s="4">
        <v>2610301</v>
      </c>
      <c r="F2889" s="4" t="s">
        <v>5908</v>
      </c>
      <c r="G2889" s="4" t="s">
        <v>215</v>
      </c>
      <c r="H2889" s="4"/>
    </row>
    <row r="2890" s="1" customFormat="1" spans="1:8">
      <c r="A2890" s="4" t="s">
        <v>205</v>
      </c>
      <c r="B2890" s="4" t="s">
        <v>57</v>
      </c>
      <c r="C2890" s="4" t="s">
        <v>70</v>
      </c>
      <c r="D2890" s="4" t="s">
        <v>5909</v>
      </c>
      <c r="E2890" s="4">
        <v>2610509</v>
      </c>
      <c r="F2890" s="4" t="s">
        <v>5910</v>
      </c>
      <c r="G2890" s="4" t="s">
        <v>215</v>
      </c>
      <c r="H2890" s="4"/>
    </row>
    <row r="2891" s="1" customFormat="1" spans="1:8">
      <c r="A2891" s="4" t="s">
        <v>205</v>
      </c>
      <c r="B2891" s="4" t="s">
        <v>57</v>
      </c>
      <c r="C2891" s="4" t="s">
        <v>70</v>
      </c>
      <c r="D2891" s="4" t="s">
        <v>5911</v>
      </c>
      <c r="E2891" s="4">
        <v>2610608</v>
      </c>
      <c r="F2891" s="4" t="s">
        <v>5912</v>
      </c>
      <c r="G2891" s="4" t="s">
        <v>215</v>
      </c>
      <c r="H2891" s="4"/>
    </row>
    <row r="2892" s="1" customFormat="1" spans="1:8">
      <c r="A2892" s="4" t="s">
        <v>205</v>
      </c>
      <c r="B2892" s="4" t="s">
        <v>57</v>
      </c>
      <c r="C2892" s="4" t="s">
        <v>70</v>
      </c>
      <c r="D2892" s="4" t="s">
        <v>5913</v>
      </c>
      <c r="E2892" s="4">
        <v>2610806</v>
      </c>
      <c r="F2892" s="4" t="s">
        <v>5914</v>
      </c>
      <c r="G2892" s="4" t="s">
        <v>215</v>
      </c>
      <c r="H2892" s="4"/>
    </row>
    <row r="2893" s="1" customFormat="1" spans="1:8">
      <c r="A2893" s="4" t="s">
        <v>205</v>
      </c>
      <c r="B2893" s="4" t="s">
        <v>57</v>
      </c>
      <c r="C2893" s="4" t="s">
        <v>70</v>
      </c>
      <c r="D2893" s="4" t="s">
        <v>5915</v>
      </c>
      <c r="E2893" s="4">
        <v>2610905</v>
      </c>
      <c r="F2893" s="4" t="s">
        <v>5916</v>
      </c>
      <c r="G2893" s="4" t="s">
        <v>215</v>
      </c>
      <c r="H2893" s="4"/>
    </row>
    <row r="2894" s="1" customFormat="1" spans="1:8">
      <c r="A2894" s="4" t="s">
        <v>205</v>
      </c>
      <c r="B2894" s="4" t="s">
        <v>57</v>
      </c>
      <c r="C2894" s="4" t="s">
        <v>70</v>
      </c>
      <c r="D2894" s="4" t="s">
        <v>5917</v>
      </c>
      <c r="E2894" s="4">
        <v>2611309</v>
      </c>
      <c r="F2894" s="4" t="s">
        <v>5918</v>
      </c>
      <c r="G2894" s="4" t="s">
        <v>215</v>
      </c>
      <c r="H2894" s="4"/>
    </row>
    <row r="2895" s="1" customFormat="1" spans="1:8">
      <c r="A2895" s="4" t="s">
        <v>205</v>
      </c>
      <c r="B2895" s="4" t="s">
        <v>57</v>
      </c>
      <c r="C2895" s="4" t="s">
        <v>70</v>
      </c>
      <c r="D2895" s="4" t="s">
        <v>5919</v>
      </c>
      <c r="E2895" s="4">
        <v>2611200</v>
      </c>
      <c r="F2895" s="4" t="s">
        <v>5920</v>
      </c>
      <c r="G2895" s="4" t="s">
        <v>215</v>
      </c>
      <c r="H2895" s="4"/>
    </row>
    <row r="2896" s="1" customFormat="1" spans="1:8">
      <c r="A2896" s="4" t="s">
        <v>205</v>
      </c>
      <c r="B2896" s="4" t="s">
        <v>57</v>
      </c>
      <c r="C2896" s="4" t="s">
        <v>70</v>
      </c>
      <c r="D2896" s="4" t="s">
        <v>5213</v>
      </c>
      <c r="E2896" s="4" t="s">
        <v>5921</v>
      </c>
      <c r="F2896" s="4" t="s">
        <v>5922</v>
      </c>
      <c r="G2896" s="7" t="s">
        <v>215</v>
      </c>
      <c r="H2896" s="4"/>
    </row>
    <row r="2897" s="1" customFormat="1" spans="1:8">
      <c r="A2897" s="4" t="s">
        <v>205</v>
      </c>
      <c r="B2897" s="4" t="s">
        <v>57</v>
      </c>
      <c r="C2897" s="4" t="s">
        <v>70</v>
      </c>
      <c r="D2897" s="4" t="s">
        <v>5923</v>
      </c>
      <c r="E2897" s="4">
        <v>2611507</v>
      </c>
      <c r="F2897" s="4" t="s">
        <v>5924</v>
      </c>
      <c r="G2897" s="4" t="s">
        <v>215</v>
      </c>
      <c r="H2897" s="4"/>
    </row>
    <row r="2898" s="1" customFormat="1" spans="1:8">
      <c r="A2898" s="4" t="s">
        <v>205</v>
      </c>
      <c r="B2898" s="4" t="s">
        <v>57</v>
      </c>
      <c r="C2898" s="4" t="s">
        <v>70</v>
      </c>
      <c r="D2898" s="4" t="s">
        <v>5925</v>
      </c>
      <c r="E2898" s="4">
        <v>2611705</v>
      </c>
      <c r="F2898" s="4" t="s">
        <v>5926</v>
      </c>
      <c r="G2898" s="4" t="s">
        <v>215</v>
      </c>
      <c r="H2898" s="4"/>
    </row>
    <row r="2899" s="1" customFormat="1" spans="1:8">
      <c r="A2899" s="4" t="s">
        <v>205</v>
      </c>
      <c r="B2899" s="4" t="s">
        <v>57</v>
      </c>
      <c r="C2899" s="4" t="s">
        <v>70</v>
      </c>
      <c r="D2899" s="4" t="s">
        <v>5927</v>
      </c>
      <c r="E2899" s="4">
        <v>2611804</v>
      </c>
      <c r="F2899" s="4" t="s">
        <v>5928</v>
      </c>
      <c r="G2899" s="4" t="s">
        <v>215</v>
      </c>
      <c r="H2899" s="4"/>
    </row>
    <row r="2900" s="1" customFormat="1" spans="1:8">
      <c r="A2900" s="4" t="s">
        <v>205</v>
      </c>
      <c r="B2900" s="4" t="s">
        <v>57</v>
      </c>
      <c r="C2900" s="4" t="s">
        <v>70</v>
      </c>
      <c r="D2900" s="4" t="s">
        <v>5929</v>
      </c>
      <c r="E2900" s="4">
        <v>2611903</v>
      </c>
      <c r="F2900" s="4" t="s">
        <v>5930</v>
      </c>
      <c r="G2900" s="4" t="s">
        <v>215</v>
      </c>
      <c r="H2900" s="4"/>
    </row>
    <row r="2901" s="1" customFormat="1" spans="1:8">
      <c r="A2901" s="4" t="s">
        <v>205</v>
      </c>
      <c r="B2901" s="4" t="s">
        <v>57</v>
      </c>
      <c r="C2901" s="4" t="s">
        <v>70</v>
      </c>
      <c r="D2901" s="4" t="s">
        <v>5931</v>
      </c>
      <c r="E2901" s="4">
        <v>2612000</v>
      </c>
      <c r="F2901" s="4" t="s">
        <v>5932</v>
      </c>
      <c r="G2901" s="4" t="s">
        <v>215</v>
      </c>
      <c r="H2901" s="4"/>
    </row>
    <row r="2902" s="1" customFormat="1" spans="1:8">
      <c r="A2902" s="4" t="s">
        <v>205</v>
      </c>
      <c r="B2902" s="4" t="s">
        <v>57</v>
      </c>
      <c r="C2902" s="4" t="s">
        <v>70</v>
      </c>
      <c r="D2902" s="4" t="s">
        <v>5569</v>
      </c>
      <c r="E2902" s="4">
        <v>2612109</v>
      </c>
      <c r="F2902" s="4" t="s">
        <v>5933</v>
      </c>
      <c r="G2902" s="4" t="s">
        <v>215</v>
      </c>
      <c r="H2902" s="4"/>
    </row>
    <row r="2903" s="1" customFormat="1" spans="1:8">
      <c r="A2903" s="4" t="s">
        <v>205</v>
      </c>
      <c r="B2903" s="4" t="s">
        <v>57</v>
      </c>
      <c r="C2903" s="4" t="s">
        <v>70</v>
      </c>
      <c r="D2903" s="4" t="s">
        <v>5934</v>
      </c>
      <c r="E2903" s="4">
        <v>2612307</v>
      </c>
      <c r="F2903" s="4" t="s">
        <v>5935</v>
      </c>
      <c r="G2903" s="4" t="s">
        <v>215</v>
      </c>
      <c r="H2903" s="4"/>
    </row>
    <row r="2904" s="1" customFormat="1" spans="1:8">
      <c r="A2904" s="4" t="s">
        <v>205</v>
      </c>
      <c r="B2904" s="4" t="s">
        <v>57</v>
      </c>
      <c r="C2904" s="4" t="s">
        <v>70</v>
      </c>
      <c r="D2904" s="4" t="s">
        <v>5936</v>
      </c>
      <c r="E2904" s="4">
        <v>2612406</v>
      </c>
      <c r="F2904" s="4" t="s">
        <v>5937</v>
      </c>
      <c r="G2904" s="4" t="s">
        <v>215</v>
      </c>
      <c r="H2904" s="4"/>
    </row>
    <row r="2905" s="1" customFormat="1" spans="1:8">
      <c r="A2905" s="4" t="s">
        <v>205</v>
      </c>
      <c r="B2905" s="4" t="s">
        <v>57</v>
      </c>
      <c r="C2905" s="4" t="s">
        <v>70</v>
      </c>
      <c r="D2905" s="4" t="s">
        <v>5938</v>
      </c>
      <c r="E2905" s="4">
        <v>2612505</v>
      </c>
      <c r="F2905" s="4" t="s">
        <v>5939</v>
      </c>
      <c r="G2905" s="4" t="s">
        <v>215</v>
      </c>
      <c r="H2905" s="4"/>
    </row>
    <row r="2906" s="1" customFormat="1" spans="1:8">
      <c r="A2906" s="4" t="s">
        <v>205</v>
      </c>
      <c r="B2906" s="4" t="s">
        <v>57</v>
      </c>
      <c r="C2906" s="4" t="s">
        <v>70</v>
      </c>
      <c r="D2906" s="4" t="s">
        <v>5940</v>
      </c>
      <c r="E2906" s="4">
        <v>2612703</v>
      </c>
      <c r="F2906" s="4" t="s">
        <v>5941</v>
      </c>
      <c r="G2906" s="4" t="s">
        <v>215</v>
      </c>
      <c r="H2906" s="4"/>
    </row>
    <row r="2907" s="1" customFormat="1" spans="1:8">
      <c r="A2907" s="4" t="s">
        <v>205</v>
      </c>
      <c r="B2907" s="4" t="s">
        <v>57</v>
      </c>
      <c r="C2907" s="4" t="s">
        <v>70</v>
      </c>
      <c r="D2907" s="4" t="s">
        <v>5942</v>
      </c>
      <c r="E2907" s="4">
        <v>2614204</v>
      </c>
      <c r="F2907" s="4" t="s">
        <v>5943</v>
      </c>
      <c r="G2907" s="4" t="s">
        <v>215</v>
      </c>
      <c r="H2907" s="4"/>
    </row>
    <row r="2908" s="1" customFormat="1" spans="1:8">
      <c r="A2908" s="4" t="s">
        <v>205</v>
      </c>
      <c r="B2908" s="4" t="s">
        <v>57</v>
      </c>
      <c r="C2908" s="4" t="s">
        <v>70</v>
      </c>
      <c r="D2908" s="4" t="s">
        <v>5944</v>
      </c>
      <c r="E2908" s="4">
        <v>2614501</v>
      </c>
      <c r="F2908" s="4" t="s">
        <v>5945</v>
      </c>
      <c r="G2908" s="4" t="s">
        <v>215</v>
      </c>
      <c r="H2908" s="4"/>
    </row>
    <row r="2909" s="1" customFormat="1" spans="1:8">
      <c r="A2909" s="4" t="s">
        <v>205</v>
      </c>
      <c r="B2909" s="4" t="s">
        <v>57</v>
      </c>
      <c r="C2909" s="4" t="s">
        <v>70</v>
      </c>
      <c r="D2909" s="4" t="s">
        <v>5946</v>
      </c>
      <c r="E2909" s="4">
        <v>2612901</v>
      </c>
      <c r="F2909" s="4" t="s">
        <v>5947</v>
      </c>
      <c r="G2909" s="4" t="s">
        <v>215</v>
      </c>
      <c r="H2909" s="4"/>
    </row>
    <row r="2910" s="1" customFormat="1" spans="1:8">
      <c r="A2910" s="4" t="s">
        <v>205</v>
      </c>
      <c r="B2910" s="4" t="s">
        <v>57</v>
      </c>
      <c r="C2910" s="4" t="s">
        <v>70</v>
      </c>
      <c r="D2910" s="4" t="s">
        <v>5948</v>
      </c>
      <c r="E2910" s="4">
        <v>2613008</v>
      </c>
      <c r="F2910" s="4" t="s">
        <v>5949</v>
      </c>
      <c r="G2910" s="4" t="s">
        <v>215</v>
      </c>
      <c r="H2910" s="4"/>
    </row>
    <row r="2911" s="1" customFormat="1" spans="1:8">
      <c r="A2911" s="4" t="s">
        <v>205</v>
      </c>
      <c r="B2911" s="4" t="s">
        <v>57</v>
      </c>
      <c r="C2911" s="4" t="s">
        <v>70</v>
      </c>
      <c r="D2911" s="4" t="s">
        <v>5950</v>
      </c>
      <c r="E2911" s="4">
        <v>2613107</v>
      </c>
      <c r="F2911" s="4" t="s">
        <v>5951</v>
      </c>
      <c r="G2911" s="4" t="s">
        <v>215</v>
      </c>
      <c r="H2911" s="4"/>
    </row>
    <row r="2912" s="1" customFormat="1" spans="1:8">
      <c r="A2912" s="4" t="s">
        <v>205</v>
      </c>
      <c r="B2912" s="4" t="s">
        <v>57</v>
      </c>
      <c r="C2912" s="4" t="s">
        <v>70</v>
      </c>
      <c r="D2912" s="4" t="s">
        <v>5952</v>
      </c>
      <c r="E2912" s="4">
        <v>2613305</v>
      </c>
      <c r="F2912" s="4" t="s">
        <v>5953</v>
      </c>
      <c r="G2912" s="4" t="s">
        <v>215</v>
      </c>
      <c r="H2912" s="4"/>
    </row>
    <row r="2913" s="1" customFormat="1" spans="1:8">
      <c r="A2913" s="4" t="s">
        <v>205</v>
      </c>
      <c r="B2913" s="4" t="s">
        <v>57</v>
      </c>
      <c r="C2913" s="4" t="s">
        <v>70</v>
      </c>
      <c r="D2913" s="4" t="s">
        <v>5954</v>
      </c>
      <c r="E2913" s="4">
        <v>2613404</v>
      </c>
      <c r="F2913" s="4" t="s">
        <v>5955</v>
      </c>
      <c r="G2913" s="4" t="s">
        <v>215</v>
      </c>
      <c r="H2913" s="4"/>
    </row>
    <row r="2914" s="1" customFormat="1" spans="1:8">
      <c r="A2914" s="4" t="s">
        <v>205</v>
      </c>
      <c r="B2914" s="4" t="s">
        <v>57</v>
      </c>
      <c r="C2914" s="4" t="s">
        <v>70</v>
      </c>
      <c r="D2914" s="4" t="s">
        <v>5956</v>
      </c>
      <c r="E2914" s="4">
        <v>2613206</v>
      </c>
      <c r="F2914" s="4" t="s">
        <v>5957</v>
      </c>
      <c r="G2914" s="4" t="s">
        <v>215</v>
      </c>
      <c r="H2914" s="4"/>
    </row>
    <row r="2915" s="1" customFormat="1" spans="1:8">
      <c r="A2915" s="4" t="s">
        <v>205</v>
      </c>
      <c r="B2915" s="4" t="s">
        <v>57</v>
      </c>
      <c r="C2915" s="4" t="s">
        <v>70</v>
      </c>
      <c r="D2915" s="7" t="s">
        <v>5958</v>
      </c>
      <c r="E2915" s="4">
        <v>2613800</v>
      </c>
      <c r="F2915" s="4" t="s">
        <v>5959</v>
      </c>
      <c r="G2915" s="4" t="s">
        <v>215</v>
      </c>
      <c r="H2915" s="4"/>
    </row>
    <row r="2916" s="1" customFormat="1" spans="1:8">
      <c r="A2916" s="4" t="s">
        <v>205</v>
      </c>
      <c r="B2916" s="4" t="s">
        <v>57</v>
      </c>
      <c r="C2916" s="4" t="s">
        <v>70</v>
      </c>
      <c r="D2916" s="4" t="s">
        <v>5960</v>
      </c>
      <c r="E2916" s="4">
        <v>2614709</v>
      </c>
      <c r="F2916" s="4" t="s">
        <v>5961</v>
      </c>
      <c r="G2916" s="4" t="s">
        <v>215</v>
      </c>
      <c r="H2916" s="4"/>
    </row>
    <row r="2917" s="1" customFormat="1" spans="1:8">
      <c r="A2917" s="4" t="s">
        <v>205</v>
      </c>
      <c r="B2917" s="4" t="s">
        <v>57</v>
      </c>
      <c r="C2917" s="4" t="s">
        <v>70</v>
      </c>
      <c r="D2917" s="4" t="s">
        <v>5962</v>
      </c>
      <c r="E2917" s="4">
        <v>2614857</v>
      </c>
      <c r="F2917" s="4" t="s">
        <v>5963</v>
      </c>
      <c r="G2917" s="4" t="s">
        <v>215</v>
      </c>
      <c r="H2917" s="4"/>
    </row>
    <row r="2918" s="1" customFormat="1" spans="1:8">
      <c r="A2918" s="4" t="s">
        <v>205</v>
      </c>
      <c r="B2918" s="4" t="s">
        <v>57</v>
      </c>
      <c r="C2918" s="4" t="s">
        <v>70</v>
      </c>
      <c r="D2918" s="4" t="s">
        <v>5964</v>
      </c>
      <c r="E2918" s="4">
        <v>2615003</v>
      </c>
      <c r="F2918" s="4" t="s">
        <v>5965</v>
      </c>
      <c r="G2918" s="4" t="s">
        <v>215</v>
      </c>
      <c r="H2918" s="4"/>
    </row>
    <row r="2919" s="1" customFormat="1" spans="1:8">
      <c r="A2919" s="4" t="s">
        <v>205</v>
      </c>
      <c r="B2919" s="4" t="s">
        <v>57</v>
      </c>
      <c r="C2919" s="4" t="s">
        <v>70</v>
      </c>
      <c r="D2919" s="4" t="s">
        <v>5966</v>
      </c>
      <c r="E2919" s="4">
        <v>2615102</v>
      </c>
      <c r="F2919" s="4" t="s">
        <v>5967</v>
      </c>
      <c r="G2919" s="4" t="s">
        <v>215</v>
      </c>
      <c r="H2919" s="4"/>
    </row>
    <row r="2920" s="1" customFormat="1" spans="1:8">
      <c r="A2920" s="4" t="s">
        <v>205</v>
      </c>
      <c r="B2920" s="4" t="s">
        <v>57</v>
      </c>
      <c r="C2920" s="4" t="s">
        <v>70</v>
      </c>
      <c r="D2920" s="4" t="s">
        <v>5968</v>
      </c>
      <c r="E2920" s="4">
        <v>2615300</v>
      </c>
      <c r="F2920" s="4" t="s">
        <v>5969</v>
      </c>
      <c r="G2920" s="4" t="s">
        <v>215</v>
      </c>
      <c r="H2920" s="4"/>
    </row>
    <row r="2921" s="1" customFormat="1" spans="1:8">
      <c r="A2921" s="4" t="s">
        <v>205</v>
      </c>
      <c r="B2921" s="4" t="s">
        <v>57</v>
      </c>
      <c r="C2921" s="4" t="s">
        <v>70</v>
      </c>
      <c r="D2921" s="4" t="s">
        <v>5970</v>
      </c>
      <c r="E2921" s="4">
        <v>2615409</v>
      </c>
      <c r="F2921" s="4" t="s">
        <v>5971</v>
      </c>
      <c r="G2921" s="4" t="s">
        <v>215</v>
      </c>
      <c r="H2921" s="4"/>
    </row>
    <row r="2922" s="1" customFormat="1" spans="1:8">
      <c r="A2922" s="4" t="s">
        <v>205</v>
      </c>
      <c r="B2922" s="4" t="s">
        <v>57</v>
      </c>
      <c r="C2922" s="4" t="s">
        <v>70</v>
      </c>
      <c r="D2922" s="4" t="s">
        <v>5972</v>
      </c>
      <c r="E2922" s="4">
        <v>2615508</v>
      </c>
      <c r="F2922" s="4" t="s">
        <v>5973</v>
      </c>
      <c r="G2922" s="4" t="s">
        <v>215</v>
      </c>
      <c r="H2922" s="4"/>
    </row>
    <row r="2923" s="1" customFormat="1" spans="1:8">
      <c r="A2923" s="4" t="s">
        <v>205</v>
      </c>
      <c r="B2923" s="4" t="s">
        <v>57</v>
      </c>
      <c r="C2923" s="4" t="s">
        <v>70</v>
      </c>
      <c r="D2923" s="4" t="s">
        <v>5974</v>
      </c>
      <c r="E2923" s="4">
        <v>2616001</v>
      </c>
      <c r="F2923" s="4" t="s">
        <v>5975</v>
      </c>
      <c r="G2923" s="4" t="s">
        <v>215</v>
      </c>
      <c r="H2923" s="4"/>
    </row>
    <row r="2924" s="1" customFormat="1" spans="1:8">
      <c r="A2924" s="4" t="s">
        <v>205</v>
      </c>
      <c r="B2924" s="4" t="s">
        <v>57</v>
      </c>
      <c r="C2924" s="4" t="s">
        <v>70</v>
      </c>
      <c r="D2924" s="4" t="s">
        <v>5976</v>
      </c>
      <c r="E2924" s="4">
        <v>2616183</v>
      </c>
      <c r="F2924" s="4" t="s">
        <v>5977</v>
      </c>
      <c r="G2924" s="4" t="s">
        <v>215</v>
      </c>
      <c r="H2924" s="4"/>
    </row>
    <row r="2925" s="1" customFormat="1" spans="1:8">
      <c r="A2925" s="4" t="s">
        <v>205</v>
      </c>
      <c r="B2925" s="4" t="s">
        <v>57</v>
      </c>
      <c r="C2925" s="4" t="s">
        <v>70</v>
      </c>
      <c r="D2925" s="4" t="s">
        <v>5978</v>
      </c>
      <c r="E2925" s="4">
        <v>2616209</v>
      </c>
      <c r="F2925" s="4" t="s">
        <v>5979</v>
      </c>
      <c r="G2925" s="4" t="s">
        <v>215</v>
      </c>
      <c r="H2925" s="4"/>
    </row>
    <row r="2926" s="1" customFormat="1" spans="1:8">
      <c r="A2926" s="4" t="s">
        <v>205</v>
      </c>
      <c r="B2926" s="4" t="s">
        <v>57</v>
      </c>
      <c r="C2926" s="4" t="s">
        <v>70</v>
      </c>
      <c r="D2926" s="4" t="s">
        <v>5980</v>
      </c>
      <c r="E2926" s="4">
        <v>2616308</v>
      </c>
      <c r="F2926" s="4" t="s">
        <v>5981</v>
      </c>
      <c r="G2926" s="4" t="s">
        <v>215</v>
      </c>
      <c r="H2926" s="4"/>
    </row>
    <row r="2927" s="1" customFormat="1" spans="1:8">
      <c r="A2927" s="4" t="s">
        <v>205</v>
      </c>
      <c r="B2927" s="4" t="s">
        <v>57</v>
      </c>
      <c r="C2927" s="4" t="s">
        <v>70</v>
      </c>
      <c r="D2927" s="4" t="s">
        <v>5982</v>
      </c>
      <c r="E2927" s="4">
        <v>2616407</v>
      </c>
      <c r="F2927" s="4" t="s">
        <v>5983</v>
      </c>
      <c r="G2927" s="4" t="s">
        <v>215</v>
      </c>
      <c r="H2927" s="4"/>
    </row>
    <row r="2928" s="1" customFormat="1" spans="1:8">
      <c r="A2928" s="4" t="s">
        <v>205</v>
      </c>
      <c r="B2928" s="4" t="s">
        <v>57</v>
      </c>
      <c r="C2928" s="4" t="s">
        <v>70</v>
      </c>
      <c r="D2928" s="4" t="s">
        <v>5984</v>
      </c>
      <c r="E2928" s="4">
        <v>2616506</v>
      </c>
      <c r="F2928" s="4" t="s">
        <v>5985</v>
      </c>
      <c r="G2928" s="4" t="s">
        <v>215</v>
      </c>
      <c r="H2928" s="4"/>
    </row>
    <row r="2929" s="1" customFormat="1" spans="1:8">
      <c r="A2929" s="4" t="s">
        <v>205</v>
      </c>
      <c r="B2929" s="4" t="s">
        <v>57</v>
      </c>
      <c r="C2929" s="4" t="s">
        <v>70</v>
      </c>
      <c r="D2929" s="4" t="s">
        <v>5986</v>
      </c>
      <c r="E2929" s="4">
        <v>2600401</v>
      </c>
      <c r="F2929" s="4" t="s">
        <v>5987</v>
      </c>
      <c r="G2929" s="4" t="s">
        <v>215</v>
      </c>
      <c r="H2929" s="4"/>
    </row>
    <row r="2930" s="1" customFormat="1" spans="1:8">
      <c r="A2930" s="4" t="s">
        <v>205</v>
      </c>
      <c r="B2930" s="4" t="s">
        <v>57</v>
      </c>
      <c r="C2930" s="4" t="s">
        <v>70</v>
      </c>
      <c r="D2930" s="4" t="s">
        <v>5988</v>
      </c>
      <c r="E2930" s="4">
        <v>2600104</v>
      </c>
      <c r="F2930" s="4" t="s">
        <v>5989</v>
      </c>
      <c r="G2930" s="4" t="s">
        <v>232</v>
      </c>
      <c r="H2930" s="4"/>
    </row>
    <row r="2931" s="1" customFormat="1" spans="1:8">
      <c r="A2931" s="4" t="s">
        <v>205</v>
      </c>
      <c r="B2931" s="4" t="s">
        <v>57</v>
      </c>
      <c r="C2931" s="4" t="s">
        <v>70</v>
      </c>
      <c r="D2931" s="4" t="s">
        <v>5990</v>
      </c>
      <c r="E2931" s="4">
        <v>2601607</v>
      </c>
      <c r="F2931" s="4" t="s">
        <v>5991</v>
      </c>
      <c r="G2931" s="4" t="s">
        <v>232</v>
      </c>
      <c r="H2931" s="4"/>
    </row>
    <row r="2932" s="1" customFormat="1" spans="1:8">
      <c r="A2932" s="4" t="s">
        <v>205</v>
      </c>
      <c r="B2932" s="4" t="s">
        <v>57</v>
      </c>
      <c r="C2932" s="4" t="s">
        <v>70</v>
      </c>
      <c r="D2932" s="4" t="s">
        <v>5992</v>
      </c>
      <c r="E2932" s="4">
        <v>2601805</v>
      </c>
      <c r="F2932" s="4" t="s">
        <v>5993</v>
      </c>
      <c r="G2932" s="4" t="s">
        <v>232</v>
      </c>
      <c r="H2932" s="4"/>
    </row>
    <row r="2933" s="1" customFormat="1" spans="1:8">
      <c r="A2933" s="4" t="s">
        <v>205</v>
      </c>
      <c r="B2933" s="4" t="s">
        <v>57</v>
      </c>
      <c r="C2933" s="4" t="s">
        <v>70</v>
      </c>
      <c r="D2933" s="4" t="s">
        <v>5994</v>
      </c>
      <c r="E2933" s="4">
        <v>2602100</v>
      </c>
      <c r="F2933" s="4" t="s">
        <v>5995</v>
      </c>
      <c r="G2933" s="4" t="s">
        <v>232</v>
      </c>
      <c r="H2933" s="4"/>
    </row>
    <row r="2934" s="1" customFormat="1" spans="1:8">
      <c r="A2934" s="4" t="s">
        <v>205</v>
      </c>
      <c r="B2934" s="4" t="s">
        <v>57</v>
      </c>
      <c r="C2934" s="4" t="s">
        <v>70</v>
      </c>
      <c r="D2934" s="4" t="s">
        <v>5996</v>
      </c>
      <c r="E2934" s="4">
        <v>2602506</v>
      </c>
      <c r="F2934" s="4" t="s">
        <v>5997</v>
      </c>
      <c r="G2934" s="4" t="s">
        <v>232</v>
      </c>
      <c r="H2934" s="4"/>
    </row>
    <row r="2935" s="1" customFormat="1" spans="1:8">
      <c r="A2935" s="4" t="s">
        <v>205</v>
      </c>
      <c r="B2935" s="4" t="s">
        <v>57</v>
      </c>
      <c r="C2935" s="4" t="s">
        <v>70</v>
      </c>
      <c r="D2935" s="4" t="s">
        <v>5998</v>
      </c>
      <c r="E2935" s="4">
        <v>2602803</v>
      </c>
      <c r="F2935" s="4" t="s">
        <v>5999</v>
      </c>
      <c r="G2935" s="4" t="s">
        <v>232</v>
      </c>
      <c r="H2935" s="4"/>
    </row>
    <row r="2936" s="1" customFormat="1" spans="1:8">
      <c r="A2936" s="4" t="s">
        <v>205</v>
      </c>
      <c r="B2936" s="4" t="s">
        <v>57</v>
      </c>
      <c r="C2936" s="4" t="s">
        <v>70</v>
      </c>
      <c r="D2936" s="4" t="s">
        <v>6000</v>
      </c>
      <c r="E2936" s="4">
        <v>2603009</v>
      </c>
      <c r="F2936" s="4" t="s">
        <v>6001</v>
      </c>
      <c r="G2936" s="4" t="s">
        <v>232</v>
      </c>
      <c r="H2936" s="4"/>
    </row>
    <row r="2937" s="1" customFormat="1" spans="1:8">
      <c r="A2937" s="4" t="s">
        <v>205</v>
      </c>
      <c r="B2937" s="4" t="s">
        <v>57</v>
      </c>
      <c r="C2937" s="4" t="s">
        <v>70</v>
      </c>
      <c r="D2937" s="4" t="s">
        <v>6002</v>
      </c>
      <c r="E2937" s="4">
        <v>2603405</v>
      </c>
      <c r="F2937" s="4" t="s">
        <v>6003</v>
      </c>
      <c r="G2937" s="4" t="s">
        <v>232</v>
      </c>
      <c r="H2937" s="4"/>
    </row>
    <row r="2938" s="1" customFormat="1" spans="1:8">
      <c r="A2938" s="4" t="s">
        <v>205</v>
      </c>
      <c r="B2938" s="4" t="s">
        <v>57</v>
      </c>
      <c r="C2938" s="4" t="s">
        <v>70</v>
      </c>
      <c r="D2938" s="4" t="s">
        <v>6004</v>
      </c>
      <c r="E2938" s="4">
        <v>2603926</v>
      </c>
      <c r="F2938" s="4" t="s">
        <v>6005</v>
      </c>
      <c r="G2938" s="4" t="s">
        <v>232</v>
      </c>
      <c r="H2938" s="4"/>
    </row>
    <row r="2939" s="1" customFormat="1" spans="1:8">
      <c r="A2939" s="4" t="s">
        <v>205</v>
      </c>
      <c r="B2939" s="4" t="s">
        <v>57</v>
      </c>
      <c r="C2939" s="4" t="s">
        <v>70</v>
      </c>
      <c r="D2939" s="4" t="s">
        <v>6006</v>
      </c>
      <c r="E2939" s="4">
        <v>2603900</v>
      </c>
      <c r="F2939" s="4" t="s">
        <v>6007</v>
      </c>
      <c r="G2939" s="4" t="s">
        <v>232</v>
      </c>
      <c r="H2939" s="4"/>
    </row>
    <row r="2940" s="1" customFormat="1" spans="1:8">
      <c r="A2940" s="4" t="s">
        <v>205</v>
      </c>
      <c r="B2940" s="4" t="s">
        <v>57</v>
      </c>
      <c r="C2940" s="4" t="s">
        <v>70</v>
      </c>
      <c r="D2940" s="4" t="s">
        <v>6008</v>
      </c>
      <c r="E2940" s="4">
        <v>2605103</v>
      </c>
      <c r="F2940" s="4" t="s">
        <v>6009</v>
      </c>
      <c r="G2940" s="4" t="s">
        <v>232</v>
      </c>
      <c r="H2940" s="4"/>
    </row>
    <row r="2941" s="1" customFormat="1" spans="1:8">
      <c r="A2941" s="4" t="s">
        <v>205</v>
      </c>
      <c r="B2941" s="4" t="s">
        <v>57</v>
      </c>
      <c r="C2941" s="4" t="s">
        <v>70</v>
      </c>
      <c r="D2941" s="4" t="s">
        <v>6010</v>
      </c>
      <c r="E2941" s="4">
        <v>2605459</v>
      </c>
      <c r="F2941" s="4" t="s">
        <v>6011</v>
      </c>
      <c r="G2941" s="4" t="s">
        <v>232</v>
      </c>
      <c r="H2941" s="4"/>
    </row>
    <row r="2942" s="1" customFormat="1" spans="1:8">
      <c r="A2942" s="4" t="s">
        <v>205</v>
      </c>
      <c r="B2942" s="4" t="s">
        <v>57</v>
      </c>
      <c r="C2942" s="4" t="s">
        <v>70</v>
      </c>
      <c r="D2942" s="4" t="s">
        <v>6012</v>
      </c>
      <c r="E2942" s="4">
        <v>2605608</v>
      </c>
      <c r="F2942" s="4" t="s">
        <v>6013</v>
      </c>
      <c r="G2942" s="4" t="s">
        <v>232</v>
      </c>
      <c r="H2942" s="4"/>
    </row>
    <row r="2943" s="1" customFormat="1" spans="1:8">
      <c r="A2943" s="4" t="s">
        <v>205</v>
      </c>
      <c r="B2943" s="4" t="s">
        <v>57</v>
      </c>
      <c r="C2943" s="4" t="s">
        <v>70</v>
      </c>
      <c r="D2943" s="4" t="s">
        <v>6014</v>
      </c>
      <c r="E2943" s="4">
        <v>2605707</v>
      </c>
      <c r="F2943" s="4" t="s">
        <v>6015</v>
      </c>
      <c r="G2943" s="4" t="s">
        <v>232</v>
      </c>
      <c r="H2943" s="4"/>
    </row>
    <row r="2944" s="1" customFormat="1" spans="1:8">
      <c r="A2944" s="4" t="s">
        <v>205</v>
      </c>
      <c r="B2944" s="4" t="s">
        <v>57</v>
      </c>
      <c r="C2944" s="4" t="s">
        <v>70</v>
      </c>
      <c r="D2944" s="4" t="s">
        <v>6016</v>
      </c>
      <c r="E2944" s="4">
        <v>2606507</v>
      </c>
      <c r="F2944" s="4" t="s">
        <v>6017</v>
      </c>
      <c r="G2944" s="4" t="s">
        <v>232</v>
      </c>
      <c r="H2944" s="4"/>
    </row>
    <row r="2945" s="1" customFormat="1" spans="1:8">
      <c r="A2945" s="4" t="s">
        <v>205</v>
      </c>
      <c r="B2945" s="4" t="s">
        <v>57</v>
      </c>
      <c r="C2945" s="4" t="s">
        <v>70</v>
      </c>
      <c r="D2945" s="4" t="s">
        <v>6018</v>
      </c>
      <c r="E2945" s="4">
        <v>2606606</v>
      </c>
      <c r="F2945" s="4" t="s">
        <v>6019</v>
      </c>
      <c r="G2945" s="4" t="s">
        <v>232</v>
      </c>
      <c r="H2945" s="4"/>
    </row>
    <row r="2946" s="1" customFormat="1" spans="1:8">
      <c r="A2946" s="4" t="s">
        <v>205</v>
      </c>
      <c r="B2946" s="4" t="s">
        <v>57</v>
      </c>
      <c r="C2946" s="4" t="s">
        <v>70</v>
      </c>
      <c r="D2946" s="4" t="s">
        <v>6020</v>
      </c>
      <c r="E2946" s="4">
        <v>2606903</v>
      </c>
      <c r="F2946" s="4" t="s">
        <v>6021</v>
      </c>
      <c r="G2946" s="4" t="s">
        <v>232</v>
      </c>
      <c r="H2946" s="4"/>
    </row>
    <row r="2947" s="1" customFormat="1" spans="1:8">
      <c r="A2947" s="4" t="s">
        <v>205</v>
      </c>
      <c r="B2947" s="4" t="s">
        <v>57</v>
      </c>
      <c r="C2947" s="4" t="s">
        <v>70</v>
      </c>
      <c r="D2947" s="4" t="s">
        <v>6022</v>
      </c>
      <c r="E2947" s="4">
        <v>2607000</v>
      </c>
      <c r="F2947" s="4" t="s">
        <v>6023</v>
      </c>
      <c r="G2947" s="4" t="s">
        <v>232</v>
      </c>
      <c r="H2947" s="4"/>
    </row>
    <row r="2948" s="1" customFormat="1" spans="1:8">
      <c r="A2948" s="4" t="s">
        <v>205</v>
      </c>
      <c r="B2948" s="4" t="s">
        <v>57</v>
      </c>
      <c r="C2948" s="4" t="s">
        <v>70</v>
      </c>
      <c r="D2948" s="4" t="s">
        <v>6024</v>
      </c>
      <c r="E2948" s="4">
        <v>2607109</v>
      </c>
      <c r="F2948" s="4" t="s">
        <v>6025</v>
      </c>
      <c r="G2948" s="4" t="s">
        <v>232</v>
      </c>
      <c r="H2948" s="4"/>
    </row>
    <row r="2949" s="1" customFormat="1" spans="1:8">
      <c r="A2949" s="4" t="s">
        <v>205</v>
      </c>
      <c r="B2949" s="4" t="s">
        <v>57</v>
      </c>
      <c r="C2949" s="4" t="s">
        <v>70</v>
      </c>
      <c r="D2949" s="4" t="s">
        <v>6026</v>
      </c>
      <c r="E2949" s="4">
        <v>2607406</v>
      </c>
      <c r="F2949" s="4" t="s">
        <v>6027</v>
      </c>
      <c r="G2949" s="4" t="s">
        <v>232</v>
      </c>
      <c r="H2949" s="4"/>
    </row>
    <row r="2950" s="1" customFormat="1" spans="1:8">
      <c r="A2950" s="4" t="s">
        <v>205</v>
      </c>
      <c r="B2950" s="4" t="s">
        <v>57</v>
      </c>
      <c r="C2950" s="4" t="s">
        <v>70</v>
      </c>
      <c r="D2950" s="4" t="s">
        <v>6028</v>
      </c>
      <c r="E2950" s="4">
        <v>2607703</v>
      </c>
      <c r="F2950" s="4" t="s">
        <v>6029</v>
      </c>
      <c r="G2950" s="4" t="s">
        <v>232</v>
      </c>
      <c r="H2950" s="4"/>
    </row>
    <row r="2951" s="1" customFormat="1" spans="1:8">
      <c r="A2951" s="4" t="s">
        <v>205</v>
      </c>
      <c r="B2951" s="4" t="s">
        <v>57</v>
      </c>
      <c r="C2951" s="4" t="s">
        <v>70</v>
      </c>
      <c r="D2951" s="4" t="s">
        <v>6030</v>
      </c>
      <c r="E2951" s="4">
        <v>2607505</v>
      </c>
      <c r="F2951" s="4" t="s">
        <v>6031</v>
      </c>
      <c r="G2951" s="4" t="s">
        <v>232</v>
      </c>
      <c r="H2951" s="4"/>
    </row>
    <row r="2952" s="1" customFormat="1" spans="1:8">
      <c r="A2952" s="4" t="s">
        <v>205</v>
      </c>
      <c r="B2952" s="4" t="s">
        <v>57</v>
      </c>
      <c r="C2952" s="4" t="s">
        <v>70</v>
      </c>
      <c r="D2952" s="4" t="s">
        <v>2648</v>
      </c>
      <c r="E2952" s="4">
        <v>2608057</v>
      </c>
      <c r="F2952" s="4" t="s">
        <v>6032</v>
      </c>
      <c r="G2952" s="4" t="s">
        <v>232</v>
      </c>
      <c r="H2952" s="4"/>
    </row>
    <row r="2953" s="1" customFormat="1" spans="1:8">
      <c r="A2953" s="4" t="s">
        <v>205</v>
      </c>
      <c r="B2953" s="4" t="s">
        <v>57</v>
      </c>
      <c r="C2953" s="4" t="s">
        <v>70</v>
      </c>
      <c r="D2953" s="4" t="s">
        <v>6033</v>
      </c>
      <c r="E2953" s="4">
        <v>2609154</v>
      </c>
      <c r="F2953" s="4" t="s">
        <v>6034</v>
      </c>
      <c r="G2953" s="4" t="s">
        <v>232</v>
      </c>
      <c r="H2953" s="4"/>
    </row>
    <row r="2954" s="1" customFormat="1" spans="1:8">
      <c r="A2954" s="4" t="s">
        <v>205</v>
      </c>
      <c r="B2954" s="4" t="s">
        <v>57</v>
      </c>
      <c r="C2954" s="4" t="s">
        <v>70</v>
      </c>
      <c r="D2954" s="4" t="s">
        <v>6035</v>
      </c>
      <c r="E2954" s="4">
        <v>2609303</v>
      </c>
      <c r="F2954" s="4" t="s">
        <v>6036</v>
      </c>
      <c r="G2954" s="4" t="s">
        <v>232</v>
      </c>
      <c r="H2954" s="4"/>
    </row>
    <row r="2955" s="1" customFormat="1" spans="1:8">
      <c r="A2955" s="4" t="s">
        <v>205</v>
      </c>
      <c r="B2955" s="4" t="s">
        <v>57</v>
      </c>
      <c r="C2955" s="4" t="s">
        <v>70</v>
      </c>
      <c r="D2955" s="4" t="s">
        <v>6037</v>
      </c>
      <c r="E2955" s="4">
        <v>2611002</v>
      </c>
      <c r="F2955" s="4" t="s">
        <v>6038</v>
      </c>
      <c r="G2955" s="4" t="s">
        <v>232</v>
      </c>
      <c r="H2955" s="4"/>
    </row>
    <row r="2956" s="1" customFormat="1" spans="1:8">
      <c r="A2956" s="4" t="s">
        <v>205</v>
      </c>
      <c r="B2956" s="4" t="s">
        <v>57</v>
      </c>
      <c r="C2956" s="4" t="s">
        <v>70</v>
      </c>
      <c r="D2956" s="7" t="s">
        <v>6039</v>
      </c>
      <c r="E2956" s="4">
        <v>2611533</v>
      </c>
      <c r="F2956" s="4" t="s">
        <v>6040</v>
      </c>
      <c r="G2956" s="4" t="s">
        <v>232</v>
      </c>
      <c r="H2956" s="4"/>
    </row>
    <row r="2957" s="1" customFormat="1" spans="1:8">
      <c r="A2957" s="4" t="s">
        <v>205</v>
      </c>
      <c r="B2957" s="4" t="s">
        <v>57</v>
      </c>
      <c r="C2957" s="4" t="s">
        <v>70</v>
      </c>
      <c r="D2957" s="4" t="s">
        <v>6041</v>
      </c>
      <c r="E2957" s="4">
        <v>2612208</v>
      </c>
      <c r="F2957" s="4" t="s">
        <v>6042</v>
      </c>
      <c r="G2957" s="4" t="s">
        <v>232</v>
      </c>
      <c r="H2957" s="4"/>
    </row>
    <row r="2958" s="1" customFormat="1" spans="1:8">
      <c r="A2958" s="4" t="s">
        <v>205</v>
      </c>
      <c r="B2958" s="4" t="s">
        <v>57</v>
      </c>
      <c r="C2958" s="4" t="s">
        <v>70</v>
      </c>
      <c r="D2958" s="4" t="s">
        <v>6043</v>
      </c>
      <c r="E2958" s="4">
        <v>2612471</v>
      </c>
      <c r="F2958" s="4" t="s">
        <v>6044</v>
      </c>
      <c r="G2958" s="4" t="s">
        <v>232</v>
      </c>
      <c r="H2958" s="4"/>
    </row>
    <row r="2959" s="1" customFormat="1" spans="1:8">
      <c r="A2959" s="4" t="s">
        <v>205</v>
      </c>
      <c r="B2959" s="4" t="s">
        <v>57</v>
      </c>
      <c r="C2959" s="4" t="s">
        <v>70</v>
      </c>
      <c r="D2959" s="4" t="s">
        <v>827</v>
      </c>
      <c r="E2959" s="4">
        <v>2612802</v>
      </c>
      <c r="F2959" s="4" t="s">
        <v>6045</v>
      </c>
      <c r="G2959" s="4" t="s">
        <v>232</v>
      </c>
      <c r="H2959" s="4"/>
    </row>
    <row r="2960" s="1" customFormat="1" spans="1:8">
      <c r="A2960" s="4" t="s">
        <v>205</v>
      </c>
      <c r="B2960" s="4" t="s">
        <v>57</v>
      </c>
      <c r="C2960" s="4" t="s">
        <v>70</v>
      </c>
      <c r="D2960" s="4" t="s">
        <v>6046</v>
      </c>
      <c r="E2960" s="4">
        <v>2613909</v>
      </c>
      <c r="F2960" s="4" t="s">
        <v>6047</v>
      </c>
      <c r="G2960" s="4" t="s">
        <v>232</v>
      </c>
      <c r="H2960" s="4"/>
    </row>
    <row r="2961" s="1" customFormat="1" spans="1:8">
      <c r="A2961" s="4" t="s">
        <v>205</v>
      </c>
      <c r="B2961" s="4" t="s">
        <v>57</v>
      </c>
      <c r="C2961" s="4" t="s">
        <v>70</v>
      </c>
      <c r="D2961" s="4" t="s">
        <v>6048</v>
      </c>
      <c r="E2961" s="4">
        <v>2614006</v>
      </c>
      <c r="F2961" s="4" t="s">
        <v>6049</v>
      </c>
      <c r="G2961" s="4" t="s">
        <v>232</v>
      </c>
      <c r="H2961" s="4"/>
    </row>
    <row r="2962" s="1" customFormat="1" spans="1:8">
      <c r="A2962" s="4" t="s">
        <v>205</v>
      </c>
      <c r="B2962" s="4" t="s">
        <v>57</v>
      </c>
      <c r="C2962" s="4" t="s">
        <v>70</v>
      </c>
      <c r="D2962" s="4" t="s">
        <v>6050</v>
      </c>
      <c r="E2962" s="4">
        <v>2614105</v>
      </c>
      <c r="F2962" s="4" t="s">
        <v>6051</v>
      </c>
      <c r="G2962" s="4" t="s">
        <v>232</v>
      </c>
      <c r="H2962" s="4"/>
    </row>
    <row r="2963" s="1" customFormat="1" spans="1:8">
      <c r="A2963" s="4" t="s">
        <v>205</v>
      </c>
      <c r="B2963" s="4" t="s">
        <v>57</v>
      </c>
      <c r="C2963" s="4" t="s">
        <v>70</v>
      </c>
      <c r="D2963" s="4" t="s">
        <v>6052</v>
      </c>
      <c r="E2963" s="4">
        <v>2614402</v>
      </c>
      <c r="F2963" s="4" t="s">
        <v>6053</v>
      </c>
      <c r="G2963" s="4" t="s">
        <v>232</v>
      </c>
      <c r="H2963" s="4"/>
    </row>
    <row r="2964" s="1" customFormat="1" spans="1:8">
      <c r="A2964" s="4" t="s">
        <v>205</v>
      </c>
      <c r="B2964" s="4" t="s">
        <v>57</v>
      </c>
      <c r="C2964" s="4" t="s">
        <v>70</v>
      </c>
      <c r="D2964" s="4" t="s">
        <v>6054</v>
      </c>
      <c r="E2964" s="4">
        <v>2613503</v>
      </c>
      <c r="F2964" s="4" t="s">
        <v>6055</v>
      </c>
      <c r="G2964" s="4" t="s">
        <v>232</v>
      </c>
      <c r="H2964" s="4"/>
    </row>
    <row r="2965" s="1" customFormat="1" spans="1:8">
      <c r="A2965" s="4" t="s">
        <v>205</v>
      </c>
      <c r="B2965" s="4" t="s">
        <v>57</v>
      </c>
      <c r="C2965" s="4" t="s">
        <v>70</v>
      </c>
      <c r="D2965" s="4" t="s">
        <v>6056</v>
      </c>
      <c r="E2965" s="4">
        <v>2613602</v>
      </c>
      <c r="F2965" s="4" t="s">
        <v>6057</v>
      </c>
      <c r="G2965" s="4" t="s">
        <v>232</v>
      </c>
      <c r="H2965" s="4"/>
    </row>
    <row r="2966" s="1" customFormat="1" spans="1:8">
      <c r="A2966" s="4" t="s">
        <v>205</v>
      </c>
      <c r="B2966" s="4" t="s">
        <v>57</v>
      </c>
      <c r="C2966" s="4" t="s">
        <v>70</v>
      </c>
      <c r="D2966" s="4" t="s">
        <v>6058</v>
      </c>
      <c r="E2966" s="4">
        <v>2614600</v>
      </c>
      <c r="F2966" s="4" t="s">
        <v>6059</v>
      </c>
      <c r="G2966" s="4" t="s">
        <v>232</v>
      </c>
      <c r="H2966" s="4"/>
    </row>
    <row r="2967" s="1" customFormat="1" spans="1:8">
      <c r="A2967" s="4" t="s">
        <v>205</v>
      </c>
      <c r="B2967" s="4" t="s">
        <v>57</v>
      </c>
      <c r="C2967" s="4" t="s">
        <v>70</v>
      </c>
      <c r="D2967" s="4" t="s">
        <v>6060</v>
      </c>
      <c r="E2967" s="4">
        <v>2614808</v>
      </c>
      <c r="F2967" s="4" t="s">
        <v>6061</v>
      </c>
      <c r="G2967" s="4" t="s">
        <v>232</v>
      </c>
      <c r="H2967" s="4"/>
    </row>
    <row r="2968" s="1" customFormat="1" spans="1:8">
      <c r="A2968" s="4" t="s">
        <v>205</v>
      </c>
      <c r="B2968" s="4" t="s">
        <v>57</v>
      </c>
      <c r="C2968" s="4" t="s">
        <v>70</v>
      </c>
      <c r="D2968" s="4" t="s">
        <v>5741</v>
      </c>
      <c r="E2968" s="4">
        <v>2615706</v>
      </c>
      <c r="F2968" s="4" t="s">
        <v>6062</v>
      </c>
      <c r="G2968" s="4" t="s">
        <v>232</v>
      </c>
      <c r="H2968" s="4"/>
    </row>
    <row r="2969" s="1" customFormat="1" spans="1:8">
      <c r="A2969" s="4" t="s">
        <v>205</v>
      </c>
      <c r="B2969" s="4" t="s">
        <v>57</v>
      </c>
      <c r="C2969" s="4" t="s">
        <v>70</v>
      </c>
      <c r="D2969" s="4" t="s">
        <v>6063</v>
      </c>
      <c r="E2969" s="4">
        <v>2615805</v>
      </c>
      <c r="F2969" s="4" t="s">
        <v>6064</v>
      </c>
      <c r="G2969" s="4" t="s">
        <v>232</v>
      </c>
      <c r="H2969" s="4"/>
    </row>
    <row r="2970" s="1" customFormat="1" spans="1:8">
      <c r="A2970" s="4" t="s">
        <v>205</v>
      </c>
      <c r="B2970" s="4" t="s">
        <v>57</v>
      </c>
      <c r="C2970" s="4" t="s">
        <v>70</v>
      </c>
      <c r="D2970" s="4" t="s">
        <v>6065</v>
      </c>
      <c r="E2970" s="4">
        <v>2615904</v>
      </c>
      <c r="F2970" s="4" t="s">
        <v>6066</v>
      </c>
      <c r="G2970" s="4" t="s">
        <v>232</v>
      </c>
      <c r="H2970" s="4"/>
    </row>
    <row r="2971" s="1" customFormat="1" spans="1:8">
      <c r="A2971" s="4" t="s">
        <v>205</v>
      </c>
      <c r="B2971" s="4" t="s">
        <v>57</v>
      </c>
      <c r="C2971" s="4" t="s">
        <v>70</v>
      </c>
      <c r="D2971" s="4" t="s">
        <v>6067</v>
      </c>
      <c r="E2971" s="4">
        <v>2616100</v>
      </c>
      <c r="F2971" s="4" t="s">
        <v>6068</v>
      </c>
      <c r="G2971" s="4" t="s">
        <v>232</v>
      </c>
      <c r="H2971" s="4"/>
    </row>
    <row r="2972" s="1" customFormat="1" spans="1:8">
      <c r="A2972" s="4" t="s">
        <v>205</v>
      </c>
      <c r="B2972" s="4" t="s">
        <v>57</v>
      </c>
      <c r="C2972" s="4" t="s">
        <v>70</v>
      </c>
      <c r="D2972" s="4" t="s">
        <v>6069</v>
      </c>
      <c r="E2972" s="4">
        <v>2600500</v>
      </c>
      <c r="F2972" s="4" t="s">
        <v>6070</v>
      </c>
      <c r="G2972" s="4" t="s">
        <v>232</v>
      </c>
      <c r="H2972" s="13"/>
    </row>
    <row r="2973" s="1" customFormat="1" spans="1:8">
      <c r="A2973" s="4" t="s">
        <v>205</v>
      </c>
      <c r="B2973" s="4" t="s">
        <v>57</v>
      </c>
      <c r="C2973" s="4" t="s">
        <v>70</v>
      </c>
      <c r="D2973" s="4" t="s">
        <v>6071</v>
      </c>
      <c r="E2973" s="4">
        <v>2600203</v>
      </c>
      <c r="F2973" s="4" t="s">
        <v>6072</v>
      </c>
      <c r="G2973" s="4" t="s">
        <v>243</v>
      </c>
      <c r="H2973" s="4"/>
    </row>
    <row r="2974" s="1" customFormat="1" spans="1:8">
      <c r="A2974" s="4" t="s">
        <v>205</v>
      </c>
      <c r="B2974" s="4" t="s">
        <v>57</v>
      </c>
      <c r="C2974" s="4" t="s">
        <v>70</v>
      </c>
      <c r="D2974" s="4" t="s">
        <v>6073</v>
      </c>
      <c r="E2974" s="4">
        <v>2601102</v>
      </c>
      <c r="F2974" s="4" t="s">
        <v>6074</v>
      </c>
      <c r="G2974" s="4" t="s">
        <v>243</v>
      </c>
      <c r="H2974" s="4"/>
    </row>
    <row r="2975" s="1" customFormat="1" spans="1:8">
      <c r="A2975" s="4" t="s">
        <v>205</v>
      </c>
      <c r="B2975" s="4" t="s">
        <v>57</v>
      </c>
      <c r="C2975" s="4" t="s">
        <v>70</v>
      </c>
      <c r="D2975" s="4" t="s">
        <v>6075</v>
      </c>
      <c r="E2975" s="4">
        <v>2602001</v>
      </c>
      <c r="F2975" s="4" t="s">
        <v>6076</v>
      </c>
      <c r="G2975" s="4" t="s">
        <v>243</v>
      </c>
      <c r="H2975" s="4"/>
    </row>
    <row r="2976" s="1" customFormat="1" spans="1:8">
      <c r="A2976" s="4" t="s">
        <v>205</v>
      </c>
      <c r="B2976" s="4" t="s">
        <v>57</v>
      </c>
      <c r="C2976" s="4" t="s">
        <v>70</v>
      </c>
      <c r="D2976" s="4" t="s">
        <v>1759</v>
      </c>
      <c r="E2976" s="4">
        <v>2604304</v>
      </c>
      <c r="F2976" s="4" t="s">
        <v>6077</v>
      </c>
      <c r="G2976" s="4" t="s">
        <v>243</v>
      </c>
      <c r="H2976" s="4"/>
    </row>
    <row r="2977" s="1" customFormat="1" spans="1:8">
      <c r="A2977" s="4" t="s">
        <v>205</v>
      </c>
      <c r="B2977" s="4" t="s">
        <v>57</v>
      </c>
      <c r="C2977" s="4" t="s">
        <v>70</v>
      </c>
      <c r="D2977" s="4" t="s">
        <v>6078</v>
      </c>
      <c r="E2977" s="4">
        <v>2605152</v>
      </c>
      <c r="F2977" s="4" t="s">
        <v>6079</v>
      </c>
      <c r="G2977" s="4" t="s">
        <v>243</v>
      </c>
      <c r="H2977" s="4"/>
    </row>
    <row r="2978" s="1" customFormat="1" spans="1:8">
      <c r="A2978" s="4" t="s">
        <v>205</v>
      </c>
      <c r="B2978" s="4" t="s">
        <v>57</v>
      </c>
      <c r="C2978" s="4" t="s">
        <v>70</v>
      </c>
      <c r="D2978" s="4" t="s">
        <v>6080</v>
      </c>
      <c r="E2978" s="4">
        <v>2605301</v>
      </c>
      <c r="F2978" s="4" t="s">
        <v>6081</v>
      </c>
      <c r="G2978" s="4" t="s">
        <v>243</v>
      </c>
      <c r="H2978" s="4"/>
    </row>
    <row r="2979" s="1" customFormat="1" spans="1:8">
      <c r="A2979" s="4" t="s">
        <v>205</v>
      </c>
      <c r="B2979" s="4" t="s">
        <v>57</v>
      </c>
      <c r="C2979" s="4" t="s">
        <v>70</v>
      </c>
      <c r="D2979" s="4" t="s">
        <v>6082</v>
      </c>
      <c r="E2979" s="4">
        <v>2606309</v>
      </c>
      <c r="F2979" s="4" t="s">
        <v>6083</v>
      </c>
      <c r="G2979" s="4" t="s">
        <v>243</v>
      </c>
      <c r="H2979" s="4"/>
    </row>
    <row r="2980" s="1" customFormat="1" spans="1:8">
      <c r="A2980" s="4" t="s">
        <v>205</v>
      </c>
      <c r="B2980" s="4" t="s">
        <v>57</v>
      </c>
      <c r="C2980" s="4" t="s">
        <v>70</v>
      </c>
      <c r="D2980" s="4" t="s">
        <v>6084</v>
      </c>
      <c r="E2980" s="4">
        <v>2607307</v>
      </c>
      <c r="F2980" s="4" t="s">
        <v>6085</v>
      </c>
      <c r="G2980" s="4" t="s">
        <v>243</v>
      </c>
      <c r="H2980" s="4"/>
    </row>
    <row r="2981" s="1" customFormat="1" spans="1:8">
      <c r="A2981" s="4" t="s">
        <v>205</v>
      </c>
      <c r="B2981" s="4" t="s">
        <v>57</v>
      </c>
      <c r="C2981" s="4" t="s">
        <v>70</v>
      </c>
      <c r="D2981" s="4" t="s">
        <v>3996</v>
      </c>
      <c r="E2981" s="4">
        <v>2608750</v>
      </c>
      <c r="F2981" s="4" t="s">
        <v>6086</v>
      </c>
      <c r="G2981" s="4" t="s">
        <v>243</v>
      </c>
      <c r="H2981" s="4"/>
    </row>
    <row r="2982" s="1" customFormat="1" spans="1:8">
      <c r="A2982" s="4" t="s">
        <v>205</v>
      </c>
      <c r="B2982" s="4" t="s">
        <v>57</v>
      </c>
      <c r="C2982" s="4" t="s">
        <v>70</v>
      </c>
      <c r="D2982" s="4" t="s">
        <v>6087</v>
      </c>
      <c r="E2982" s="4">
        <v>2614303</v>
      </c>
      <c r="F2982" s="4" t="s">
        <v>6088</v>
      </c>
      <c r="G2982" s="4" t="s">
        <v>243</v>
      </c>
      <c r="H2982" s="4"/>
    </row>
    <row r="2983" s="1" customFormat="1" spans="1:8">
      <c r="A2983" s="4" t="s">
        <v>205</v>
      </c>
      <c r="B2983" s="4" t="s">
        <v>57</v>
      </c>
      <c r="C2983" s="4" t="s">
        <v>70</v>
      </c>
      <c r="D2983" s="4" t="s">
        <v>6089</v>
      </c>
      <c r="E2983" s="4">
        <v>2609808</v>
      </c>
      <c r="F2983" s="4" t="s">
        <v>6090</v>
      </c>
      <c r="G2983" s="4" t="s">
        <v>243</v>
      </c>
      <c r="H2983" s="4"/>
    </row>
    <row r="2984" s="1" customFormat="1" spans="1:8">
      <c r="A2984" s="4" t="s">
        <v>205</v>
      </c>
      <c r="B2984" s="4" t="s">
        <v>57</v>
      </c>
      <c r="C2984" s="4" t="s">
        <v>70</v>
      </c>
      <c r="D2984" s="4" t="s">
        <v>6091</v>
      </c>
      <c r="E2984" s="4">
        <v>2609907</v>
      </c>
      <c r="F2984" s="4" t="s">
        <v>6092</v>
      </c>
      <c r="G2984" s="4" t="s">
        <v>243</v>
      </c>
      <c r="H2984" s="4"/>
    </row>
    <row r="2985" s="1" customFormat="1" spans="1:8">
      <c r="A2985" s="4" t="s">
        <v>205</v>
      </c>
      <c r="B2985" s="4" t="s">
        <v>57</v>
      </c>
      <c r="C2985" s="4" t="s">
        <v>70</v>
      </c>
      <c r="D2985" s="4" t="s">
        <v>6093</v>
      </c>
      <c r="E2985" s="4">
        <v>2610400</v>
      </c>
      <c r="F2985" s="4" t="s">
        <v>6094</v>
      </c>
      <c r="G2985" s="4" t="s">
        <v>243</v>
      </c>
      <c r="H2985" s="4"/>
    </row>
    <row r="2986" s="1" customFormat="1" spans="1:8">
      <c r="A2986" s="4" t="s">
        <v>205</v>
      </c>
      <c r="B2986" s="4" t="s">
        <v>57</v>
      </c>
      <c r="C2986" s="4" t="s">
        <v>70</v>
      </c>
      <c r="D2986" s="4" t="s">
        <v>6095</v>
      </c>
      <c r="E2986" s="4">
        <v>2611101</v>
      </c>
      <c r="F2986" s="4" t="s">
        <v>6096</v>
      </c>
      <c r="G2986" s="4" t="s">
        <v>243</v>
      </c>
      <c r="H2986" s="4"/>
    </row>
    <row r="2987" s="1" customFormat="1" spans="1:8">
      <c r="A2987" s="4" t="s">
        <v>205</v>
      </c>
      <c r="B2987" s="4" t="s">
        <v>57</v>
      </c>
      <c r="C2987" s="4" t="s">
        <v>70</v>
      </c>
      <c r="D2987" s="4" t="s">
        <v>5710</v>
      </c>
      <c r="E2987" s="4">
        <v>2612455</v>
      </c>
      <c r="F2987" s="4" t="s">
        <v>6097</v>
      </c>
      <c r="G2987" s="4" t="s">
        <v>243</v>
      </c>
      <c r="H2987" s="4"/>
    </row>
    <row r="2988" s="1" customFormat="1" spans="1:8">
      <c r="A2988" s="4" t="s">
        <v>205</v>
      </c>
      <c r="B2988" s="4" t="s">
        <v>57</v>
      </c>
      <c r="C2988" s="4" t="s">
        <v>70</v>
      </c>
      <c r="D2988" s="4" t="s">
        <v>6098</v>
      </c>
      <c r="E2988" s="4">
        <v>2612554</v>
      </c>
      <c r="F2988" s="4" t="s">
        <v>6099</v>
      </c>
      <c r="G2988" s="4" t="s">
        <v>243</v>
      </c>
      <c r="H2988" s="4"/>
    </row>
    <row r="2989" s="1" customFormat="1" spans="1:8">
      <c r="A2989" s="4" t="s">
        <v>205</v>
      </c>
      <c r="B2989" s="4" t="s">
        <v>57</v>
      </c>
      <c r="C2989" s="4" t="s">
        <v>70</v>
      </c>
      <c r="D2989" s="4" t="s">
        <v>6100</v>
      </c>
      <c r="E2989" s="4">
        <v>2612604</v>
      </c>
      <c r="F2989" s="4" t="s">
        <v>6101</v>
      </c>
      <c r="G2989" s="4" t="s">
        <v>243</v>
      </c>
      <c r="H2989" s="4"/>
    </row>
    <row r="2990" s="1" customFormat="1" spans="1:8">
      <c r="A2990" s="4" t="s">
        <v>205</v>
      </c>
      <c r="B2990" s="4" t="s">
        <v>57</v>
      </c>
      <c r="C2990" s="4" t="s">
        <v>70</v>
      </c>
      <c r="D2990" s="4" t="s">
        <v>875</v>
      </c>
      <c r="E2990" s="4">
        <v>2615201</v>
      </c>
      <c r="F2990" s="4" t="s">
        <v>6102</v>
      </c>
      <c r="G2990" s="4" t="s">
        <v>243</v>
      </c>
      <c r="H2990" s="4"/>
    </row>
    <row r="2991" s="1" customFormat="1" spans="1:8">
      <c r="A2991" s="4" t="s">
        <v>205</v>
      </c>
      <c r="B2991" s="4" t="s">
        <v>57</v>
      </c>
      <c r="C2991" s="4" t="s">
        <v>70</v>
      </c>
      <c r="D2991" s="4" t="s">
        <v>2029</v>
      </c>
      <c r="E2991" s="4">
        <v>2615607</v>
      </c>
      <c r="F2991" s="4" t="s">
        <v>6103</v>
      </c>
      <c r="G2991" s="4" t="s">
        <v>243</v>
      </c>
      <c r="H2991" s="4"/>
    </row>
    <row r="2992" s="1" customFormat="1" spans="1:8">
      <c r="A2992" s="4" t="s">
        <v>205</v>
      </c>
      <c r="B2992" s="4" t="s">
        <v>57</v>
      </c>
      <c r="C2992" s="4" t="s">
        <v>72</v>
      </c>
      <c r="D2992" s="4" t="s">
        <v>73</v>
      </c>
      <c r="E2992" s="4">
        <v>2211001</v>
      </c>
      <c r="F2992" s="4" t="s">
        <v>6104</v>
      </c>
      <c r="G2992" s="4" t="s">
        <v>207</v>
      </c>
      <c r="H2992" s="4"/>
    </row>
    <row r="2993" s="1" customFormat="1" spans="1:8">
      <c r="A2993" s="4" t="s">
        <v>205</v>
      </c>
      <c r="B2993" s="4" t="s">
        <v>57</v>
      </c>
      <c r="C2993" s="4" t="s">
        <v>72</v>
      </c>
      <c r="D2993" s="4" t="s">
        <v>6105</v>
      </c>
      <c r="E2993" s="4">
        <v>2203305</v>
      </c>
      <c r="F2993" s="4" t="s">
        <v>6106</v>
      </c>
      <c r="G2993" s="4" t="s">
        <v>210</v>
      </c>
      <c r="H2993" s="4"/>
    </row>
    <row r="2994" s="1" customFormat="1" spans="1:8">
      <c r="A2994" s="4" t="s">
        <v>205</v>
      </c>
      <c r="B2994" s="4" t="s">
        <v>57</v>
      </c>
      <c r="C2994" s="4" t="s">
        <v>72</v>
      </c>
      <c r="D2994" s="4" t="s">
        <v>6107</v>
      </c>
      <c r="E2994" s="4">
        <v>2206720</v>
      </c>
      <c r="F2994" s="4" t="s">
        <v>6108</v>
      </c>
      <c r="G2994" s="4" t="s">
        <v>210</v>
      </c>
      <c r="H2994" s="4"/>
    </row>
    <row r="2995" s="1" customFormat="1" spans="1:8">
      <c r="A2995" s="4" t="s">
        <v>205</v>
      </c>
      <c r="B2995" s="4" t="s">
        <v>57</v>
      </c>
      <c r="C2995" s="4" t="s">
        <v>72</v>
      </c>
      <c r="D2995" s="4" t="s">
        <v>6109</v>
      </c>
      <c r="E2995" s="4">
        <v>2200103</v>
      </c>
      <c r="F2995" s="4" t="s">
        <v>6110</v>
      </c>
      <c r="G2995" s="4" t="s">
        <v>215</v>
      </c>
      <c r="H2995" s="4"/>
    </row>
    <row r="2996" s="1" customFormat="1" spans="1:8">
      <c r="A2996" s="4" t="s">
        <v>205</v>
      </c>
      <c r="B2996" s="4" t="s">
        <v>57</v>
      </c>
      <c r="C2996" s="4" t="s">
        <v>72</v>
      </c>
      <c r="D2996" s="4" t="s">
        <v>6111</v>
      </c>
      <c r="E2996" s="4">
        <v>2200301</v>
      </c>
      <c r="F2996" s="4" t="s">
        <v>6112</v>
      </c>
      <c r="G2996" s="4" t="s">
        <v>215</v>
      </c>
      <c r="H2996" s="4"/>
    </row>
    <row r="2997" s="1" customFormat="1" spans="1:8">
      <c r="A2997" s="4" t="s">
        <v>205</v>
      </c>
      <c r="B2997" s="4" t="s">
        <v>57</v>
      </c>
      <c r="C2997" s="4" t="s">
        <v>72</v>
      </c>
      <c r="D2997" s="4" t="s">
        <v>6113</v>
      </c>
      <c r="E2997" s="4">
        <v>2200400</v>
      </c>
      <c r="F2997" s="4" t="s">
        <v>6114</v>
      </c>
      <c r="G2997" s="4" t="s">
        <v>215</v>
      </c>
      <c r="H2997" s="4"/>
    </row>
    <row r="2998" s="1" customFormat="1" spans="1:8">
      <c r="A2998" s="4" t="s">
        <v>205</v>
      </c>
      <c r="B2998" s="4" t="s">
        <v>57</v>
      </c>
      <c r="C2998" s="4" t="s">
        <v>72</v>
      </c>
      <c r="D2998" s="4" t="s">
        <v>6115</v>
      </c>
      <c r="E2998" s="4">
        <v>2200509</v>
      </c>
      <c r="F2998" s="4" t="s">
        <v>6116</v>
      </c>
      <c r="G2998" s="4" t="s">
        <v>215</v>
      </c>
      <c r="H2998" s="4"/>
    </row>
    <row r="2999" s="1" customFormat="1" spans="1:8">
      <c r="A2999" s="4" t="s">
        <v>205</v>
      </c>
      <c r="B2999" s="4" t="s">
        <v>57</v>
      </c>
      <c r="C2999" s="4" t="s">
        <v>72</v>
      </c>
      <c r="D2999" s="4" t="s">
        <v>6117</v>
      </c>
      <c r="E2999" s="4">
        <v>2200608</v>
      </c>
      <c r="F2999" s="4" t="s">
        <v>6118</v>
      </c>
      <c r="G2999" s="4" t="s">
        <v>215</v>
      </c>
      <c r="H2999" s="4"/>
    </row>
    <row r="3000" s="1" customFormat="1" spans="1:8">
      <c r="A3000" s="4" t="s">
        <v>205</v>
      </c>
      <c r="B3000" s="4" t="s">
        <v>57</v>
      </c>
      <c r="C3000" s="4" t="s">
        <v>72</v>
      </c>
      <c r="D3000" s="4" t="s">
        <v>6119</v>
      </c>
      <c r="E3000" s="4">
        <v>2200905</v>
      </c>
      <c r="F3000" s="4" t="s">
        <v>6120</v>
      </c>
      <c r="G3000" s="4" t="s">
        <v>215</v>
      </c>
      <c r="H3000" s="4"/>
    </row>
    <row r="3001" s="1" customFormat="1" spans="1:8">
      <c r="A3001" s="4" t="s">
        <v>205</v>
      </c>
      <c r="B3001" s="4" t="s">
        <v>57</v>
      </c>
      <c r="C3001" s="4" t="s">
        <v>72</v>
      </c>
      <c r="D3001" s="4" t="s">
        <v>6121</v>
      </c>
      <c r="E3001" s="4">
        <v>2201002</v>
      </c>
      <c r="F3001" s="4" t="s">
        <v>6122</v>
      </c>
      <c r="G3001" s="4" t="s">
        <v>215</v>
      </c>
      <c r="H3001" s="4"/>
    </row>
    <row r="3002" s="1" customFormat="1" spans="1:8">
      <c r="A3002" s="4" t="s">
        <v>205</v>
      </c>
      <c r="B3002" s="4" t="s">
        <v>57</v>
      </c>
      <c r="C3002" s="4" t="s">
        <v>72</v>
      </c>
      <c r="D3002" s="4" t="s">
        <v>6123</v>
      </c>
      <c r="E3002" s="4">
        <v>2201051</v>
      </c>
      <c r="F3002" s="4" t="s">
        <v>6124</v>
      </c>
      <c r="G3002" s="4" t="s">
        <v>215</v>
      </c>
      <c r="H3002" s="4"/>
    </row>
    <row r="3003" s="1" customFormat="1" spans="1:8">
      <c r="A3003" s="4" t="s">
        <v>205</v>
      </c>
      <c r="B3003" s="4" t="s">
        <v>57</v>
      </c>
      <c r="C3003" s="4" t="s">
        <v>72</v>
      </c>
      <c r="D3003" s="4" t="s">
        <v>6125</v>
      </c>
      <c r="E3003" s="4">
        <v>2201176</v>
      </c>
      <c r="F3003" s="4" t="s">
        <v>6126</v>
      </c>
      <c r="G3003" s="4" t="s">
        <v>215</v>
      </c>
      <c r="H3003" s="4"/>
    </row>
    <row r="3004" s="1" customFormat="1" spans="1:8">
      <c r="A3004" s="4" t="s">
        <v>205</v>
      </c>
      <c r="B3004" s="4" t="s">
        <v>57</v>
      </c>
      <c r="C3004" s="4" t="s">
        <v>72</v>
      </c>
      <c r="D3004" s="4" t="s">
        <v>6127</v>
      </c>
      <c r="E3004" s="4">
        <v>2201200</v>
      </c>
      <c r="F3004" s="4" t="s">
        <v>6128</v>
      </c>
      <c r="G3004" s="4" t="s">
        <v>215</v>
      </c>
      <c r="H3004" s="4"/>
    </row>
    <row r="3005" s="1" customFormat="1" spans="1:8">
      <c r="A3005" s="4" t="s">
        <v>205</v>
      </c>
      <c r="B3005" s="4" t="s">
        <v>57</v>
      </c>
      <c r="C3005" s="4" t="s">
        <v>72</v>
      </c>
      <c r="D3005" s="4" t="s">
        <v>6129</v>
      </c>
      <c r="E3005" s="4">
        <v>2201408</v>
      </c>
      <c r="F3005" s="4" t="s">
        <v>6130</v>
      </c>
      <c r="G3005" s="4" t="s">
        <v>215</v>
      </c>
      <c r="H3005" s="4"/>
    </row>
    <row r="3006" s="1" customFormat="1" spans="1:8">
      <c r="A3006" s="4" t="s">
        <v>205</v>
      </c>
      <c r="B3006" s="4" t="s">
        <v>57</v>
      </c>
      <c r="C3006" s="4" t="s">
        <v>72</v>
      </c>
      <c r="D3006" s="4" t="s">
        <v>325</v>
      </c>
      <c r="E3006" s="4">
        <v>2201507</v>
      </c>
      <c r="F3006" s="4" t="s">
        <v>6131</v>
      </c>
      <c r="G3006" s="4" t="s">
        <v>215</v>
      </c>
      <c r="H3006" s="4"/>
    </row>
    <row r="3007" s="1" customFormat="1" spans="1:8">
      <c r="A3007" s="4" t="s">
        <v>205</v>
      </c>
      <c r="B3007" s="4" t="s">
        <v>57</v>
      </c>
      <c r="C3007" s="4" t="s">
        <v>72</v>
      </c>
      <c r="D3007" s="4" t="s">
        <v>6132</v>
      </c>
      <c r="E3007" s="4">
        <v>2201606</v>
      </c>
      <c r="F3007" s="4" t="s">
        <v>6133</v>
      </c>
      <c r="G3007" s="4" t="s">
        <v>215</v>
      </c>
      <c r="H3007" s="4"/>
    </row>
    <row r="3008" s="1" customFormat="1" spans="1:8">
      <c r="A3008" s="4" t="s">
        <v>205</v>
      </c>
      <c r="B3008" s="4" t="s">
        <v>57</v>
      </c>
      <c r="C3008" s="4" t="s">
        <v>72</v>
      </c>
      <c r="D3008" s="4" t="s">
        <v>6134</v>
      </c>
      <c r="E3008" s="4">
        <v>2201770</v>
      </c>
      <c r="F3008" s="4" t="s">
        <v>6135</v>
      </c>
      <c r="G3008" s="4" t="s">
        <v>215</v>
      </c>
      <c r="H3008" s="4"/>
    </row>
    <row r="3009" s="1" customFormat="1" spans="1:8">
      <c r="A3009" s="4" t="s">
        <v>205</v>
      </c>
      <c r="B3009" s="4" t="s">
        <v>57</v>
      </c>
      <c r="C3009" s="4" t="s">
        <v>72</v>
      </c>
      <c r="D3009" s="4" t="s">
        <v>6136</v>
      </c>
      <c r="E3009" s="4">
        <v>2201919</v>
      </c>
      <c r="F3009" s="4" t="s">
        <v>6137</v>
      </c>
      <c r="G3009" s="4" t="s">
        <v>215</v>
      </c>
      <c r="H3009" s="4"/>
    </row>
    <row r="3010" s="1" customFormat="1" spans="1:8">
      <c r="A3010" s="4" t="s">
        <v>205</v>
      </c>
      <c r="B3010" s="4" t="s">
        <v>57</v>
      </c>
      <c r="C3010" s="4" t="s">
        <v>72</v>
      </c>
      <c r="D3010" s="4" t="s">
        <v>6138</v>
      </c>
      <c r="E3010" s="4">
        <v>2201945</v>
      </c>
      <c r="F3010" s="4" t="s">
        <v>6139</v>
      </c>
      <c r="G3010" s="4" t="s">
        <v>215</v>
      </c>
      <c r="H3010" s="4"/>
    </row>
    <row r="3011" s="1" customFormat="1" spans="1:8">
      <c r="A3011" s="4" t="s">
        <v>205</v>
      </c>
      <c r="B3011" s="4" t="s">
        <v>57</v>
      </c>
      <c r="C3011" s="4" t="s">
        <v>72</v>
      </c>
      <c r="D3011" s="4" t="s">
        <v>6140</v>
      </c>
      <c r="E3011" s="4">
        <v>2201960</v>
      </c>
      <c r="F3011" s="4" t="s">
        <v>6141</v>
      </c>
      <c r="G3011" s="4" t="s">
        <v>215</v>
      </c>
      <c r="H3011" s="4"/>
    </row>
    <row r="3012" s="1" customFormat="1" spans="1:8">
      <c r="A3012" s="4" t="s">
        <v>205</v>
      </c>
      <c r="B3012" s="4" t="s">
        <v>57</v>
      </c>
      <c r="C3012" s="4" t="s">
        <v>72</v>
      </c>
      <c r="D3012" s="4" t="s">
        <v>6142</v>
      </c>
      <c r="E3012" s="4">
        <v>2202000</v>
      </c>
      <c r="F3012" s="4" t="s">
        <v>6143</v>
      </c>
      <c r="G3012" s="4" t="s">
        <v>215</v>
      </c>
      <c r="H3012" s="4"/>
    </row>
    <row r="3013" s="1" customFormat="1" spans="1:8">
      <c r="A3013" s="4" t="s">
        <v>205</v>
      </c>
      <c r="B3013" s="4" t="s">
        <v>57</v>
      </c>
      <c r="C3013" s="4" t="s">
        <v>72</v>
      </c>
      <c r="D3013" s="4" t="s">
        <v>6144</v>
      </c>
      <c r="E3013" s="4">
        <v>2202026</v>
      </c>
      <c r="F3013" s="4" t="s">
        <v>6145</v>
      </c>
      <c r="G3013" s="4" t="s">
        <v>215</v>
      </c>
      <c r="H3013" s="4"/>
    </row>
    <row r="3014" s="1" customFormat="1" spans="1:8">
      <c r="A3014" s="4" t="s">
        <v>205</v>
      </c>
      <c r="B3014" s="4" t="s">
        <v>57</v>
      </c>
      <c r="C3014" s="4" t="s">
        <v>72</v>
      </c>
      <c r="D3014" s="4" t="s">
        <v>6146</v>
      </c>
      <c r="E3014" s="4">
        <v>2202059</v>
      </c>
      <c r="F3014" s="4" t="s">
        <v>6147</v>
      </c>
      <c r="G3014" s="4" t="s">
        <v>215</v>
      </c>
      <c r="H3014" s="4"/>
    </row>
    <row r="3015" s="1" customFormat="1" spans="1:8">
      <c r="A3015" s="4" t="s">
        <v>205</v>
      </c>
      <c r="B3015" s="4" t="s">
        <v>57</v>
      </c>
      <c r="C3015" s="4" t="s">
        <v>72</v>
      </c>
      <c r="D3015" s="4" t="s">
        <v>6148</v>
      </c>
      <c r="E3015" s="4">
        <v>2202075</v>
      </c>
      <c r="F3015" s="4" t="s">
        <v>6149</v>
      </c>
      <c r="G3015" s="4" t="s">
        <v>215</v>
      </c>
      <c r="H3015" s="4"/>
    </row>
    <row r="3016" s="1" customFormat="1" spans="1:8">
      <c r="A3016" s="4" t="s">
        <v>205</v>
      </c>
      <c r="B3016" s="4" t="s">
        <v>57</v>
      </c>
      <c r="C3016" s="4" t="s">
        <v>72</v>
      </c>
      <c r="D3016" s="4" t="s">
        <v>6150</v>
      </c>
      <c r="E3016" s="4">
        <v>2202174</v>
      </c>
      <c r="F3016" s="4" t="s">
        <v>6151</v>
      </c>
      <c r="G3016" s="4" t="s">
        <v>215</v>
      </c>
      <c r="H3016" s="4"/>
    </row>
    <row r="3017" s="1" customFormat="1" spans="1:8">
      <c r="A3017" s="4" t="s">
        <v>205</v>
      </c>
      <c r="B3017" s="4" t="s">
        <v>57</v>
      </c>
      <c r="C3017" s="4" t="s">
        <v>72</v>
      </c>
      <c r="D3017" s="4" t="s">
        <v>6152</v>
      </c>
      <c r="E3017" s="4">
        <v>2202208</v>
      </c>
      <c r="F3017" s="4" t="s">
        <v>6153</v>
      </c>
      <c r="G3017" s="4" t="s">
        <v>215</v>
      </c>
      <c r="H3017" s="4"/>
    </row>
    <row r="3018" s="1" customFormat="1" spans="1:8">
      <c r="A3018" s="4" t="s">
        <v>205</v>
      </c>
      <c r="B3018" s="4" t="s">
        <v>57</v>
      </c>
      <c r="C3018" s="4" t="s">
        <v>72</v>
      </c>
      <c r="D3018" s="4" t="s">
        <v>6154</v>
      </c>
      <c r="E3018" s="4">
        <v>2202406</v>
      </c>
      <c r="F3018" s="4" t="s">
        <v>6155</v>
      </c>
      <c r="G3018" s="4" t="s">
        <v>215</v>
      </c>
      <c r="H3018" s="4"/>
    </row>
    <row r="3019" s="1" customFormat="1" spans="1:8">
      <c r="A3019" s="4" t="s">
        <v>205</v>
      </c>
      <c r="B3019" s="4" t="s">
        <v>57</v>
      </c>
      <c r="C3019" s="4" t="s">
        <v>72</v>
      </c>
      <c r="D3019" s="4" t="s">
        <v>6156</v>
      </c>
      <c r="E3019" s="4">
        <v>2202539</v>
      </c>
      <c r="F3019" s="4" t="s">
        <v>6157</v>
      </c>
      <c r="G3019" s="4" t="s">
        <v>215</v>
      </c>
      <c r="H3019" s="4"/>
    </row>
    <row r="3020" s="1" customFormat="1" spans="1:8">
      <c r="A3020" s="4" t="s">
        <v>205</v>
      </c>
      <c r="B3020" s="4" t="s">
        <v>57</v>
      </c>
      <c r="C3020" s="4" t="s">
        <v>72</v>
      </c>
      <c r="D3020" s="4" t="s">
        <v>6158</v>
      </c>
      <c r="E3020" s="4">
        <v>2202604</v>
      </c>
      <c r="F3020" s="4" t="s">
        <v>6159</v>
      </c>
      <c r="G3020" s="4" t="s">
        <v>215</v>
      </c>
      <c r="H3020" s="4"/>
    </row>
    <row r="3021" s="1" customFormat="1" spans="1:8">
      <c r="A3021" s="4" t="s">
        <v>205</v>
      </c>
      <c r="B3021" s="4" t="s">
        <v>57</v>
      </c>
      <c r="C3021" s="4" t="s">
        <v>72</v>
      </c>
      <c r="D3021" s="4" t="s">
        <v>6160</v>
      </c>
      <c r="E3021" s="4">
        <v>2202653</v>
      </c>
      <c r="F3021" s="4" t="s">
        <v>6161</v>
      </c>
      <c r="G3021" s="4" t="s">
        <v>215</v>
      </c>
      <c r="H3021" s="4"/>
    </row>
    <row r="3022" s="1" customFormat="1" spans="1:8">
      <c r="A3022" s="4" t="s">
        <v>205</v>
      </c>
      <c r="B3022" s="4" t="s">
        <v>57</v>
      </c>
      <c r="C3022" s="4" t="s">
        <v>72</v>
      </c>
      <c r="D3022" s="4" t="s">
        <v>6162</v>
      </c>
      <c r="E3022" s="4">
        <v>2202703</v>
      </c>
      <c r="F3022" s="4" t="s">
        <v>6163</v>
      </c>
      <c r="G3022" s="4" t="s">
        <v>215</v>
      </c>
      <c r="H3022" s="4"/>
    </row>
    <row r="3023" s="1" customFormat="1" spans="1:8">
      <c r="A3023" s="4" t="s">
        <v>205</v>
      </c>
      <c r="B3023" s="4" t="s">
        <v>57</v>
      </c>
      <c r="C3023" s="4" t="s">
        <v>72</v>
      </c>
      <c r="D3023" s="4" t="s">
        <v>6164</v>
      </c>
      <c r="E3023" s="4">
        <v>2202711</v>
      </c>
      <c r="F3023" s="4" t="s">
        <v>6165</v>
      </c>
      <c r="G3023" s="4" t="s">
        <v>215</v>
      </c>
      <c r="H3023" s="4"/>
    </row>
    <row r="3024" s="1" customFormat="1" spans="1:8">
      <c r="A3024" s="4" t="s">
        <v>205</v>
      </c>
      <c r="B3024" s="4" t="s">
        <v>57</v>
      </c>
      <c r="C3024" s="4" t="s">
        <v>72</v>
      </c>
      <c r="D3024" s="4" t="s">
        <v>6166</v>
      </c>
      <c r="E3024" s="4">
        <v>2202737</v>
      </c>
      <c r="F3024" s="4" t="s">
        <v>6167</v>
      </c>
      <c r="G3024" s="4" t="s">
        <v>215</v>
      </c>
      <c r="H3024" s="4"/>
    </row>
    <row r="3025" s="1" customFormat="1" spans="1:8">
      <c r="A3025" s="4" t="s">
        <v>205</v>
      </c>
      <c r="B3025" s="4" t="s">
        <v>57</v>
      </c>
      <c r="C3025" s="4" t="s">
        <v>72</v>
      </c>
      <c r="D3025" s="4" t="s">
        <v>6168</v>
      </c>
      <c r="E3025" s="4">
        <v>2203255</v>
      </c>
      <c r="F3025" s="4" t="s">
        <v>6169</v>
      </c>
      <c r="G3025" s="4" t="s">
        <v>215</v>
      </c>
      <c r="H3025" s="4"/>
    </row>
    <row r="3026" s="1" customFormat="1" spans="1:8">
      <c r="A3026" s="4" t="s">
        <v>205</v>
      </c>
      <c r="B3026" s="4" t="s">
        <v>57</v>
      </c>
      <c r="C3026" s="4" t="s">
        <v>72</v>
      </c>
      <c r="D3026" s="4" t="s">
        <v>6170</v>
      </c>
      <c r="E3026" s="4">
        <v>2203404</v>
      </c>
      <c r="F3026" s="4" t="s">
        <v>6171</v>
      </c>
      <c r="G3026" s="4" t="s">
        <v>215</v>
      </c>
      <c r="H3026" s="4"/>
    </row>
    <row r="3027" s="1" customFormat="1" spans="1:8">
      <c r="A3027" s="4" t="s">
        <v>205</v>
      </c>
      <c r="B3027" s="4" t="s">
        <v>57</v>
      </c>
      <c r="C3027" s="4" t="s">
        <v>72</v>
      </c>
      <c r="D3027" s="4" t="s">
        <v>6172</v>
      </c>
      <c r="E3027" s="4">
        <v>2203420</v>
      </c>
      <c r="F3027" s="4" t="s">
        <v>6173</v>
      </c>
      <c r="G3027" s="4" t="s">
        <v>215</v>
      </c>
      <c r="H3027" s="4"/>
    </row>
    <row r="3028" s="1" customFormat="1" spans="1:8">
      <c r="A3028" s="4" t="s">
        <v>205</v>
      </c>
      <c r="B3028" s="4" t="s">
        <v>57</v>
      </c>
      <c r="C3028" s="4" t="s">
        <v>72</v>
      </c>
      <c r="D3028" s="4" t="s">
        <v>6174</v>
      </c>
      <c r="E3028" s="4">
        <v>2203503</v>
      </c>
      <c r="F3028" s="4" t="s">
        <v>6175</v>
      </c>
      <c r="G3028" s="4" t="s">
        <v>215</v>
      </c>
      <c r="H3028" s="4"/>
    </row>
    <row r="3029" s="1" customFormat="1" spans="1:8">
      <c r="A3029" s="4" t="s">
        <v>205</v>
      </c>
      <c r="B3029" s="4" t="s">
        <v>57</v>
      </c>
      <c r="C3029" s="4" t="s">
        <v>72</v>
      </c>
      <c r="D3029" s="4" t="s">
        <v>6176</v>
      </c>
      <c r="E3029" s="4">
        <v>2203701</v>
      </c>
      <c r="F3029" s="4" t="s">
        <v>6177</v>
      </c>
      <c r="G3029" s="4" t="s">
        <v>215</v>
      </c>
      <c r="H3029" s="4"/>
    </row>
    <row r="3030" s="1" customFormat="1" spans="1:8">
      <c r="A3030" s="4" t="s">
        <v>205</v>
      </c>
      <c r="B3030" s="4" t="s">
        <v>57</v>
      </c>
      <c r="C3030" s="4" t="s">
        <v>72</v>
      </c>
      <c r="D3030" s="4" t="s">
        <v>6178</v>
      </c>
      <c r="E3030" s="4">
        <v>2203909</v>
      </c>
      <c r="F3030" s="4" t="s">
        <v>6179</v>
      </c>
      <c r="G3030" s="4" t="s">
        <v>215</v>
      </c>
      <c r="H3030" s="4"/>
    </row>
    <row r="3031" s="1" customFormat="1" spans="1:8">
      <c r="A3031" s="4" t="s">
        <v>205</v>
      </c>
      <c r="B3031" s="4" t="s">
        <v>57</v>
      </c>
      <c r="C3031" s="4" t="s">
        <v>72</v>
      </c>
      <c r="D3031" s="4" t="s">
        <v>6180</v>
      </c>
      <c r="E3031" s="4">
        <v>2204006</v>
      </c>
      <c r="F3031" s="4" t="s">
        <v>6181</v>
      </c>
      <c r="G3031" s="4" t="s">
        <v>215</v>
      </c>
      <c r="H3031" s="4"/>
    </row>
    <row r="3032" s="1" customFormat="1" spans="1:8">
      <c r="A3032" s="4" t="s">
        <v>205</v>
      </c>
      <c r="B3032" s="4" t="s">
        <v>57</v>
      </c>
      <c r="C3032" s="4" t="s">
        <v>72</v>
      </c>
      <c r="D3032" s="4" t="s">
        <v>6182</v>
      </c>
      <c r="E3032" s="4">
        <v>2204105</v>
      </c>
      <c r="F3032" s="4" t="s">
        <v>6183</v>
      </c>
      <c r="G3032" s="4" t="s">
        <v>215</v>
      </c>
      <c r="H3032" s="4"/>
    </row>
    <row r="3033" s="1" customFormat="1" spans="1:8">
      <c r="A3033" s="4" t="s">
        <v>205</v>
      </c>
      <c r="B3033" s="4" t="s">
        <v>57</v>
      </c>
      <c r="C3033" s="4" t="s">
        <v>72</v>
      </c>
      <c r="D3033" s="4" t="s">
        <v>6184</v>
      </c>
      <c r="E3033" s="4">
        <v>2204600</v>
      </c>
      <c r="F3033" s="4" t="s">
        <v>6185</v>
      </c>
      <c r="G3033" s="4" t="s">
        <v>215</v>
      </c>
      <c r="H3033" s="4"/>
    </row>
    <row r="3034" s="1" customFormat="1" spans="1:8">
      <c r="A3034" s="4" t="s">
        <v>205</v>
      </c>
      <c r="B3034" s="4" t="s">
        <v>57</v>
      </c>
      <c r="C3034" s="4" t="s">
        <v>72</v>
      </c>
      <c r="D3034" s="4" t="s">
        <v>6186</v>
      </c>
      <c r="E3034" s="4">
        <v>2204709</v>
      </c>
      <c r="F3034" s="4" t="s">
        <v>6187</v>
      </c>
      <c r="G3034" s="4" t="s">
        <v>215</v>
      </c>
      <c r="H3034" s="4"/>
    </row>
    <row r="3035" s="1" customFormat="1" spans="1:8">
      <c r="A3035" s="4" t="s">
        <v>205</v>
      </c>
      <c r="B3035" s="4" t="s">
        <v>57</v>
      </c>
      <c r="C3035" s="4" t="s">
        <v>72</v>
      </c>
      <c r="D3035" s="4" t="s">
        <v>6188</v>
      </c>
      <c r="E3035" s="4">
        <v>2204808</v>
      </c>
      <c r="F3035" s="4" t="s">
        <v>6189</v>
      </c>
      <c r="G3035" s="4" t="s">
        <v>215</v>
      </c>
      <c r="H3035" s="4"/>
    </row>
    <row r="3036" s="1" customFormat="1" spans="1:8">
      <c r="A3036" s="4" t="s">
        <v>205</v>
      </c>
      <c r="B3036" s="4" t="s">
        <v>57</v>
      </c>
      <c r="C3036" s="4" t="s">
        <v>72</v>
      </c>
      <c r="D3036" s="4" t="s">
        <v>6190</v>
      </c>
      <c r="E3036" s="4">
        <v>2205250</v>
      </c>
      <c r="F3036" s="4" t="s">
        <v>6191</v>
      </c>
      <c r="G3036" s="4" t="s">
        <v>215</v>
      </c>
      <c r="H3036" s="4"/>
    </row>
    <row r="3037" s="1" customFormat="1" spans="1:8">
      <c r="A3037" s="4" t="s">
        <v>205</v>
      </c>
      <c r="B3037" s="4" t="s">
        <v>57</v>
      </c>
      <c r="C3037" s="4" t="s">
        <v>72</v>
      </c>
      <c r="D3037" s="4" t="s">
        <v>6192</v>
      </c>
      <c r="E3037" s="4">
        <v>2205276</v>
      </c>
      <c r="F3037" s="4" t="s">
        <v>6193</v>
      </c>
      <c r="G3037" s="4" t="s">
        <v>215</v>
      </c>
      <c r="H3037" s="4"/>
    </row>
    <row r="3038" s="1" customFormat="1" spans="1:8">
      <c r="A3038" s="4" t="s">
        <v>205</v>
      </c>
      <c r="B3038" s="4" t="s">
        <v>57</v>
      </c>
      <c r="C3038" s="4" t="s">
        <v>72</v>
      </c>
      <c r="D3038" s="4" t="s">
        <v>6194</v>
      </c>
      <c r="E3038" s="4">
        <v>2205409</v>
      </c>
      <c r="F3038" s="4" t="s">
        <v>6195</v>
      </c>
      <c r="G3038" s="4" t="s">
        <v>215</v>
      </c>
      <c r="H3038" s="4"/>
    </row>
    <row r="3039" s="1" customFormat="1" spans="1:8">
      <c r="A3039" s="4" t="s">
        <v>205</v>
      </c>
      <c r="B3039" s="4" t="s">
        <v>57</v>
      </c>
      <c r="C3039" s="4" t="s">
        <v>72</v>
      </c>
      <c r="D3039" s="4" t="s">
        <v>6196</v>
      </c>
      <c r="E3039" s="4">
        <v>2205458</v>
      </c>
      <c r="F3039" s="4" t="s">
        <v>6197</v>
      </c>
      <c r="G3039" s="4" t="s">
        <v>215</v>
      </c>
      <c r="H3039" s="4"/>
    </row>
    <row r="3040" s="1" customFormat="1" spans="1:8">
      <c r="A3040" s="4" t="s">
        <v>205</v>
      </c>
      <c r="B3040" s="4" t="s">
        <v>57</v>
      </c>
      <c r="C3040" s="4" t="s">
        <v>72</v>
      </c>
      <c r="D3040" s="4" t="s">
        <v>6198</v>
      </c>
      <c r="E3040" s="4">
        <v>2205508</v>
      </c>
      <c r="F3040" s="4" t="s">
        <v>6199</v>
      </c>
      <c r="G3040" s="4" t="s">
        <v>215</v>
      </c>
      <c r="H3040" s="4"/>
    </row>
    <row r="3041" s="1" customFormat="1" spans="1:8">
      <c r="A3041" s="4" t="s">
        <v>205</v>
      </c>
      <c r="B3041" s="4" t="s">
        <v>57</v>
      </c>
      <c r="C3041" s="4" t="s">
        <v>72</v>
      </c>
      <c r="D3041" s="4" t="s">
        <v>6200</v>
      </c>
      <c r="E3041" s="4">
        <v>2205516</v>
      </c>
      <c r="F3041" s="4" t="s">
        <v>6201</v>
      </c>
      <c r="G3041" s="4" t="s">
        <v>215</v>
      </c>
      <c r="H3041" s="4"/>
    </row>
    <row r="3042" s="1" customFormat="1" spans="1:8">
      <c r="A3042" s="4" t="s">
        <v>205</v>
      </c>
      <c r="B3042" s="4" t="s">
        <v>57</v>
      </c>
      <c r="C3042" s="4" t="s">
        <v>72</v>
      </c>
      <c r="D3042" s="4" t="s">
        <v>6202</v>
      </c>
      <c r="E3042" s="4">
        <v>2205557</v>
      </c>
      <c r="F3042" s="4" t="s">
        <v>6203</v>
      </c>
      <c r="G3042" s="4" t="s">
        <v>215</v>
      </c>
      <c r="H3042" s="4"/>
    </row>
    <row r="3043" s="1" customFormat="1" spans="1:8">
      <c r="A3043" s="4" t="s">
        <v>205</v>
      </c>
      <c r="B3043" s="4" t="s">
        <v>57</v>
      </c>
      <c r="C3043" s="4" t="s">
        <v>72</v>
      </c>
      <c r="D3043" s="4" t="s">
        <v>6204</v>
      </c>
      <c r="E3043" s="4">
        <v>2205573</v>
      </c>
      <c r="F3043" s="4" t="s">
        <v>6205</v>
      </c>
      <c r="G3043" s="4" t="s">
        <v>215</v>
      </c>
      <c r="H3043" s="4"/>
    </row>
    <row r="3044" s="1" customFormat="1" spans="1:8">
      <c r="A3044" s="4" t="s">
        <v>205</v>
      </c>
      <c r="B3044" s="4" t="s">
        <v>57</v>
      </c>
      <c r="C3044" s="4" t="s">
        <v>72</v>
      </c>
      <c r="D3044" s="4" t="s">
        <v>6206</v>
      </c>
      <c r="E3044" s="4">
        <v>2205581</v>
      </c>
      <c r="F3044" s="4" t="s">
        <v>6207</v>
      </c>
      <c r="G3044" s="4" t="s">
        <v>215</v>
      </c>
      <c r="H3044" s="4"/>
    </row>
    <row r="3045" s="1" customFormat="1" spans="1:8">
      <c r="A3045" s="4" t="s">
        <v>205</v>
      </c>
      <c r="B3045" s="4" t="s">
        <v>57</v>
      </c>
      <c r="C3045" s="4" t="s">
        <v>72</v>
      </c>
      <c r="D3045" s="4" t="s">
        <v>6208</v>
      </c>
      <c r="E3045" s="4">
        <v>2205599</v>
      </c>
      <c r="F3045" s="4" t="s">
        <v>6209</v>
      </c>
      <c r="G3045" s="4" t="s">
        <v>215</v>
      </c>
      <c r="H3045" s="4"/>
    </row>
    <row r="3046" s="1" customFormat="1" spans="1:8">
      <c r="A3046" s="4" t="s">
        <v>205</v>
      </c>
      <c r="B3046" s="4" t="s">
        <v>57</v>
      </c>
      <c r="C3046" s="4" t="s">
        <v>72</v>
      </c>
      <c r="D3046" s="4" t="s">
        <v>6210</v>
      </c>
      <c r="E3046" s="4">
        <v>2205540</v>
      </c>
      <c r="F3046" s="4" t="s">
        <v>6211</v>
      </c>
      <c r="G3046" s="4" t="s">
        <v>215</v>
      </c>
      <c r="H3046" s="4"/>
    </row>
    <row r="3047" s="1" customFormat="1" spans="1:8">
      <c r="A3047" s="4" t="s">
        <v>205</v>
      </c>
      <c r="B3047" s="4" t="s">
        <v>57</v>
      </c>
      <c r="C3047" s="4" t="s">
        <v>72</v>
      </c>
      <c r="D3047" s="4" t="s">
        <v>6212</v>
      </c>
      <c r="E3047" s="4">
        <v>2205805</v>
      </c>
      <c r="F3047" s="4" t="s">
        <v>6213</v>
      </c>
      <c r="G3047" s="4" t="s">
        <v>215</v>
      </c>
      <c r="H3047" s="4"/>
    </row>
    <row r="3048" s="1" customFormat="1" spans="1:8">
      <c r="A3048" s="4" t="s">
        <v>205</v>
      </c>
      <c r="B3048" s="4" t="s">
        <v>57</v>
      </c>
      <c r="C3048" s="4" t="s">
        <v>72</v>
      </c>
      <c r="D3048" s="4" t="s">
        <v>6214</v>
      </c>
      <c r="E3048" s="4">
        <v>2205854</v>
      </c>
      <c r="F3048" s="4" t="s">
        <v>6215</v>
      </c>
      <c r="G3048" s="4" t="s">
        <v>215</v>
      </c>
      <c r="H3048" s="4"/>
    </row>
    <row r="3049" s="1" customFormat="1" spans="1:8">
      <c r="A3049" s="4" t="s">
        <v>205</v>
      </c>
      <c r="B3049" s="4" t="s">
        <v>57</v>
      </c>
      <c r="C3049" s="4" t="s">
        <v>72</v>
      </c>
      <c r="D3049" s="4" t="s">
        <v>6216</v>
      </c>
      <c r="E3049" s="4">
        <v>2206100</v>
      </c>
      <c r="F3049" s="4" t="s">
        <v>6217</v>
      </c>
      <c r="G3049" s="4" t="s">
        <v>215</v>
      </c>
      <c r="H3049" s="4"/>
    </row>
    <row r="3050" s="1" customFormat="1" spans="1:8">
      <c r="A3050" s="4" t="s">
        <v>205</v>
      </c>
      <c r="B3050" s="4" t="s">
        <v>57</v>
      </c>
      <c r="C3050" s="4" t="s">
        <v>72</v>
      </c>
      <c r="D3050" s="4" t="s">
        <v>6218</v>
      </c>
      <c r="E3050" s="4">
        <v>2206209</v>
      </c>
      <c r="F3050" s="4" t="s">
        <v>6219</v>
      </c>
      <c r="G3050" s="4" t="s">
        <v>215</v>
      </c>
      <c r="H3050" s="4"/>
    </row>
    <row r="3051" s="1" customFormat="1" spans="1:8">
      <c r="A3051" s="4" t="s">
        <v>205</v>
      </c>
      <c r="B3051" s="4" t="s">
        <v>57</v>
      </c>
      <c r="C3051" s="4" t="s">
        <v>72</v>
      </c>
      <c r="D3051" s="4" t="s">
        <v>6220</v>
      </c>
      <c r="E3051" s="4">
        <v>2206308</v>
      </c>
      <c r="F3051" s="4" t="s">
        <v>6221</v>
      </c>
      <c r="G3051" s="4" t="s">
        <v>215</v>
      </c>
      <c r="H3051" s="4"/>
    </row>
    <row r="3052" s="1" customFormat="1" spans="1:8">
      <c r="A3052" s="4" t="s">
        <v>205</v>
      </c>
      <c r="B3052" s="4" t="s">
        <v>57</v>
      </c>
      <c r="C3052" s="4" t="s">
        <v>72</v>
      </c>
      <c r="D3052" s="4" t="s">
        <v>6222</v>
      </c>
      <c r="E3052" s="4">
        <v>2206357</v>
      </c>
      <c r="F3052" s="4" t="s">
        <v>6223</v>
      </c>
      <c r="G3052" s="4" t="s">
        <v>215</v>
      </c>
      <c r="H3052" s="4"/>
    </row>
    <row r="3053" s="1" customFormat="1" spans="1:8">
      <c r="A3053" s="4" t="s">
        <v>205</v>
      </c>
      <c r="B3053" s="4" t="s">
        <v>57</v>
      </c>
      <c r="C3053" s="4" t="s">
        <v>72</v>
      </c>
      <c r="D3053" s="4" t="s">
        <v>6224</v>
      </c>
      <c r="E3053" s="4">
        <v>2206407</v>
      </c>
      <c r="F3053" s="4" t="s">
        <v>6225</v>
      </c>
      <c r="G3053" s="4" t="s">
        <v>215</v>
      </c>
      <c r="H3053" s="4"/>
    </row>
    <row r="3054" s="1" customFormat="1" spans="1:8">
      <c r="A3054" s="4" t="s">
        <v>205</v>
      </c>
      <c r="B3054" s="4" t="s">
        <v>57</v>
      </c>
      <c r="C3054" s="4" t="s">
        <v>72</v>
      </c>
      <c r="D3054" s="4" t="s">
        <v>6226</v>
      </c>
      <c r="E3054" s="4">
        <v>2206670</v>
      </c>
      <c r="F3054" s="4" t="s">
        <v>6227</v>
      </c>
      <c r="G3054" s="4" t="s">
        <v>215</v>
      </c>
      <c r="H3054" s="4"/>
    </row>
    <row r="3055" s="1" customFormat="1" spans="1:8">
      <c r="A3055" s="4" t="s">
        <v>205</v>
      </c>
      <c r="B3055" s="4" t="s">
        <v>57</v>
      </c>
      <c r="C3055" s="4" t="s">
        <v>72</v>
      </c>
      <c r="D3055" s="4" t="s">
        <v>6228</v>
      </c>
      <c r="E3055" s="4">
        <v>2206704</v>
      </c>
      <c r="F3055" s="4" t="s">
        <v>6229</v>
      </c>
      <c r="G3055" s="4" t="s">
        <v>215</v>
      </c>
      <c r="H3055" s="4"/>
    </row>
    <row r="3056" s="1" customFormat="1" spans="1:8">
      <c r="A3056" s="4" t="s">
        <v>205</v>
      </c>
      <c r="B3056" s="4" t="s">
        <v>57</v>
      </c>
      <c r="C3056" s="4" t="s">
        <v>72</v>
      </c>
      <c r="D3056" s="4" t="s">
        <v>6230</v>
      </c>
      <c r="E3056" s="4">
        <v>2206753</v>
      </c>
      <c r="F3056" s="4" t="s">
        <v>6231</v>
      </c>
      <c r="G3056" s="4" t="s">
        <v>215</v>
      </c>
      <c r="H3056" s="4"/>
    </row>
    <row r="3057" s="1" customFormat="1" spans="1:8">
      <c r="A3057" s="4" t="s">
        <v>205</v>
      </c>
      <c r="B3057" s="4" t="s">
        <v>57</v>
      </c>
      <c r="C3057" s="4" t="s">
        <v>72</v>
      </c>
      <c r="D3057" s="4" t="s">
        <v>6232</v>
      </c>
      <c r="E3057" s="4">
        <v>2206803</v>
      </c>
      <c r="F3057" s="4" t="s">
        <v>6233</v>
      </c>
      <c r="G3057" s="4" t="s">
        <v>215</v>
      </c>
      <c r="H3057" s="4"/>
    </row>
    <row r="3058" s="1" customFormat="1" spans="1:8">
      <c r="A3058" s="4" t="s">
        <v>205</v>
      </c>
      <c r="B3058" s="4" t="s">
        <v>57</v>
      </c>
      <c r="C3058" s="4" t="s">
        <v>72</v>
      </c>
      <c r="D3058" s="4" t="s">
        <v>6234</v>
      </c>
      <c r="E3058" s="4">
        <v>2206902</v>
      </c>
      <c r="F3058" s="4" t="s">
        <v>6235</v>
      </c>
      <c r="G3058" s="4" t="s">
        <v>215</v>
      </c>
      <c r="H3058" s="4"/>
    </row>
    <row r="3059" s="1" customFormat="1" spans="1:8">
      <c r="A3059" s="4" t="s">
        <v>205</v>
      </c>
      <c r="B3059" s="4" t="s">
        <v>57</v>
      </c>
      <c r="C3059" s="4" t="s">
        <v>72</v>
      </c>
      <c r="D3059" s="4" t="s">
        <v>5017</v>
      </c>
      <c r="E3059" s="4">
        <v>2206951</v>
      </c>
      <c r="F3059" s="4" t="s">
        <v>6236</v>
      </c>
      <c r="G3059" s="4" t="s">
        <v>215</v>
      </c>
      <c r="H3059" s="4"/>
    </row>
    <row r="3060" s="1" customFormat="1" spans="1:8">
      <c r="A3060" s="4" t="s">
        <v>205</v>
      </c>
      <c r="B3060" s="4" t="s">
        <v>57</v>
      </c>
      <c r="C3060" s="4" t="s">
        <v>72</v>
      </c>
      <c r="D3060" s="4" t="s">
        <v>6237</v>
      </c>
      <c r="E3060" s="4">
        <v>2207009</v>
      </c>
      <c r="F3060" s="4" t="s">
        <v>6238</v>
      </c>
      <c r="G3060" s="4" t="s">
        <v>215</v>
      </c>
      <c r="H3060" s="4"/>
    </row>
    <row r="3061" s="1" customFormat="1" spans="1:8">
      <c r="A3061" s="4" t="s">
        <v>205</v>
      </c>
      <c r="B3061" s="4" t="s">
        <v>57</v>
      </c>
      <c r="C3061" s="4" t="s">
        <v>72</v>
      </c>
      <c r="D3061" s="4" t="s">
        <v>6239</v>
      </c>
      <c r="E3061" s="4">
        <v>2207108</v>
      </c>
      <c r="F3061" s="4" t="s">
        <v>6240</v>
      </c>
      <c r="G3061" s="4" t="s">
        <v>215</v>
      </c>
      <c r="H3061" s="4"/>
    </row>
    <row r="3062" s="1" customFormat="1" spans="1:8">
      <c r="A3062" s="4" t="s">
        <v>205</v>
      </c>
      <c r="B3062" s="4" t="s">
        <v>57</v>
      </c>
      <c r="C3062" s="4" t="s">
        <v>72</v>
      </c>
      <c r="D3062" s="4" t="s">
        <v>6241</v>
      </c>
      <c r="E3062" s="4">
        <v>2207504</v>
      </c>
      <c r="F3062" s="4" t="s">
        <v>6242</v>
      </c>
      <c r="G3062" s="4" t="s">
        <v>215</v>
      </c>
      <c r="H3062" s="4"/>
    </row>
    <row r="3063" s="1" customFormat="1" spans="1:8">
      <c r="A3063" s="4" t="s">
        <v>205</v>
      </c>
      <c r="B3063" s="4" t="s">
        <v>57</v>
      </c>
      <c r="C3063" s="4" t="s">
        <v>72</v>
      </c>
      <c r="D3063" s="4" t="s">
        <v>6243</v>
      </c>
      <c r="E3063" s="4">
        <v>2207751</v>
      </c>
      <c r="F3063" s="4" t="s">
        <v>6244</v>
      </c>
      <c r="G3063" s="4" t="s">
        <v>215</v>
      </c>
      <c r="H3063" s="4"/>
    </row>
    <row r="3064" s="1" customFormat="1" spans="1:8">
      <c r="A3064" s="4" t="s">
        <v>205</v>
      </c>
      <c r="B3064" s="4" t="s">
        <v>57</v>
      </c>
      <c r="C3064" s="4" t="s">
        <v>72</v>
      </c>
      <c r="D3064" s="4" t="s">
        <v>6245</v>
      </c>
      <c r="E3064" s="4">
        <v>2207793</v>
      </c>
      <c r="F3064" s="4" t="s">
        <v>6246</v>
      </c>
      <c r="G3064" s="4" t="s">
        <v>215</v>
      </c>
      <c r="H3064" s="4"/>
    </row>
    <row r="3065" s="1" customFormat="1" spans="1:8">
      <c r="A3065" s="4" t="s">
        <v>205</v>
      </c>
      <c r="B3065" s="4" t="s">
        <v>57</v>
      </c>
      <c r="C3065" s="4" t="s">
        <v>72</v>
      </c>
      <c r="D3065" s="4" t="s">
        <v>6247</v>
      </c>
      <c r="E3065" s="4">
        <v>2207900</v>
      </c>
      <c r="F3065" s="4" t="s">
        <v>6248</v>
      </c>
      <c r="G3065" s="4" t="s">
        <v>215</v>
      </c>
      <c r="H3065" s="4"/>
    </row>
    <row r="3066" s="1" customFormat="1" spans="1:8">
      <c r="A3066" s="4" t="s">
        <v>205</v>
      </c>
      <c r="B3066" s="4" t="s">
        <v>57</v>
      </c>
      <c r="C3066" s="4" t="s">
        <v>72</v>
      </c>
      <c r="D3066" s="4" t="s">
        <v>6249</v>
      </c>
      <c r="E3066" s="4">
        <v>2208106</v>
      </c>
      <c r="F3066" s="4" t="s">
        <v>6250</v>
      </c>
      <c r="G3066" s="4" t="s">
        <v>215</v>
      </c>
      <c r="H3066" s="4"/>
    </row>
    <row r="3067" s="1" customFormat="1" spans="1:8">
      <c r="A3067" s="4" t="s">
        <v>205</v>
      </c>
      <c r="B3067" s="4" t="s">
        <v>57</v>
      </c>
      <c r="C3067" s="4" t="s">
        <v>72</v>
      </c>
      <c r="D3067" s="4" t="s">
        <v>6251</v>
      </c>
      <c r="E3067" s="4">
        <v>2208304</v>
      </c>
      <c r="F3067" s="4" t="s">
        <v>6252</v>
      </c>
      <c r="G3067" s="4" t="s">
        <v>215</v>
      </c>
      <c r="H3067" s="4"/>
    </row>
    <row r="3068" s="1" customFormat="1" spans="1:8">
      <c r="A3068" s="4" t="s">
        <v>205</v>
      </c>
      <c r="B3068" s="4" t="s">
        <v>57</v>
      </c>
      <c r="C3068" s="4" t="s">
        <v>72</v>
      </c>
      <c r="D3068" s="4" t="s">
        <v>6253</v>
      </c>
      <c r="E3068" s="4">
        <v>2208403</v>
      </c>
      <c r="F3068" s="4" t="s">
        <v>6254</v>
      </c>
      <c r="G3068" s="4" t="s">
        <v>215</v>
      </c>
      <c r="H3068" s="4"/>
    </row>
    <row r="3069" s="1" customFormat="1" spans="1:8">
      <c r="A3069" s="4" t="s">
        <v>205</v>
      </c>
      <c r="B3069" s="4" t="s">
        <v>57</v>
      </c>
      <c r="C3069" s="4" t="s">
        <v>72</v>
      </c>
      <c r="D3069" s="4" t="s">
        <v>6255</v>
      </c>
      <c r="E3069" s="4">
        <v>2208502</v>
      </c>
      <c r="F3069" s="4" t="s">
        <v>6256</v>
      </c>
      <c r="G3069" s="4" t="s">
        <v>215</v>
      </c>
      <c r="H3069" s="4"/>
    </row>
    <row r="3070" s="1" customFormat="1" spans="1:8">
      <c r="A3070" s="4" t="s">
        <v>205</v>
      </c>
      <c r="B3070" s="4" t="s">
        <v>57</v>
      </c>
      <c r="C3070" s="4" t="s">
        <v>72</v>
      </c>
      <c r="D3070" s="4" t="s">
        <v>6257</v>
      </c>
      <c r="E3070" s="4">
        <v>2208601</v>
      </c>
      <c r="F3070" s="4" t="s">
        <v>6258</v>
      </c>
      <c r="G3070" s="4" t="s">
        <v>215</v>
      </c>
      <c r="H3070" s="4"/>
    </row>
    <row r="3071" s="1" customFormat="1" spans="1:8">
      <c r="A3071" s="4" t="s">
        <v>205</v>
      </c>
      <c r="B3071" s="4" t="s">
        <v>57</v>
      </c>
      <c r="C3071" s="4" t="s">
        <v>72</v>
      </c>
      <c r="D3071" s="4" t="s">
        <v>6259</v>
      </c>
      <c r="E3071" s="4">
        <v>2208809</v>
      </c>
      <c r="F3071" s="4" t="s">
        <v>6260</v>
      </c>
      <c r="G3071" s="4" t="s">
        <v>215</v>
      </c>
      <c r="H3071" s="4"/>
    </row>
    <row r="3072" s="1" customFormat="1" spans="1:8">
      <c r="A3072" s="4" t="s">
        <v>205</v>
      </c>
      <c r="B3072" s="4" t="s">
        <v>57</v>
      </c>
      <c r="C3072" s="4" t="s">
        <v>72</v>
      </c>
      <c r="D3072" s="4" t="s">
        <v>6261</v>
      </c>
      <c r="E3072" s="4">
        <v>2209153</v>
      </c>
      <c r="F3072" s="4" t="s">
        <v>6262</v>
      </c>
      <c r="G3072" s="4" t="s">
        <v>215</v>
      </c>
      <c r="H3072" s="4"/>
    </row>
    <row r="3073" s="1" customFormat="1" spans="1:8">
      <c r="A3073" s="4" t="s">
        <v>205</v>
      </c>
      <c r="B3073" s="4" t="s">
        <v>57</v>
      </c>
      <c r="C3073" s="4" t="s">
        <v>72</v>
      </c>
      <c r="D3073" s="4" t="s">
        <v>6263</v>
      </c>
      <c r="E3073" s="4">
        <v>2209302</v>
      </c>
      <c r="F3073" s="4" t="s">
        <v>6264</v>
      </c>
      <c r="G3073" s="4" t="s">
        <v>215</v>
      </c>
      <c r="H3073" s="4"/>
    </row>
    <row r="3074" s="1" customFormat="1" spans="1:8">
      <c r="A3074" s="4" t="s">
        <v>205</v>
      </c>
      <c r="B3074" s="4" t="s">
        <v>57</v>
      </c>
      <c r="C3074" s="4" t="s">
        <v>72</v>
      </c>
      <c r="D3074" s="4" t="s">
        <v>6265</v>
      </c>
      <c r="E3074" s="4">
        <v>2209377</v>
      </c>
      <c r="F3074" s="4" t="s">
        <v>6266</v>
      </c>
      <c r="G3074" s="4" t="s">
        <v>215</v>
      </c>
      <c r="H3074" s="4"/>
    </row>
    <row r="3075" s="1" customFormat="1" spans="1:8">
      <c r="A3075" s="4" t="s">
        <v>205</v>
      </c>
      <c r="B3075" s="4" t="s">
        <v>57</v>
      </c>
      <c r="C3075" s="4" t="s">
        <v>72</v>
      </c>
      <c r="D3075" s="4" t="s">
        <v>6267</v>
      </c>
      <c r="E3075" s="4">
        <v>2209450</v>
      </c>
      <c r="F3075" s="4" t="s">
        <v>6268</v>
      </c>
      <c r="G3075" s="4" t="s">
        <v>215</v>
      </c>
      <c r="H3075" s="4"/>
    </row>
    <row r="3076" s="1" customFormat="1" spans="1:8">
      <c r="A3076" s="4" t="s">
        <v>205</v>
      </c>
      <c r="B3076" s="4" t="s">
        <v>57</v>
      </c>
      <c r="C3076" s="4" t="s">
        <v>72</v>
      </c>
      <c r="D3076" s="4" t="s">
        <v>6269</v>
      </c>
      <c r="E3076" s="4">
        <v>2210656</v>
      </c>
      <c r="F3076" s="4" t="s">
        <v>6270</v>
      </c>
      <c r="G3076" s="4" t="s">
        <v>215</v>
      </c>
      <c r="H3076" s="4"/>
    </row>
    <row r="3077" s="1" customFormat="1" spans="1:8">
      <c r="A3077" s="4" t="s">
        <v>205</v>
      </c>
      <c r="B3077" s="4" t="s">
        <v>57</v>
      </c>
      <c r="C3077" s="4" t="s">
        <v>72</v>
      </c>
      <c r="D3077" s="4" t="s">
        <v>6271</v>
      </c>
      <c r="E3077" s="4">
        <v>2209609</v>
      </c>
      <c r="F3077" s="4" t="s">
        <v>6272</v>
      </c>
      <c r="G3077" s="4" t="s">
        <v>215</v>
      </c>
      <c r="H3077" s="4"/>
    </row>
    <row r="3078" s="1" customFormat="1" spans="1:8">
      <c r="A3078" s="4" t="s">
        <v>205</v>
      </c>
      <c r="B3078" s="4" t="s">
        <v>57</v>
      </c>
      <c r="C3078" s="4" t="s">
        <v>72</v>
      </c>
      <c r="D3078" s="4" t="s">
        <v>6273</v>
      </c>
      <c r="E3078" s="4">
        <v>2209807</v>
      </c>
      <c r="F3078" s="4" t="s">
        <v>6274</v>
      </c>
      <c r="G3078" s="4" t="s">
        <v>215</v>
      </c>
      <c r="H3078" s="4"/>
    </row>
    <row r="3079" s="1" customFormat="1" spans="1:8">
      <c r="A3079" s="4" t="s">
        <v>205</v>
      </c>
      <c r="B3079" s="4" t="s">
        <v>57</v>
      </c>
      <c r="C3079" s="4" t="s">
        <v>72</v>
      </c>
      <c r="D3079" s="4" t="s">
        <v>4292</v>
      </c>
      <c r="E3079" s="4">
        <v>2210052</v>
      </c>
      <c r="F3079" s="4" t="s">
        <v>6275</v>
      </c>
      <c r="G3079" s="4" t="s">
        <v>215</v>
      </c>
      <c r="H3079" s="4"/>
    </row>
    <row r="3080" s="1" customFormat="1" spans="1:8">
      <c r="A3080" s="4" t="s">
        <v>205</v>
      </c>
      <c r="B3080" s="4" t="s">
        <v>57</v>
      </c>
      <c r="C3080" s="4" t="s">
        <v>72</v>
      </c>
      <c r="D3080" s="4" t="s">
        <v>6276</v>
      </c>
      <c r="E3080" s="4">
        <v>2210201</v>
      </c>
      <c r="F3080" s="4" t="s">
        <v>6277</v>
      </c>
      <c r="G3080" s="4" t="s">
        <v>215</v>
      </c>
      <c r="H3080" s="4"/>
    </row>
    <row r="3081" s="1" customFormat="1" spans="1:8">
      <c r="A3081" s="4" t="s">
        <v>205</v>
      </c>
      <c r="B3081" s="4" t="s">
        <v>57</v>
      </c>
      <c r="C3081" s="4" t="s">
        <v>72</v>
      </c>
      <c r="D3081" s="4" t="s">
        <v>6278</v>
      </c>
      <c r="E3081" s="4">
        <v>2209856</v>
      </c>
      <c r="F3081" s="4" t="s">
        <v>6279</v>
      </c>
      <c r="G3081" s="4" t="s">
        <v>215</v>
      </c>
      <c r="H3081" s="4"/>
    </row>
    <row r="3082" s="1" customFormat="1" spans="1:8">
      <c r="A3082" s="4" t="s">
        <v>205</v>
      </c>
      <c r="B3082" s="4" t="s">
        <v>57</v>
      </c>
      <c r="C3082" s="4" t="s">
        <v>72</v>
      </c>
      <c r="D3082" s="4" t="s">
        <v>6280</v>
      </c>
      <c r="E3082" s="4">
        <v>2209872</v>
      </c>
      <c r="F3082" s="4" t="s">
        <v>6281</v>
      </c>
      <c r="G3082" s="4" t="s">
        <v>215</v>
      </c>
      <c r="H3082" s="4"/>
    </row>
    <row r="3083" s="1" customFormat="1" spans="1:8">
      <c r="A3083" s="4" t="s">
        <v>205</v>
      </c>
      <c r="B3083" s="4" t="s">
        <v>57</v>
      </c>
      <c r="C3083" s="4" t="s">
        <v>72</v>
      </c>
      <c r="D3083" s="4" t="s">
        <v>6282</v>
      </c>
      <c r="E3083" s="4">
        <v>2209906</v>
      </c>
      <c r="F3083" s="4" t="s">
        <v>6283</v>
      </c>
      <c r="G3083" s="4" t="s">
        <v>215</v>
      </c>
      <c r="H3083" s="4"/>
    </row>
    <row r="3084" s="1" customFormat="1" spans="1:8">
      <c r="A3084" s="4" t="s">
        <v>205</v>
      </c>
      <c r="B3084" s="4" t="s">
        <v>57</v>
      </c>
      <c r="C3084" s="4" t="s">
        <v>72</v>
      </c>
      <c r="D3084" s="4" t="s">
        <v>6284</v>
      </c>
      <c r="E3084" s="4">
        <v>2209955</v>
      </c>
      <c r="F3084" s="4" t="s">
        <v>6285</v>
      </c>
      <c r="G3084" s="4" t="s">
        <v>215</v>
      </c>
      <c r="H3084" s="4"/>
    </row>
    <row r="3085" s="1" customFormat="1" spans="1:8">
      <c r="A3085" s="4" t="s">
        <v>205</v>
      </c>
      <c r="B3085" s="4" t="s">
        <v>57</v>
      </c>
      <c r="C3085" s="4" t="s">
        <v>72</v>
      </c>
      <c r="D3085" s="4" t="s">
        <v>6286</v>
      </c>
      <c r="E3085" s="4">
        <v>2209971</v>
      </c>
      <c r="F3085" s="4" t="s">
        <v>6287</v>
      </c>
      <c r="G3085" s="4" t="s">
        <v>215</v>
      </c>
      <c r="H3085" s="4"/>
    </row>
    <row r="3086" s="1" customFormat="1" spans="1:8">
      <c r="A3086" s="4" t="s">
        <v>205</v>
      </c>
      <c r="B3086" s="4" t="s">
        <v>57</v>
      </c>
      <c r="C3086" s="4" t="s">
        <v>72</v>
      </c>
      <c r="D3086" s="4" t="s">
        <v>6288</v>
      </c>
      <c r="E3086" s="4">
        <v>2210383</v>
      </c>
      <c r="F3086" s="4" t="s">
        <v>6289</v>
      </c>
      <c r="G3086" s="4" t="s">
        <v>215</v>
      </c>
      <c r="H3086" s="4"/>
    </row>
    <row r="3087" s="1" customFormat="1" spans="1:8">
      <c r="A3087" s="4" t="s">
        <v>205</v>
      </c>
      <c r="B3087" s="4" t="s">
        <v>57</v>
      </c>
      <c r="C3087" s="4" t="s">
        <v>72</v>
      </c>
      <c r="D3087" s="4" t="s">
        <v>6290</v>
      </c>
      <c r="E3087" s="4">
        <v>2210409</v>
      </c>
      <c r="F3087" s="4" t="s">
        <v>6291</v>
      </c>
      <c r="G3087" s="4" t="s">
        <v>215</v>
      </c>
      <c r="H3087" s="4"/>
    </row>
    <row r="3088" s="1" customFormat="1" spans="1:8">
      <c r="A3088" s="4" t="s">
        <v>205</v>
      </c>
      <c r="B3088" s="4" t="s">
        <v>57</v>
      </c>
      <c r="C3088" s="4" t="s">
        <v>72</v>
      </c>
      <c r="D3088" s="4" t="s">
        <v>6292</v>
      </c>
      <c r="E3088" s="4">
        <v>2210508</v>
      </c>
      <c r="F3088" s="4" t="s">
        <v>6293</v>
      </c>
      <c r="G3088" s="4" t="s">
        <v>215</v>
      </c>
      <c r="H3088" s="4"/>
    </row>
    <row r="3089" s="1" customFormat="1" spans="1:8">
      <c r="A3089" s="4" t="s">
        <v>205</v>
      </c>
      <c r="B3089" s="4" t="s">
        <v>57</v>
      </c>
      <c r="C3089" s="4" t="s">
        <v>72</v>
      </c>
      <c r="D3089" s="4" t="s">
        <v>6294</v>
      </c>
      <c r="E3089" s="4">
        <v>2210979</v>
      </c>
      <c r="F3089" s="4" t="s">
        <v>6295</v>
      </c>
      <c r="G3089" s="4" t="s">
        <v>215</v>
      </c>
      <c r="H3089" s="4"/>
    </row>
    <row r="3090" s="1" customFormat="1" spans="1:8">
      <c r="A3090" s="4" t="s">
        <v>205</v>
      </c>
      <c r="B3090" s="4" t="s">
        <v>57</v>
      </c>
      <c r="C3090" s="4" t="s">
        <v>72</v>
      </c>
      <c r="D3090" s="4" t="s">
        <v>6296</v>
      </c>
      <c r="E3090" s="4">
        <v>2211100</v>
      </c>
      <c r="F3090" s="4" t="s">
        <v>6297</v>
      </c>
      <c r="G3090" s="4" t="s">
        <v>215</v>
      </c>
      <c r="H3090" s="4"/>
    </row>
    <row r="3091" s="1" customFormat="1" spans="1:8">
      <c r="A3091" s="4" t="s">
        <v>205</v>
      </c>
      <c r="B3091" s="4" t="s">
        <v>57</v>
      </c>
      <c r="C3091" s="4" t="s">
        <v>72</v>
      </c>
      <c r="D3091" s="4" t="s">
        <v>6298</v>
      </c>
      <c r="E3091" s="4">
        <v>2211308</v>
      </c>
      <c r="F3091" s="4" t="s">
        <v>6299</v>
      </c>
      <c r="G3091" s="4" t="s">
        <v>215</v>
      </c>
      <c r="H3091" s="4"/>
    </row>
    <row r="3092" s="1" customFormat="1" spans="1:8">
      <c r="A3092" s="4" t="s">
        <v>205</v>
      </c>
      <c r="B3092" s="4" t="s">
        <v>57</v>
      </c>
      <c r="C3092" s="4" t="s">
        <v>72</v>
      </c>
      <c r="D3092" s="4" t="s">
        <v>453</v>
      </c>
      <c r="E3092" s="4">
        <v>2200202</v>
      </c>
      <c r="F3092" s="4" t="s">
        <v>6300</v>
      </c>
      <c r="G3092" s="4" t="s">
        <v>215</v>
      </c>
      <c r="H3092" s="4"/>
    </row>
    <row r="3093" s="1" customFormat="1" spans="1:8">
      <c r="A3093" s="4" t="s">
        <v>205</v>
      </c>
      <c r="B3093" s="4" t="s">
        <v>57</v>
      </c>
      <c r="C3093" s="4" t="s">
        <v>72</v>
      </c>
      <c r="D3093" s="4" t="s">
        <v>6301</v>
      </c>
      <c r="E3093" s="4">
        <v>2200053</v>
      </c>
      <c r="F3093" s="4" t="s">
        <v>6302</v>
      </c>
      <c r="G3093" s="4" t="s">
        <v>232</v>
      </c>
      <c r="H3093" s="4"/>
    </row>
    <row r="3094" s="1" customFormat="1" spans="1:8">
      <c r="A3094" s="4" t="s">
        <v>205</v>
      </c>
      <c r="B3094" s="4" t="s">
        <v>57</v>
      </c>
      <c r="C3094" s="4" t="s">
        <v>72</v>
      </c>
      <c r="D3094" s="4" t="s">
        <v>6303</v>
      </c>
      <c r="E3094" s="4">
        <v>2200251</v>
      </c>
      <c r="F3094" s="4" t="s">
        <v>6304</v>
      </c>
      <c r="G3094" s="4" t="s">
        <v>232</v>
      </c>
      <c r="H3094" s="4"/>
    </row>
    <row r="3095" s="1" customFormat="1" spans="1:8">
      <c r="A3095" s="4" t="s">
        <v>205</v>
      </c>
      <c r="B3095" s="4" t="s">
        <v>57</v>
      </c>
      <c r="C3095" s="4" t="s">
        <v>72</v>
      </c>
      <c r="D3095" s="4" t="s">
        <v>6305</v>
      </c>
      <c r="E3095" s="4">
        <v>2200277</v>
      </c>
      <c r="F3095" s="4" t="s">
        <v>6306</v>
      </c>
      <c r="G3095" s="4" t="s">
        <v>232</v>
      </c>
      <c r="H3095" s="4"/>
    </row>
    <row r="3096" s="1" customFormat="1" spans="1:8">
      <c r="A3096" s="4" t="s">
        <v>205</v>
      </c>
      <c r="B3096" s="4" t="s">
        <v>57</v>
      </c>
      <c r="C3096" s="4" t="s">
        <v>72</v>
      </c>
      <c r="D3096" s="4" t="s">
        <v>6307</v>
      </c>
      <c r="E3096" s="4">
        <v>2200459</v>
      </c>
      <c r="F3096" s="4" t="s">
        <v>6308</v>
      </c>
      <c r="G3096" s="4" t="s">
        <v>232</v>
      </c>
      <c r="H3096" s="4"/>
    </row>
    <row r="3097" s="1" customFormat="1" spans="1:8">
      <c r="A3097" s="4" t="s">
        <v>205</v>
      </c>
      <c r="B3097" s="4" t="s">
        <v>57</v>
      </c>
      <c r="C3097" s="4" t="s">
        <v>72</v>
      </c>
      <c r="D3097" s="4" t="s">
        <v>6309</v>
      </c>
      <c r="E3097" s="4">
        <v>2200806</v>
      </c>
      <c r="F3097" s="4" t="s">
        <v>6310</v>
      </c>
      <c r="G3097" s="4" t="s">
        <v>232</v>
      </c>
      <c r="H3097" s="4"/>
    </row>
    <row r="3098" s="1" customFormat="1" spans="1:8">
      <c r="A3098" s="4" t="s">
        <v>205</v>
      </c>
      <c r="B3098" s="4" t="s">
        <v>57</v>
      </c>
      <c r="C3098" s="4" t="s">
        <v>72</v>
      </c>
      <c r="D3098" s="4" t="s">
        <v>6311</v>
      </c>
      <c r="E3098" s="4">
        <v>2200707</v>
      </c>
      <c r="F3098" s="4" t="s">
        <v>6312</v>
      </c>
      <c r="G3098" s="4" t="s">
        <v>232</v>
      </c>
      <c r="H3098" s="4"/>
    </row>
    <row r="3099" s="1" customFormat="1" spans="1:8">
      <c r="A3099" s="4" t="s">
        <v>205</v>
      </c>
      <c r="B3099" s="4" t="s">
        <v>57</v>
      </c>
      <c r="C3099" s="4" t="s">
        <v>72</v>
      </c>
      <c r="D3099" s="4" t="s">
        <v>6313</v>
      </c>
      <c r="E3099" s="4">
        <v>2200954</v>
      </c>
      <c r="F3099" s="4" t="s">
        <v>6314</v>
      </c>
      <c r="G3099" s="4" t="s">
        <v>232</v>
      </c>
      <c r="H3099" s="4"/>
    </row>
    <row r="3100" s="1" customFormat="1" spans="1:8">
      <c r="A3100" s="4" t="s">
        <v>205</v>
      </c>
      <c r="B3100" s="4" t="s">
        <v>57</v>
      </c>
      <c r="C3100" s="4" t="s">
        <v>72</v>
      </c>
      <c r="D3100" s="4" t="s">
        <v>6315</v>
      </c>
      <c r="E3100" s="4">
        <v>2201150</v>
      </c>
      <c r="F3100" s="4" t="s">
        <v>6316</v>
      </c>
      <c r="G3100" s="4" t="s">
        <v>232</v>
      </c>
      <c r="H3100" s="4"/>
    </row>
    <row r="3101" s="1" customFormat="1" spans="1:8">
      <c r="A3101" s="4" t="s">
        <v>205</v>
      </c>
      <c r="B3101" s="4" t="s">
        <v>57</v>
      </c>
      <c r="C3101" s="4" t="s">
        <v>72</v>
      </c>
      <c r="D3101" s="4" t="s">
        <v>6317</v>
      </c>
      <c r="E3101" s="4">
        <v>2201556</v>
      </c>
      <c r="F3101" s="4" t="s">
        <v>6318</v>
      </c>
      <c r="G3101" s="4" t="s">
        <v>232</v>
      </c>
      <c r="H3101" s="4"/>
    </row>
    <row r="3102" s="1" customFormat="1" spans="1:8">
      <c r="A3102" s="4" t="s">
        <v>205</v>
      </c>
      <c r="B3102" s="4" t="s">
        <v>57</v>
      </c>
      <c r="C3102" s="4" t="s">
        <v>72</v>
      </c>
      <c r="D3102" s="4" t="s">
        <v>6319</v>
      </c>
      <c r="E3102" s="4">
        <v>2201572</v>
      </c>
      <c r="F3102" s="4" t="s">
        <v>6320</v>
      </c>
      <c r="G3102" s="4" t="s">
        <v>232</v>
      </c>
      <c r="H3102" s="4"/>
    </row>
    <row r="3103" s="1" customFormat="1" spans="1:8">
      <c r="A3103" s="4" t="s">
        <v>205</v>
      </c>
      <c r="B3103" s="4" t="s">
        <v>57</v>
      </c>
      <c r="C3103" s="4" t="s">
        <v>72</v>
      </c>
      <c r="D3103" s="4" t="s">
        <v>6321</v>
      </c>
      <c r="E3103" s="4">
        <v>2201705</v>
      </c>
      <c r="F3103" s="4" t="s">
        <v>6322</v>
      </c>
      <c r="G3103" s="4" t="s">
        <v>232</v>
      </c>
      <c r="H3103" s="4"/>
    </row>
    <row r="3104" s="1" customFormat="1" spans="1:8">
      <c r="A3104" s="4" t="s">
        <v>205</v>
      </c>
      <c r="B3104" s="4" t="s">
        <v>57</v>
      </c>
      <c r="C3104" s="4" t="s">
        <v>72</v>
      </c>
      <c r="D3104" s="4" t="s">
        <v>6323</v>
      </c>
      <c r="E3104" s="4">
        <v>2201739</v>
      </c>
      <c r="F3104" s="4" t="s">
        <v>6324</v>
      </c>
      <c r="G3104" s="4" t="s">
        <v>232</v>
      </c>
      <c r="H3104" s="4"/>
    </row>
    <row r="3105" s="1" customFormat="1" spans="1:8">
      <c r="A3105" s="4" t="s">
        <v>205</v>
      </c>
      <c r="B3105" s="4" t="s">
        <v>57</v>
      </c>
      <c r="C3105" s="4" t="s">
        <v>72</v>
      </c>
      <c r="D3105" s="4" t="s">
        <v>6325</v>
      </c>
      <c r="E3105" s="4">
        <v>2201804</v>
      </c>
      <c r="F3105" s="4" t="s">
        <v>6326</v>
      </c>
      <c r="G3105" s="4" t="s">
        <v>232</v>
      </c>
      <c r="H3105" s="4"/>
    </row>
    <row r="3106" s="1" customFormat="1" spans="1:8">
      <c r="A3106" s="4" t="s">
        <v>205</v>
      </c>
      <c r="B3106" s="4" t="s">
        <v>57</v>
      </c>
      <c r="C3106" s="4" t="s">
        <v>72</v>
      </c>
      <c r="D3106" s="4" t="s">
        <v>5627</v>
      </c>
      <c r="E3106" s="4">
        <v>2201903</v>
      </c>
      <c r="F3106" s="4" t="s">
        <v>6327</v>
      </c>
      <c r="G3106" s="4" t="s">
        <v>232</v>
      </c>
      <c r="H3106" s="4"/>
    </row>
    <row r="3107" s="1" customFormat="1" spans="1:8">
      <c r="A3107" s="4" t="s">
        <v>205</v>
      </c>
      <c r="B3107" s="4" t="s">
        <v>57</v>
      </c>
      <c r="C3107" s="4" t="s">
        <v>72</v>
      </c>
      <c r="D3107" s="4" t="s">
        <v>6328</v>
      </c>
      <c r="E3107" s="4">
        <v>2201929</v>
      </c>
      <c r="F3107" s="4" t="s">
        <v>6329</v>
      </c>
      <c r="G3107" s="4" t="s">
        <v>232</v>
      </c>
      <c r="H3107" s="4"/>
    </row>
    <row r="3108" s="1" customFormat="1" spans="1:8">
      <c r="A3108" s="4" t="s">
        <v>205</v>
      </c>
      <c r="B3108" s="4" t="s">
        <v>57</v>
      </c>
      <c r="C3108" s="4" t="s">
        <v>72</v>
      </c>
      <c r="D3108" s="4" t="s">
        <v>6330</v>
      </c>
      <c r="E3108" s="4">
        <v>2201988</v>
      </c>
      <c r="F3108" s="4" t="s">
        <v>6331</v>
      </c>
      <c r="G3108" s="4" t="s">
        <v>232</v>
      </c>
      <c r="H3108" s="4"/>
    </row>
    <row r="3109" s="1" customFormat="1" spans="1:8">
      <c r="A3109" s="4" t="s">
        <v>205</v>
      </c>
      <c r="B3109" s="4" t="s">
        <v>57</v>
      </c>
      <c r="C3109" s="4" t="s">
        <v>72</v>
      </c>
      <c r="D3109" s="4" t="s">
        <v>6332</v>
      </c>
      <c r="E3109" s="4">
        <v>2202083</v>
      </c>
      <c r="F3109" s="4" t="s">
        <v>6333</v>
      </c>
      <c r="G3109" s="4" t="s">
        <v>232</v>
      </c>
      <c r="H3109" s="4"/>
    </row>
    <row r="3110" s="1" customFormat="1" spans="1:8">
      <c r="A3110" s="4" t="s">
        <v>205</v>
      </c>
      <c r="B3110" s="4" t="s">
        <v>57</v>
      </c>
      <c r="C3110" s="4" t="s">
        <v>72</v>
      </c>
      <c r="D3110" s="4" t="s">
        <v>6334</v>
      </c>
      <c r="E3110" s="4">
        <v>2202091</v>
      </c>
      <c r="F3110" s="4" t="s">
        <v>6335</v>
      </c>
      <c r="G3110" s="4" t="s">
        <v>232</v>
      </c>
      <c r="H3110" s="4"/>
    </row>
    <row r="3111" s="1" customFormat="1" spans="1:8">
      <c r="A3111" s="4" t="s">
        <v>205</v>
      </c>
      <c r="B3111" s="4" t="s">
        <v>57</v>
      </c>
      <c r="C3111" s="4" t="s">
        <v>72</v>
      </c>
      <c r="D3111" s="4" t="s">
        <v>6336</v>
      </c>
      <c r="E3111" s="4">
        <v>2202109</v>
      </c>
      <c r="F3111" s="4" t="s">
        <v>6337</v>
      </c>
      <c r="G3111" s="4" t="s">
        <v>232</v>
      </c>
      <c r="H3111" s="4"/>
    </row>
    <row r="3112" s="1" customFormat="1" spans="1:8">
      <c r="A3112" s="4" t="s">
        <v>205</v>
      </c>
      <c r="B3112" s="4" t="s">
        <v>57</v>
      </c>
      <c r="C3112" s="4" t="s">
        <v>72</v>
      </c>
      <c r="D3112" s="4" t="s">
        <v>6338</v>
      </c>
      <c r="E3112" s="4">
        <v>2202117</v>
      </c>
      <c r="F3112" s="4" t="s">
        <v>6339</v>
      </c>
      <c r="G3112" s="4" t="s">
        <v>232</v>
      </c>
      <c r="H3112" s="4"/>
    </row>
    <row r="3113" s="1" customFormat="1" spans="1:8">
      <c r="A3113" s="4" t="s">
        <v>205</v>
      </c>
      <c r="B3113" s="4" t="s">
        <v>57</v>
      </c>
      <c r="C3113" s="4" t="s">
        <v>72</v>
      </c>
      <c r="D3113" s="4" t="s">
        <v>6340</v>
      </c>
      <c r="E3113" s="4">
        <v>2202133</v>
      </c>
      <c r="F3113" s="4" t="s">
        <v>6341</v>
      </c>
      <c r="G3113" s="4" t="s">
        <v>232</v>
      </c>
      <c r="H3113" s="4"/>
    </row>
    <row r="3114" s="1" customFormat="1" spans="1:8">
      <c r="A3114" s="4" t="s">
        <v>205</v>
      </c>
      <c r="B3114" s="4" t="s">
        <v>57</v>
      </c>
      <c r="C3114" s="4" t="s">
        <v>72</v>
      </c>
      <c r="D3114" s="4" t="s">
        <v>6342</v>
      </c>
      <c r="E3114" s="4">
        <v>2202251</v>
      </c>
      <c r="F3114" s="4" t="s">
        <v>6343</v>
      </c>
      <c r="G3114" s="4" t="s">
        <v>232</v>
      </c>
      <c r="H3114" s="4"/>
    </row>
    <row r="3115" s="1" customFormat="1" spans="1:8">
      <c r="A3115" s="4" t="s">
        <v>205</v>
      </c>
      <c r="B3115" s="4" t="s">
        <v>57</v>
      </c>
      <c r="C3115" s="4" t="s">
        <v>72</v>
      </c>
      <c r="D3115" s="4" t="s">
        <v>6344</v>
      </c>
      <c r="E3115" s="4">
        <v>2202307</v>
      </c>
      <c r="F3115" s="4" t="s">
        <v>6345</v>
      </c>
      <c r="G3115" s="4" t="s">
        <v>232</v>
      </c>
      <c r="H3115" s="4"/>
    </row>
    <row r="3116" s="1" customFormat="1" spans="1:8">
      <c r="A3116" s="4" t="s">
        <v>205</v>
      </c>
      <c r="B3116" s="4" t="s">
        <v>57</v>
      </c>
      <c r="C3116" s="4" t="s">
        <v>72</v>
      </c>
      <c r="D3116" s="4" t="s">
        <v>6346</v>
      </c>
      <c r="E3116" s="4">
        <v>2202455</v>
      </c>
      <c r="F3116" s="4" t="s">
        <v>6347</v>
      </c>
      <c r="G3116" s="4" t="s">
        <v>232</v>
      </c>
      <c r="H3116" s="4"/>
    </row>
    <row r="3117" s="1" customFormat="1" spans="1:8">
      <c r="A3117" s="4" t="s">
        <v>205</v>
      </c>
      <c r="B3117" s="4" t="s">
        <v>57</v>
      </c>
      <c r="C3117" s="4" t="s">
        <v>72</v>
      </c>
      <c r="D3117" s="4" t="s">
        <v>6348</v>
      </c>
      <c r="E3117" s="4">
        <v>2202554</v>
      </c>
      <c r="F3117" s="4" t="s">
        <v>6349</v>
      </c>
      <c r="G3117" s="4" t="s">
        <v>232</v>
      </c>
      <c r="H3117" s="4"/>
    </row>
    <row r="3118" s="1" customFormat="1" spans="1:8">
      <c r="A3118" s="4" t="s">
        <v>205</v>
      </c>
      <c r="B3118" s="4" t="s">
        <v>57</v>
      </c>
      <c r="C3118" s="4" t="s">
        <v>72</v>
      </c>
      <c r="D3118" s="4" t="s">
        <v>6350</v>
      </c>
      <c r="E3118" s="4">
        <v>2202729</v>
      </c>
      <c r="F3118" s="4" t="s">
        <v>6351</v>
      </c>
      <c r="G3118" s="4" t="s">
        <v>232</v>
      </c>
      <c r="H3118" s="4"/>
    </row>
    <row r="3119" s="1" customFormat="1" spans="1:8">
      <c r="A3119" s="4" t="s">
        <v>205</v>
      </c>
      <c r="B3119" s="4" t="s">
        <v>57</v>
      </c>
      <c r="C3119" s="4" t="s">
        <v>72</v>
      </c>
      <c r="D3119" s="4" t="s">
        <v>6352</v>
      </c>
      <c r="E3119" s="4">
        <v>2202752</v>
      </c>
      <c r="F3119" s="4" t="s">
        <v>6353</v>
      </c>
      <c r="G3119" s="4" t="s">
        <v>232</v>
      </c>
      <c r="H3119" s="4"/>
    </row>
    <row r="3120" s="1" customFormat="1" spans="1:8">
      <c r="A3120" s="4" t="s">
        <v>205</v>
      </c>
      <c r="B3120" s="4" t="s">
        <v>57</v>
      </c>
      <c r="C3120" s="4" t="s">
        <v>72</v>
      </c>
      <c r="D3120" s="4" t="s">
        <v>6354</v>
      </c>
      <c r="E3120" s="4">
        <v>2202778</v>
      </c>
      <c r="F3120" s="4" t="s">
        <v>6355</v>
      </c>
      <c r="G3120" s="4" t="s">
        <v>232</v>
      </c>
      <c r="H3120" s="4"/>
    </row>
    <row r="3121" s="1" customFormat="1" spans="1:8">
      <c r="A3121" s="4" t="s">
        <v>205</v>
      </c>
      <c r="B3121" s="4" t="s">
        <v>57</v>
      </c>
      <c r="C3121" s="4" t="s">
        <v>72</v>
      </c>
      <c r="D3121" s="4" t="s">
        <v>6356</v>
      </c>
      <c r="E3121" s="4">
        <v>2202802</v>
      </c>
      <c r="F3121" s="4" t="s">
        <v>6357</v>
      </c>
      <c r="G3121" s="4" t="s">
        <v>232</v>
      </c>
      <c r="H3121" s="4"/>
    </row>
    <row r="3122" s="1" customFormat="1" spans="1:8">
      <c r="A3122" s="4" t="s">
        <v>205</v>
      </c>
      <c r="B3122" s="4" t="s">
        <v>57</v>
      </c>
      <c r="C3122" s="4" t="s">
        <v>72</v>
      </c>
      <c r="D3122" s="4" t="s">
        <v>6358</v>
      </c>
      <c r="E3122" s="4">
        <v>2202851</v>
      </c>
      <c r="F3122" s="4" t="s">
        <v>6359</v>
      </c>
      <c r="G3122" s="4" t="s">
        <v>232</v>
      </c>
      <c r="H3122" s="4"/>
    </row>
    <row r="3123" s="1" customFormat="1" spans="1:8">
      <c r="A3123" s="4" t="s">
        <v>205</v>
      </c>
      <c r="B3123" s="4" t="s">
        <v>57</v>
      </c>
      <c r="C3123" s="4" t="s">
        <v>72</v>
      </c>
      <c r="D3123" s="4" t="s">
        <v>6360</v>
      </c>
      <c r="E3123" s="4">
        <v>2203107</v>
      </c>
      <c r="F3123" s="4" t="s">
        <v>6361</v>
      </c>
      <c r="G3123" s="4" t="s">
        <v>232</v>
      </c>
      <c r="H3123" s="4"/>
    </row>
    <row r="3124" s="1" customFormat="1" spans="1:8">
      <c r="A3124" s="4" t="s">
        <v>205</v>
      </c>
      <c r="B3124" s="4" t="s">
        <v>57</v>
      </c>
      <c r="C3124" s="4" t="s">
        <v>72</v>
      </c>
      <c r="D3124" s="4" t="s">
        <v>6362</v>
      </c>
      <c r="E3124" s="4">
        <v>2203271</v>
      </c>
      <c r="F3124" s="4" t="s">
        <v>6363</v>
      </c>
      <c r="G3124" s="4" t="s">
        <v>232</v>
      </c>
      <c r="H3124" s="4"/>
    </row>
    <row r="3125" s="1" customFormat="1" spans="1:8">
      <c r="A3125" s="4" t="s">
        <v>205</v>
      </c>
      <c r="B3125" s="4" t="s">
        <v>57</v>
      </c>
      <c r="C3125" s="4" t="s">
        <v>72</v>
      </c>
      <c r="D3125" s="4" t="s">
        <v>6364</v>
      </c>
      <c r="E3125" s="4">
        <v>2203354</v>
      </c>
      <c r="F3125" s="4" t="s">
        <v>6365</v>
      </c>
      <c r="G3125" s="4" t="s">
        <v>232</v>
      </c>
      <c r="H3125" s="4"/>
    </row>
    <row r="3126" s="1" customFormat="1" spans="1:8">
      <c r="A3126" s="4" t="s">
        <v>205</v>
      </c>
      <c r="B3126" s="4" t="s">
        <v>57</v>
      </c>
      <c r="C3126" s="4" t="s">
        <v>72</v>
      </c>
      <c r="D3126" s="4" t="s">
        <v>6366</v>
      </c>
      <c r="E3126" s="4">
        <v>2203453</v>
      </c>
      <c r="F3126" s="4" t="s">
        <v>6367</v>
      </c>
      <c r="G3126" s="4" t="s">
        <v>232</v>
      </c>
      <c r="H3126" s="4"/>
    </row>
    <row r="3127" s="1" customFormat="1" spans="1:8">
      <c r="A3127" s="4" t="s">
        <v>205</v>
      </c>
      <c r="B3127" s="4" t="s">
        <v>57</v>
      </c>
      <c r="C3127" s="4" t="s">
        <v>72</v>
      </c>
      <c r="D3127" s="4" t="s">
        <v>6368</v>
      </c>
      <c r="E3127" s="4">
        <v>2203602</v>
      </c>
      <c r="F3127" s="4" t="s">
        <v>6369</v>
      </c>
      <c r="G3127" s="4" t="s">
        <v>232</v>
      </c>
      <c r="H3127" s="4"/>
    </row>
    <row r="3128" s="1" customFormat="1" spans="1:8">
      <c r="A3128" s="4" t="s">
        <v>205</v>
      </c>
      <c r="B3128" s="4" t="s">
        <v>57</v>
      </c>
      <c r="C3128" s="4" t="s">
        <v>72</v>
      </c>
      <c r="D3128" s="4" t="s">
        <v>6370</v>
      </c>
      <c r="E3128" s="4">
        <v>2203750</v>
      </c>
      <c r="F3128" s="4" t="s">
        <v>6371</v>
      </c>
      <c r="G3128" s="4" t="s">
        <v>232</v>
      </c>
      <c r="H3128" s="4"/>
    </row>
    <row r="3129" s="1" customFormat="1" spans="1:8">
      <c r="A3129" s="4" t="s">
        <v>205</v>
      </c>
      <c r="B3129" s="4" t="s">
        <v>57</v>
      </c>
      <c r="C3129" s="4" t="s">
        <v>72</v>
      </c>
      <c r="D3129" s="4" t="s">
        <v>6372</v>
      </c>
      <c r="E3129" s="4">
        <v>2203800</v>
      </c>
      <c r="F3129" s="4" t="s">
        <v>6373</v>
      </c>
      <c r="G3129" s="4" t="s">
        <v>232</v>
      </c>
      <c r="H3129" s="4"/>
    </row>
    <row r="3130" s="1" customFormat="1" spans="1:8">
      <c r="A3130" s="4" t="s">
        <v>205</v>
      </c>
      <c r="B3130" s="4" t="s">
        <v>57</v>
      </c>
      <c r="C3130" s="4" t="s">
        <v>72</v>
      </c>
      <c r="D3130" s="4" t="s">
        <v>6374</v>
      </c>
      <c r="E3130" s="4">
        <v>2203859</v>
      </c>
      <c r="F3130" s="4" t="s">
        <v>6375</v>
      </c>
      <c r="G3130" s="4" t="s">
        <v>232</v>
      </c>
      <c r="H3130" s="4"/>
    </row>
    <row r="3131" s="1" customFormat="1" spans="1:8">
      <c r="A3131" s="4" t="s">
        <v>205</v>
      </c>
      <c r="B3131" s="4" t="s">
        <v>57</v>
      </c>
      <c r="C3131" s="4" t="s">
        <v>72</v>
      </c>
      <c r="D3131" s="4" t="s">
        <v>6376</v>
      </c>
      <c r="E3131" s="4">
        <v>2204154</v>
      </c>
      <c r="F3131" s="4" t="s">
        <v>6377</v>
      </c>
      <c r="G3131" s="4" t="s">
        <v>232</v>
      </c>
      <c r="H3131" s="4"/>
    </row>
    <row r="3132" s="1" customFormat="1" spans="1:8">
      <c r="A3132" s="4" t="s">
        <v>205</v>
      </c>
      <c r="B3132" s="4" t="s">
        <v>57</v>
      </c>
      <c r="C3132" s="4" t="s">
        <v>72</v>
      </c>
      <c r="D3132" s="4" t="s">
        <v>6378</v>
      </c>
      <c r="E3132" s="4">
        <v>2204204</v>
      </c>
      <c r="F3132" s="4" t="s">
        <v>6379</v>
      </c>
      <c r="G3132" s="4" t="s">
        <v>232</v>
      </c>
      <c r="H3132" s="4"/>
    </row>
    <row r="3133" s="1" customFormat="1" spans="1:8">
      <c r="A3133" s="4" t="s">
        <v>205</v>
      </c>
      <c r="B3133" s="4" t="s">
        <v>57</v>
      </c>
      <c r="C3133" s="4" t="s">
        <v>72</v>
      </c>
      <c r="D3133" s="4" t="s">
        <v>6380</v>
      </c>
      <c r="E3133" s="4">
        <v>2204303</v>
      </c>
      <c r="F3133" s="4" t="s">
        <v>6381</v>
      </c>
      <c r="G3133" s="4" t="s">
        <v>232</v>
      </c>
      <c r="H3133" s="4"/>
    </row>
    <row r="3134" s="1" customFormat="1" spans="1:8">
      <c r="A3134" s="4" t="s">
        <v>205</v>
      </c>
      <c r="B3134" s="4" t="s">
        <v>57</v>
      </c>
      <c r="C3134" s="4" t="s">
        <v>72</v>
      </c>
      <c r="D3134" s="4" t="s">
        <v>6382</v>
      </c>
      <c r="E3134" s="4">
        <v>2204352</v>
      </c>
      <c r="F3134" s="4" t="s">
        <v>6383</v>
      </c>
      <c r="G3134" s="4" t="s">
        <v>232</v>
      </c>
      <c r="H3134" s="4"/>
    </row>
    <row r="3135" s="1" customFormat="1" spans="1:8">
      <c r="A3135" s="4" t="s">
        <v>205</v>
      </c>
      <c r="B3135" s="4" t="s">
        <v>57</v>
      </c>
      <c r="C3135" s="4" t="s">
        <v>72</v>
      </c>
      <c r="D3135" s="4" t="s">
        <v>6384</v>
      </c>
      <c r="E3135" s="4">
        <v>2204501</v>
      </c>
      <c r="F3135" s="4" t="s">
        <v>6385</v>
      </c>
      <c r="G3135" s="4" t="s">
        <v>232</v>
      </c>
      <c r="H3135" s="4"/>
    </row>
    <row r="3136" s="1" customFormat="1" spans="1:8">
      <c r="A3136" s="4" t="s">
        <v>205</v>
      </c>
      <c r="B3136" s="4" t="s">
        <v>57</v>
      </c>
      <c r="C3136" s="4" t="s">
        <v>72</v>
      </c>
      <c r="D3136" s="4" t="s">
        <v>6386</v>
      </c>
      <c r="E3136" s="4">
        <v>2204659</v>
      </c>
      <c r="F3136" s="4" t="s">
        <v>6387</v>
      </c>
      <c r="G3136" s="4" t="s">
        <v>232</v>
      </c>
      <c r="H3136" s="4"/>
    </row>
    <row r="3137" s="1" customFormat="1" spans="1:8">
      <c r="A3137" s="4" t="s">
        <v>205</v>
      </c>
      <c r="B3137" s="4" t="s">
        <v>57</v>
      </c>
      <c r="C3137" s="4" t="s">
        <v>72</v>
      </c>
      <c r="D3137" s="4" t="s">
        <v>6388</v>
      </c>
      <c r="E3137" s="4">
        <v>2204907</v>
      </c>
      <c r="F3137" s="4" t="s">
        <v>6389</v>
      </c>
      <c r="G3137" s="4" t="s">
        <v>232</v>
      </c>
      <c r="H3137" s="4"/>
    </row>
    <row r="3138" s="1" customFormat="1" spans="1:8">
      <c r="A3138" s="4" t="s">
        <v>205</v>
      </c>
      <c r="B3138" s="4" t="s">
        <v>57</v>
      </c>
      <c r="C3138" s="4" t="s">
        <v>72</v>
      </c>
      <c r="D3138" s="4" t="s">
        <v>6390</v>
      </c>
      <c r="E3138" s="4">
        <v>2205003</v>
      </c>
      <c r="F3138" s="4" t="s">
        <v>6391</v>
      </c>
      <c r="G3138" s="4" t="s">
        <v>232</v>
      </c>
      <c r="H3138" s="4"/>
    </row>
    <row r="3139" s="1" customFormat="1" spans="1:8">
      <c r="A3139" s="4" t="s">
        <v>205</v>
      </c>
      <c r="B3139" s="4" t="s">
        <v>57</v>
      </c>
      <c r="C3139" s="4" t="s">
        <v>72</v>
      </c>
      <c r="D3139" s="4" t="s">
        <v>6392</v>
      </c>
      <c r="E3139" s="4">
        <v>2205102</v>
      </c>
      <c r="F3139" s="4" t="s">
        <v>6393</v>
      </c>
      <c r="G3139" s="4" t="s">
        <v>232</v>
      </c>
      <c r="H3139" s="4"/>
    </row>
    <row r="3140" s="1" customFormat="1" spans="1:8">
      <c r="A3140" s="4" t="s">
        <v>205</v>
      </c>
      <c r="B3140" s="4" t="s">
        <v>57</v>
      </c>
      <c r="C3140" s="4" t="s">
        <v>72</v>
      </c>
      <c r="D3140" s="4" t="s">
        <v>6394</v>
      </c>
      <c r="E3140" s="4">
        <v>2205151</v>
      </c>
      <c r="F3140" s="4" t="s">
        <v>6395</v>
      </c>
      <c r="G3140" s="4" t="s">
        <v>232</v>
      </c>
      <c r="H3140" s="4"/>
    </row>
    <row r="3141" s="1" customFormat="1" spans="1:8">
      <c r="A3141" s="4" t="s">
        <v>205</v>
      </c>
      <c r="B3141" s="4" t="s">
        <v>57</v>
      </c>
      <c r="C3141" s="4" t="s">
        <v>72</v>
      </c>
      <c r="D3141" s="4" t="s">
        <v>6396</v>
      </c>
      <c r="E3141" s="4">
        <v>2205201</v>
      </c>
      <c r="F3141" s="4" t="s">
        <v>6397</v>
      </c>
      <c r="G3141" s="4" t="s">
        <v>232</v>
      </c>
      <c r="H3141" s="4"/>
    </row>
    <row r="3142" s="1" customFormat="1" spans="1:8">
      <c r="A3142" s="4" t="s">
        <v>205</v>
      </c>
      <c r="B3142" s="4" t="s">
        <v>57</v>
      </c>
      <c r="C3142" s="4" t="s">
        <v>72</v>
      </c>
      <c r="D3142" s="4" t="s">
        <v>6398</v>
      </c>
      <c r="E3142" s="4">
        <v>2205300</v>
      </c>
      <c r="F3142" s="4" t="s">
        <v>6399</v>
      </c>
      <c r="G3142" s="4" t="s">
        <v>232</v>
      </c>
      <c r="H3142" s="4"/>
    </row>
    <row r="3143" s="1" customFormat="1" spans="1:8">
      <c r="A3143" s="4" t="s">
        <v>205</v>
      </c>
      <c r="B3143" s="4" t="s">
        <v>57</v>
      </c>
      <c r="C3143" s="4" t="s">
        <v>72</v>
      </c>
      <c r="D3143" s="4" t="s">
        <v>6400</v>
      </c>
      <c r="E3143" s="4">
        <v>2205359</v>
      </c>
      <c r="F3143" s="4" t="s">
        <v>6401</v>
      </c>
      <c r="G3143" s="4" t="s">
        <v>232</v>
      </c>
      <c r="H3143" s="4"/>
    </row>
    <row r="3144" s="1" customFormat="1" spans="1:8">
      <c r="A3144" s="4" t="s">
        <v>205</v>
      </c>
      <c r="B3144" s="4" t="s">
        <v>57</v>
      </c>
      <c r="C3144" s="4" t="s">
        <v>72</v>
      </c>
      <c r="D3144" s="4" t="s">
        <v>5877</v>
      </c>
      <c r="E3144" s="4">
        <v>2205532</v>
      </c>
      <c r="F3144" s="4" t="s">
        <v>6402</v>
      </c>
      <c r="G3144" s="4" t="s">
        <v>232</v>
      </c>
      <c r="H3144" s="4"/>
    </row>
    <row r="3145" s="1" customFormat="1" spans="1:8">
      <c r="A3145" s="4" t="s">
        <v>205</v>
      </c>
      <c r="B3145" s="4" t="s">
        <v>57</v>
      </c>
      <c r="C3145" s="4" t="s">
        <v>72</v>
      </c>
      <c r="D3145" s="4" t="s">
        <v>6403</v>
      </c>
      <c r="E3145" s="4">
        <v>2205565</v>
      </c>
      <c r="F3145" s="4" t="s">
        <v>6404</v>
      </c>
      <c r="G3145" s="4" t="s">
        <v>232</v>
      </c>
      <c r="H3145" s="4"/>
    </row>
    <row r="3146" s="1" customFormat="1" spans="1:8">
      <c r="A3146" s="4" t="s">
        <v>205</v>
      </c>
      <c r="B3146" s="4" t="s">
        <v>57</v>
      </c>
      <c r="C3146" s="4" t="s">
        <v>72</v>
      </c>
      <c r="D3146" s="4" t="s">
        <v>6405</v>
      </c>
      <c r="E3146" s="4">
        <v>2205607</v>
      </c>
      <c r="F3146" s="4" t="s">
        <v>6406</v>
      </c>
      <c r="G3146" s="4" t="s">
        <v>232</v>
      </c>
      <c r="H3146" s="4"/>
    </row>
    <row r="3147" s="1" customFormat="1" spans="1:8">
      <c r="A3147" s="4" t="s">
        <v>205</v>
      </c>
      <c r="B3147" s="4" t="s">
        <v>57</v>
      </c>
      <c r="C3147" s="4" t="s">
        <v>72</v>
      </c>
      <c r="D3147" s="4" t="s">
        <v>6407</v>
      </c>
      <c r="E3147" s="4">
        <v>2205706</v>
      </c>
      <c r="F3147" s="4" t="s">
        <v>6408</v>
      </c>
      <c r="G3147" s="4" t="s">
        <v>232</v>
      </c>
      <c r="H3147" s="4"/>
    </row>
    <row r="3148" s="1" customFormat="1" spans="1:8">
      <c r="A3148" s="4" t="s">
        <v>205</v>
      </c>
      <c r="B3148" s="4" t="s">
        <v>57</v>
      </c>
      <c r="C3148" s="4" t="s">
        <v>72</v>
      </c>
      <c r="D3148" s="4" t="s">
        <v>6409</v>
      </c>
      <c r="E3148" s="4">
        <v>2205904</v>
      </c>
      <c r="F3148" s="4" t="s">
        <v>6410</v>
      </c>
      <c r="G3148" s="4" t="s">
        <v>232</v>
      </c>
      <c r="H3148" s="4"/>
    </row>
    <row r="3149" s="1" customFormat="1" spans="1:8">
      <c r="A3149" s="4" t="s">
        <v>205</v>
      </c>
      <c r="B3149" s="4" t="s">
        <v>57</v>
      </c>
      <c r="C3149" s="4" t="s">
        <v>72</v>
      </c>
      <c r="D3149" s="4" t="s">
        <v>6411</v>
      </c>
      <c r="E3149" s="4">
        <v>2205953</v>
      </c>
      <c r="F3149" s="4" t="s">
        <v>6412</v>
      </c>
      <c r="G3149" s="4" t="s">
        <v>232</v>
      </c>
      <c r="H3149" s="4"/>
    </row>
    <row r="3150" s="1" customFormat="1" spans="1:8">
      <c r="A3150" s="4" t="s">
        <v>205</v>
      </c>
      <c r="B3150" s="4" t="s">
        <v>57</v>
      </c>
      <c r="C3150" s="4" t="s">
        <v>72</v>
      </c>
      <c r="D3150" s="4" t="s">
        <v>6413</v>
      </c>
      <c r="E3150" s="4">
        <v>2206001</v>
      </c>
      <c r="F3150" s="4" t="s">
        <v>6414</v>
      </c>
      <c r="G3150" s="4" t="s">
        <v>232</v>
      </c>
      <c r="H3150" s="4"/>
    </row>
    <row r="3151" s="1" customFormat="1" spans="1:8">
      <c r="A3151" s="4" t="s">
        <v>205</v>
      </c>
      <c r="B3151" s="4" t="s">
        <v>57</v>
      </c>
      <c r="C3151" s="4" t="s">
        <v>72</v>
      </c>
      <c r="D3151" s="4" t="s">
        <v>6415</v>
      </c>
      <c r="E3151" s="4">
        <v>2206050</v>
      </c>
      <c r="F3151" s="4" t="s">
        <v>6416</v>
      </c>
      <c r="G3151" s="4" t="s">
        <v>232</v>
      </c>
      <c r="H3151" s="4"/>
    </row>
    <row r="3152" s="1" customFormat="1" spans="1:8">
      <c r="A3152" s="4" t="s">
        <v>205</v>
      </c>
      <c r="B3152" s="4" t="s">
        <v>57</v>
      </c>
      <c r="C3152" s="4" t="s">
        <v>72</v>
      </c>
      <c r="D3152" s="4" t="s">
        <v>6417</v>
      </c>
      <c r="E3152" s="4">
        <v>2206506</v>
      </c>
      <c r="F3152" s="4" t="s">
        <v>6418</v>
      </c>
      <c r="G3152" s="4" t="s">
        <v>232</v>
      </c>
      <c r="H3152" s="4"/>
    </row>
    <row r="3153" s="1" customFormat="1" spans="1:8">
      <c r="A3153" s="4" t="s">
        <v>205</v>
      </c>
      <c r="B3153" s="4" t="s">
        <v>57</v>
      </c>
      <c r="C3153" s="4" t="s">
        <v>72</v>
      </c>
      <c r="D3153" s="4" t="s">
        <v>6419</v>
      </c>
      <c r="E3153" s="4">
        <v>2206696</v>
      </c>
      <c r="F3153" s="4" t="s">
        <v>6420</v>
      </c>
      <c r="G3153" s="4" t="s">
        <v>232</v>
      </c>
      <c r="H3153" s="4"/>
    </row>
    <row r="3154" s="1" customFormat="1" spans="1:8">
      <c r="A3154" s="4" t="s">
        <v>205</v>
      </c>
      <c r="B3154" s="4" t="s">
        <v>57</v>
      </c>
      <c r="C3154" s="4" t="s">
        <v>72</v>
      </c>
      <c r="D3154" s="4" t="s">
        <v>6421</v>
      </c>
      <c r="E3154" s="4">
        <v>2207959</v>
      </c>
      <c r="F3154" s="4" t="s">
        <v>6422</v>
      </c>
      <c r="G3154" s="4" t="s">
        <v>232</v>
      </c>
      <c r="H3154" s="4"/>
    </row>
    <row r="3155" s="1" customFormat="1" spans="1:8">
      <c r="A3155" s="4" t="s">
        <v>205</v>
      </c>
      <c r="B3155" s="4" t="s">
        <v>57</v>
      </c>
      <c r="C3155" s="4" t="s">
        <v>72</v>
      </c>
      <c r="D3155" s="4" t="s">
        <v>6423</v>
      </c>
      <c r="E3155" s="4">
        <v>2207207</v>
      </c>
      <c r="F3155" s="4" t="s">
        <v>6424</v>
      </c>
      <c r="G3155" s="4" t="s">
        <v>232</v>
      </c>
      <c r="H3155" s="4"/>
    </row>
    <row r="3156" s="1" customFormat="1" spans="1:8">
      <c r="A3156" s="4" t="s">
        <v>205</v>
      </c>
      <c r="B3156" s="4" t="s">
        <v>57</v>
      </c>
      <c r="C3156" s="4" t="s">
        <v>72</v>
      </c>
      <c r="D3156" s="4" t="s">
        <v>6425</v>
      </c>
      <c r="E3156" s="4">
        <v>2207306</v>
      </c>
      <c r="F3156" s="4" t="s">
        <v>6426</v>
      </c>
      <c r="G3156" s="4" t="s">
        <v>232</v>
      </c>
      <c r="H3156" s="4"/>
    </row>
    <row r="3157" s="1" customFormat="1" spans="1:8">
      <c r="A3157" s="4" t="s">
        <v>205</v>
      </c>
      <c r="B3157" s="4" t="s">
        <v>57</v>
      </c>
      <c r="C3157" s="4" t="s">
        <v>72</v>
      </c>
      <c r="D3157" s="4" t="s">
        <v>6427</v>
      </c>
      <c r="E3157" s="4">
        <v>2207355</v>
      </c>
      <c r="F3157" s="4" t="s">
        <v>6428</v>
      </c>
      <c r="G3157" s="4" t="s">
        <v>232</v>
      </c>
      <c r="H3157" s="4"/>
    </row>
    <row r="3158" s="1" customFormat="1" spans="1:8">
      <c r="A3158" s="4" t="s">
        <v>205</v>
      </c>
      <c r="B3158" s="4" t="s">
        <v>57</v>
      </c>
      <c r="C3158" s="4" t="s">
        <v>72</v>
      </c>
      <c r="D3158" s="4" t="s">
        <v>6429</v>
      </c>
      <c r="E3158" s="4">
        <v>2207405</v>
      </c>
      <c r="F3158" s="4" t="s">
        <v>6430</v>
      </c>
      <c r="G3158" s="4" t="s">
        <v>232</v>
      </c>
      <c r="H3158" s="4"/>
    </row>
    <row r="3159" s="1" customFormat="1" spans="1:8">
      <c r="A3159" s="4" t="s">
        <v>205</v>
      </c>
      <c r="B3159" s="4" t="s">
        <v>57</v>
      </c>
      <c r="C3159" s="4" t="s">
        <v>72</v>
      </c>
      <c r="D3159" s="4" t="s">
        <v>6431</v>
      </c>
      <c r="E3159" s="4">
        <v>2207553</v>
      </c>
      <c r="F3159" s="4" t="s">
        <v>6432</v>
      </c>
      <c r="G3159" s="4" t="s">
        <v>232</v>
      </c>
      <c r="H3159" s="4"/>
    </row>
    <row r="3160" s="1" customFormat="1" spans="1:8">
      <c r="A3160" s="4" t="s">
        <v>205</v>
      </c>
      <c r="B3160" s="4" t="s">
        <v>57</v>
      </c>
      <c r="C3160" s="4" t="s">
        <v>72</v>
      </c>
      <c r="D3160" s="4" t="s">
        <v>6433</v>
      </c>
      <c r="E3160" s="4">
        <v>2207702</v>
      </c>
      <c r="F3160" s="4" t="s">
        <v>6434</v>
      </c>
      <c r="G3160" s="4" t="s">
        <v>232</v>
      </c>
      <c r="H3160" s="4"/>
    </row>
    <row r="3161" s="1" customFormat="1" spans="1:8">
      <c r="A3161" s="4" t="s">
        <v>205</v>
      </c>
      <c r="B3161" s="4" t="s">
        <v>57</v>
      </c>
      <c r="C3161" s="4" t="s">
        <v>72</v>
      </c>
      <c r="D3161" s="4" t="s">
        <v>6435</v>
      </c>
      <c r="E3161" s="4">
        <v>2207777</v>
      </c>
      <c r="F3161" s="4" t="s">
        <v>6436</v>
      </c>
      <c r="G3161" s="4" t="s">
        <v>232</v>
      </c>
      <c r="H3161" s="4"/>
    </row>
    <row r="3162" s="1" customFormat="1" spans="1:8">
      <c r="A3162" s="4" t="s">
        <v>205</v>
      </c>
      <c r="B3162" s="4" t="s">
        <v>57</v>
      </c>
      <c r="C3162" s="4" t="s">
        <v>72</v>
      </c>
      <c r="D3162" s="4" t="s">
        <v>6437</v>
      </c>
      <c r="E3162" s="4">
        <v>2207801</v>
      </c>
      <c r="F3162" s="4" t="s">
        <v>6438</v>
      </c>
      <c r="G3162" s="4" t="s">
        <v>232</v>
      </c>
      <c r="H3162" s="4"/>
    </row>
    <row r="3163" s="1" customFormat="1" spans="1:8">
      <c r="A3163" s="4" t="s">
        <v>205</v>
      </c>
      <c r="B3163" s="4" t="s">
        <v>57</v>
      </c>
      <c r="C3163" s="4" t="s">
        <v>72</v>
      </c>
      <c r="D3163" s="4" t="s">
        <v>6439</v>
      </c>
      <c r="E3163" s="4">
        <v>2207850</v>
      </c>
      <c r="F3163" s="4" t="s">
        <v>6440</v>
      </c>
      <c r="G3163" s="4" t="s">
        <v>232</v>
      </c>
      <c r="H3163" s="4"/>
    </row>
    <row r="3164" s="1" customFormat="1" spans="1:8">
      <c r="A3164" s="4" t="s">
        <v>205</v>
      </c>
      <c r="B3164" s="4" t="s">
        <v>57</v>
      </c>
      <c r="C3164" s="4" t="s">
        <v>72</v>
      </c>
      <c r="D3164" s="4" t="s">
        <v>6441</v>
      </c>
      <c r="E3164" s="4">
        <v>2207934</v>
      </c>
      <c r="F3164" s="4" t="s">
        <v>6442</v>
      </c>
      <c r="G3164" s="4" t="s">
        <v>232</v>
      </c>
      <c r="H3164" s="4"/>
    </row>
    <row r="3165" s="1" customFormat="1" spans="1:8">
      <c r="A3165" s="4" t="s">
        <v>205</v>
      </c>
      <c r="B3165" s="4" t="s">
        <v>57</v>
      </c>
      <c r="C3165" s="4" t="s">
        <v>72</v>
      </c>
      <c r="D3165" s="4" t="s">
        <v>6443</v>
      </c>
      <c r="E3165" s="4">
        <v>2208007</v>
      </c>
      <c r="F3165" s="4" t="s">
        <v>6444</v>
      </c>
      <c r="G3165" s="4" t="s">
        <v>232</v>
      </c>
      <c r="H3165" s="4"/>
    </row>
    <row r="3166" s="1" customFormat="1" spans="1:8">
      <c r="A3166" s="4" t="s">
        <v>205</v>
      </c>
      <c r="B3166" s="4" t="s">
        <v>57</v>
      </c>
      <c r="C3166" s="4" t="s">
        <v>72</v>
      </c>
      <c r="D3166" s="4" t="s">
        <v>6445</v>
      </c>
      <c r="E3166" s="4">
        <v>2208205</v>
      </c>
      <c r="F3166" s="4" t="s">
        <v>6446</v>
      </c>
      <c r="G3166" s="4" t="s">
        <v>232</v>
      </c>
      <c r="H3166" s="4"/>
    </row>
    <row r="3167" s="1" customFormat="1" spans="1:8">
      <c r="A3167" s="4" t="s">
        <v>205</v>
      </c>
      <c r="B3167" s="4" t="s">
        <v>57</v>
      </c>
      <c r="C3167" s="4" t="s">
        <v>72</v>
      </c>
      <c r="D3167" s="4" t="s">
        <v>6447</v>
      </c>
      <c r="E3167" s="4">
        <v>2208551</v>
      </c>
      <c r="F3167" s="4" t="s">
        <v>6448</v>
      </c>
      <c r="G3167" s="4" t="s">
        <v>232</v>
      </c>
      <c r="H3167" s="4"/>
    </row>
    <row r="3168" s="1" customFormat="1" spans="1:8">
      <c r="A3168" s="4" t="s">
        <v>205</v>
      </c>
      <c r="B3168" s="4" t="s">
        <v>57</v>
      </c>
      <c r="C3168" s="4" t="s">
        <v>72</v>
      </c>
      <c r="D3168" s="4" t="s">
        <v>6449</v>
      </c>
      <c r="E3168" s="4">
        <v>2208650</v>
      </c>
      <c r="F3168" s="4" t="s">
        <v>6450</v>
      </c>
      <c r="G3168" s="4" t="s">
        <v>232</v>
      </c>
      <c r="H3168" s="4"/>
    </row>
    <row r="3169" s="1" customFormat="1" spans="1:8">
      <c r="A3169" s="4" t="s">
        <v>205</v>
      </c>
      <c r="B3169" s="4" t="s">
        <v>57</v>
      </c>
      <c r="C3169" s="4" t="s">
        <v>72</v>
      </c>
      <c r="D3169" s="4" t="s">
        <v>6451</v>
      </c>
      <c r="E3169" s="4">
        <v>2208874</v>
      </c>
      <c r="F3169" s="4" t="s">
        <v>6452</v>
      </c>
      <c r="G3169" s="4" t="s">
        <v>232</v>
      </c>
      <c r="H3169" s="4"/>
    </row>
    <row r="3170" s="1" customFormat="1" spans="1:8">
      <c r="A3170" s="4" t="s">
        <v>205</v>
      </c>
      <c r="B3170" s="4" t="s">
        <v>57</v>
      </c>
      <c r="C3170" s="4" t="s">
        <v>72</v>
      </c>
      <c r="D3170" s="4" t="s">
        <v>6453</v>
      </c>
      <c r="E3170" s="4">
        <v>2208908</v>
      </c>
      <c r="F3170" s="4" t="s">
        <v>6454</v>
      </c>
      <c r="G3170" s="4" t="s">
        <v>232</v>
      </c>
      <c r="H3170" s="4"/>
    </row>
    <row r="3171" s="1" customFormat="1" spans="1:8">
      <c r="A3171" s="4" t="s">
        <v>205</v>
      </c>
      <c r="B3171" s="4" t="s">
        <v>57</v>
      </c>
      <c r="C3171" s="4" t="s">
        <v>72</v>
      </c>
      <c r="D3171" s="4" t="s">
        <v>6455</v>
      </c>
      <c r="E3171" s="4">
        <v>2209005</v>
      </c>
      <c r="F3171" s="4" t="s">
        <v>6456</v>
      </c>
      <c r="G3171" s="4" t="s">
        <v>232</v>
      </c>
      <c r="H3171" s="4"/>
    </row>
    <row r="3172" s="1" customFormat="1" spans="1:8">
      <c r="A3172" s="4" t="s">
        <v>205</v>
      </c>
      <c r="B3172" s="4" t="s">
        <v>57</v>
      </c>
      <c r="C3172" s="4" t="s">
        <v>72</v>
      </c>
      <c r="D3172" s="4" t="s">
        <v>6457</v>
      </c>
      <c r="E3172" s="4">
        <v>2209104</v>
      </c>
      <c r="F3172" s="4" t="s">
        <v>6458</v>
      </c>
      <c r="G3172" s="4" t="s">
        <v>232</v>
      </c>
      <c r="H3172" s="4"/>
    </row>
    <row r="3173" s="1" customFormat="1" spans="1:8">
      <c r="A3173" s="4" t="s">
        <v>205</v>
      </c>
      <c r="B3173" s="4" t="s">
        <v>57</v>
      </c>
      <c r="C3173" s="4" t="s">
        <v>72</v>
      </c>
      <c r="D3173" s="4" t="s">
        <v>6459</v>
      </c>
      <c r="E3173" s="4">
        <v>2209351</v>
      </c>
      <c r="F3173" s="4" t="s">
        <v>6460</v>
      </c>
      <c r="G3173" s="4" t="s">
        <v>232</v>
      </c>
      <c r="H3173" s="4"/>
    </row>
    <row r="3174" s="1" customFormat="1" spans="1:8">
      <c r="A3174" s="4" t="s">
        <v>205</v>
      </c>
      <c r="B3174" s="4" t="s">
        <v>57</v>
      </c>
      <c r="C3174" s="4" t="s">
        <v>72</v>
      </c>
      <c r="D3174" s="4" t="s">
        <v>6461</v>
      </c>
      <c r="E3174" s="4">
        <v>2209401</v>
      </c>
      <c r="F3174" s="4" t="s">
        <v>6462</v>
      </c>
      <c r="G3174" s="4" t="s">
        <v>232</v>
      </c>
      <c r="H3174" s="4"/>
    </row>
    <row r="3175" s="1" customFormat="1" spans="1:8">
      <c r="A3175" s="4" t="s">
        <v>205</v>
      </c>
      <c r="B3175" s="4" t="s">
        <v>57</v>
      </c>
      <c r="C3175" s="4" t="s">
        <v>72</v>
      </c>
      <c r="D3175" s="4" t="s">
        <v>6463</v>
      </c>
      <c r="E3175" s="4">
        <v>2209500</v>
      </c>
      <c r="F3175" s="4" t="s">
        <v>6464</v>
      </c>
      <c r="G3175" s="4" t="s">
        <v>232</v>
      </c>
      <c r="H3175" s="4"/>
    </row>
    <row r="3176" s="1" customFormat="1" spans="1:8">
      <c r="A3176" s="4" t="s">
        <v>205</v>
      </c>
      <c r="B3176" s="4" t="s">
        <v>57</v>
      </c>
      <c r="C3176" s="4" t="s">
        <v>72</v>
      </c>
      <c r="D3176" s="4" t="s">
        <v>6465</v>
      </c>
      <c r="E3176" s="4">
        <v>2210631</v>
      </c>
      <c r="F3176" s="4" t="s">
        <v>6466</v>
      </c>
      <c r="G3176" s="4" t="s">
        <v>232</v>
      </c>
      <c r="H3176" s="4"/>
    </row>
    <row r="3177" s="1" customFormat="1" spans="1:8">
      <c r="A3177" s="4" t="s">
        <v>205</v>
      </c>
      <c r="B3177" s="4" t="s">
        <v>57</v>
      </c>
      <c r="C3177" s="4" t="s">
        <v>72</v>
      </c>
      <c r="D3177" s="4" t="s">
        <v>6467</v>
      </c>
      <c r="E3177" s="4">
        <v>2210805</v>
      </c>
      <c r="F3177" s="4" t="s">
        <v>6468</v>
      </c>
      <c r="G3177" s="4" t="s">
        <v>232</v>
      </c>
      <c r="H3177" s="4"/>
    </row>
    <row r="3178" s="1" customFormat="1" spans="1:8">
      <c r="A3178" s="4" t="s">
        <v>205</v>
      </c>
      <c r="B3178" s="4" t="s">
        <v>57</v>
      </c>
      <c r="C3178" s="4" t="s">
        <v>72</v>
      </c>
      <c r="D3178" s="4" t="s">
        <v>6469</v>
      </c>
      <c r="E3178" s="4">
        <v>2210706</v>
      </c>
      <c r="F3178" s="4" t="s">
        <v>6470</v>
      </c>
      <c r="G3178" s="4" t="s">
        <v>232</v>
      </c>
      <c r="H3178" s="4"/>
    </row>
    <row r="3179" s="1" customFormat="1" spans="1:8">
      <c r="A3179" s="4" t="s">
        <v>205</v>
      </c>
      <c r="B3179" s="4" t="s">
        <v>57</v>
      </c>
      <c r="C3179" s="4" t="s">
        <v>72</v>
      </c>
      <c r="D3179" s="4" t="s">
        <v>6471</v>
      </c>
      <c r="E3179" s="4">
        <v>2210904</v>
      </c>
      <c r="F3179" s="4" t="s">
        <v>6472</v>
      </c>
      <c r="G3179" s="4" t="s">
        <v>232</v>
      </c>
      <c r="H3179" s="4"/>
    </row>
    <row r="3180" s="1" customFormat="1" spans="1:8">
      <c r="A3180" s="4" t="s">
        <v>205</v>
      </c>
      <c r="B3180" s="4" t="s">
        <v>57</v>
      </c>
      <c r="C3180" s="4" t="s">
        <v>72</v>
      </c>
      <c r="D3180" s="4" t="s">
        <v>6473</v>
      </c>
      <c r="E3180" s="4">
        <v>2210938</v>
      </c>
      <c r="F3180" s="4" t="s">
        <v>6474</v>
      </c>
      <c r="G3180" s="4" t="s">
        <v>232</v>
      </c>
      <c r="H3180" s="4"/>
    </row>
    <row r="3181" s="1" customFormat="1" spans="1:8">
      <c r="A3181" s="4" t="s">
        <v>205</v>
      </c>
      <c r="B3181" s="4" t="s">
        <v>57</v>
      </c>
      <c r="C3181" s="4" t="s">
        <v>72</v>
      </c>
      <c r="D3181" s="4" t="s">
        <v>6475</v>
      </c>
      <c r="E3181" s="4">
        <v>2209559</v>
      </c>
      <c r="F3181" s="4" t="s">
        <v>6476</v>
      </c>
      <c r="G3181" s="4" t="s">
        <v>232</v>
      </c>
      <c r="H3181" s="4"/>
    </row>
    <row r="3182" s="1" customFormat="1" spans="1:8">
      <c r="A3182" s="4" t="s">
        <v>205</v>
      </c>
      <c r="B3182" s="4" t="s">
        <v>57</v>
      </c>
      <c r="C3182" s="4" t="s">
        <v>72</v>
      </c>
      <c r="D3182" s="4" t="s">
        <v>6477</v>
      </c>
      <c r="E3182" s="4">
        <v>2209658</v>
      </c>
      <c r="F3182" s="4" t="s">
        <v>6478</v>
      </c>
      <c r="G3182" s="4" t="s">
        <v>232</v>
      </c>
      <c r="H3182" s="4"/>
    </row>
    <row r="3183" s="1" customFormat="1" spans="1:8">
      <c r="A3183" s="4" t="s">
        <v>205</v>
      </c>
      <c r="B3183" s="4" t="s">
        <v>57</v>
      </c>
      <c r="C3183" s="4" t="s">
        <v>72</v>
      </c>
      <c r="D3183" s="4" t="s">
        <v>6479</v>
      </c>
      <c r="E3183" s="4">
        <v>2209708</v>
      </c>
      <c r="F3183" s="4" t="s">
        <v>6480</v>
      </c>
      <c r="G3183" s="4" t="s">
        <v>232</v>
      </c>
      <c r="H3183" s="4"/>
    </row>
    <row r="3184" s="1" customFormat="1" spans="1:8">
      <c r="A3184" s="4" t="s">
        <v>205</v>
      </c>
      <c r="B3184" s="4" t="s">
        <v>57</v>
      </c>
      <c r="C3184" s="4" t="s">
        <v>72</v>
      </c>
      <c r="D3184" s="4" t="s">
        <v>6481</v>
      </c>
      <c r="E3184" s="4">
        <v>2210102</v>
      </c>
      <c r="F3184" s="4" t="s">
        <v>6482</v>
      </c>
      <c r="G3184" s="4" t="s">
        <v>232</v>
      </c>
      <c r="H3184" s="4"/>
    </row>
    <row r="3185" s="1" customFormat="1" spans="1:8">
      <c r="A3185" s="4" t="s">
        <v>205</v>
      </c>
      <c r="B3185" s="4" t="s">
        <v>57</v>
      </c>
      <c r="C3185" s="4" t="s">
        <v>72</v>
      </c>
      <c r="D3185" s="4" t="s">
        <v>6483</v>
      </c>
      <c r="E3185" s="4">
        <v>2210003</v>
      </c>
      <c r="F3185" s="4" t="s">
        <v>6484</v>
      </c>
      <c r="G3185" s="4" t="s">
        <v>232</v>
      </c>
      <c r="H3185" s="4"/>
    </row>
    <row r="3186" s="1" customFormat="1" spans="1:8">
      <c r="A3186" s="4" t="s">
        <v>205</v>
      </c>
      <c r="B3186" s="4" t="s">
        <v>57</v>
      </c>
      <c r="C3186" s="4" t="s">
        <v>72</v>
      </c>
      <c r="D3186" s="4" t="s">
        <v>6485</v>
      </c>
      <c r="E3186" s="4">
        <v>2210300</v>
      </c>
      <c r="F3186" s="4" t="s">
        <v>6486</v>
      </c>
      <c r="G3186" s="4" t="s">
        <v>232</v>
      </c>
      <c r="H3186" s="4"/>
    </row>
    <row r="3187" s="1" customFormat="1" spans="1:8">
      <c r="A3187" s="4" t="s">
        <v>205</v>
      </c>
      <c r="B3187" s="4" t="s">
        <v>57</v>
      </c>
      <c r="C3187" s="4" t="s">
        <v>72</v>
      </c>
      <c r="D3187" s="4" t="s">
        <v>6487</v>
      </c>
      <c r="E3187" s="4">
        <v>2210359</v>
      </c>
      <c r="F3187" s="4" t="s">
        <v>6488</v>
      </c>
      <c r="G3187" s="4" t="s">
        <v>232</v>
      </c>
      <c r="H3187" s="4"/>
    </row>
    <row r="3188" s="1" customFormat="1" spans="1:8">
      <c r="A3188" s="4" t="s">
        <v>205</v>
      </c>
      <c r="B3188" s="4" t="s">
        <v>57</v>
      </c>
      <c r="C3188" s="4" t="s">
        <v>72</v>
      </c>
      <c r="D3188" s="7" t="s">
        <v>6489</v>
      </c>
      <c r="E3188" s="4">
        <v>2210375</v>
      </c>
      <c r="F3188" s="4" t="s">
        <v>6490</v>
      </c>
      <c r="G3188" s="4" t="s">
        <v>232</v>
      </c>
      <c r="H3188" s="4"/>
    </row>
    <row r="3189" s="1" customFormat="1" spans="1:8">
      <c r="A3189" s="4" t="s">
        <v>205</v>
      </c>
      <c r="B3189" s="4" t="s">
        <v>57</v>
      </c>
      <c r="C3189" s="4" t="s">
        <v>72</v>
      </c>
      <c r="D3189" s="4" t="s">
        <v>6491</v>
      </c>
      <c r="E3189" s="4">
        <v>2210391</v>
      </c>
      <c r="F3189" s="4" t="s">
        <v>6492</v>
      </c>
      <c r="G3189" s="4" t="s">
        <v>232</v>
      </c>
      <c r="H3189" s="4"/>
    </row>
    <row r="3190" s="1" customFormat="1" spans="1:8">
      <c r="A3190" s="4" t="s">
        <v>205</v>
      </c>
      <c r="B3190" s="4" t="s">
        <v>57</v>
      </c>
      <c r="C3190" s="4" t="s">
        <v>72</v>
      </c>
      <c r="D3190" s="4" t="s">
        <v>6493</v>
      </c>
      <c r="E3190" s="4">
        <v>2210607</v>
      </c>
      <c r="F3190" s="4" t="s">
        <v>6494</v>
      </c>
      <c r="G3190" s="4" t="s">
        <v>232</v>
      </c>
      <c r="H3190" s="4"/>
    </row>
    <row r="3191" s="1" customFormat="1" spans="1:8">
      <c r="A3191" s="4" t="s">
        <v>205</v>
      </c>
      <c r="B3191" s="4" t="s">
        <v>57</v>
      </c>
      <c r="C3191" s="4" t="s">
        <v>72</v>
      </c>
      <c r="D3191" s="4" t="s">
        <v>6495</v>
      </c>
      <c r="E3191" s="4">
        <v>2210953</v>
      </c>
      <c r="F3191" s="4" t="s">
        <v>6496</v>
      </c>
      <c r="G3191" s="4" t="s">
        <v>232</v>
      </c>
      <c r="H3191" s="4"/>
    </row>
    <row r="3192" s="1" customFormat="1" spans="1:8">
      <c r="A3192" s="4" t="s">
        <v>205</v>
      </c>
      <c r="B3192" s="4" t="s">
        <v>57</v>
      </c>
      <c r="C3192" s="4" t="s">
        <v>72</v>
      </c>
      <c r="D3192" s="4" t="s">
        <v>6497</v>
      </c>
      <c r="E3192" s="4">
        <v>2211209</v>
      </c>
      <c r="F3192" s="4" t="s">
        <v>6498</v>
      </c>
      <c r="G3192" s="4" t="s">
        <v>232</v>
      </c>
      <c r="H3192" s="4"/>
    </row>
    <row r="3193" s="1" customFormat="1" spans="1:8">
      <c r="A3193" s="4" t="s">
        <v>205</v>
      </c>
      <c r="B3193" s="4" t="s">
        <v>57</v>
      </c>
      <c r="C3193" s="4" t="s">
        <v>72</v>
      </c>
      <c r="D3193" s="4" t="s">
        <v>6499</v>
      </c>
      <c r="E3193" s="4">
        <v>2211506</v>
      </c>
      <c r="F3193" s="4" t="s">
        <v>6500</v>
      </c>
      <c r="G3193" s="4" t="s">
        <v>232</v>
      </c>
      <c r="H3193" s="4"/>
    </row>
    <row r="3194" s="1" customFormat="1" spans="1:8">
      <c r="A3194" s="4" t="s">
        <v>205</v>
      </c>
      <c r="B3194" s="4" t="s">
        <v>57</v>
      </c>
      <c r="C3194" s="4" t="s">
        <v>72</v>
      </c>
      <c r="D3194" s="4" t="s">
        <v>6501</v>
      </c>
      <c r="E3194" s="4">
        <v>2211605</v>
      </c>
      <c r="F3194" s="4" t="s">
        <v>6502</v>
      </c>
      <c r="G3194" s="4" t="s">
        <v>232</v>
      </c>
      <c r="H3194" s="4"/>
    </row>
    <row r="3195" s="1" customFormat="1" spans="1:8">
      <c r="A3195" s="4" t="s">
        <v>205</v>
      </c>
      <c r="B3195" s="4" t="s">
        <v>57</v>
      </c>
      <c r="C3195" s="4" t="s">
        <v>72</v>
      </c>
      <c r="D3195" s="4" t="s">
        <v>6503</v>
      </c>
      <c r="E3195" s="4">
        <v>2211357</v>
      </c>
      <c r="F3195" s="4" t="s">
        <v>6504</v>
      </c>
      <c r="G3195" s="4" t="s">
        <v>232</v>
      </c>
      <c r="H3195" s="4"/>
    </row>
    <row r="3196" s="1" customFormat="1" spans="1:8">
      <c r="A3196" s="4" t="s">
        <v>205</v>
      </c>
      <c r="B3196" s="4" t="s">
        <v>57</v>
      </c>
      <c r="C3196" s="4" t="s">
        <v>72</v>
      </c>
      <c r="D3196" s="4" t="s">
        <v>4768</v>
      </c>
      <c r="E3196" s="4">
        <v>2211407</v>
      </c>
      <c r="F3196" s="4" t="s">
        <v>6505</v>
      </c>
      <c r="G3196" s="4" t="s">
        <v>232</v>
      </c>
      <c r="H3196" s="4"/>
    </row>
    <row r="3197" s="1" customFormat="1" spans="1:8">
      <c r="A3197" s="4" t="s">
        <v>205</v>
      </c>
      <c r="B3197" s="4" t="s">
        <v>57</v>
      </c>
      <c r="C3197" s="4" t="s">
        <v>72</v>
      </c>
      <c r="D3197" s="4" t="s">
        <v>6506</v>
      </c>
      <c r="E3197" s="4">
        <v>2211704</v>
      </c>
      <c r="F3197" s="4" t="s">
        <v>6507</v>
      </c>
      <c r="G3197" s="4" t="s">
        <v>232</v>
      </c>
      <c r="H3197" s="4"/>
    </row>
    <row r="3198" s="1" customFormat="1" spans="1:8">
      <c r="A3198" s="4" t="s">
        <v>205</v>
      </c>
      <c r="B3198" s="4" t="s">
        <v>57</v>
      </c>
      <c r="C3198" s="4" t="s">
        <v>72</v>
      </c>
      <c r="D3198" s="4" t="s">
        <v>6508</v>
      </c>
      <c r="E3198" s="4">
        <v>2201101</v>
      </c>
      <c r="F3198" s="4" t="s">
        <v>6509</v>
      </c>
      <c r="G3198" s="4" t="s">
        <v>243</v>
      </c>
      <c r="H3198" s="4"/>
    </row>
    <row r="3199" s="1" customFormat="1" spans="1:8">
      <c r="A3199" s="4" t="s">
        <v>205</v>
      </c>
      <c r="B3199" s="4" t="s">
        <v>57</v>
      </c>
      <c r="C3199" s="4" t="s">
        <v>72</v>
      </c>
      <c r="D3199" s="4" t="s">
        <v>6510</v>
      </c>
      <c r="E3199" s="4">
        <v>2201309</v>
      </c>
      <c r="F3199" s="4" t="s">
        <v>6511</v>
      </c>
      <c r="G3199" s="4" t="s">
        <v>243</v>
      </c>
      <c r="H3199" s="4"/>
    </row>
    <row r="3200" s="1" customFormat="1" spans="1:8">
      <c r="A3200" s="4" t="s">
        <v>205</v>
      </c>
      <c r="B3200" s="4" t="s">
        <v>57</v>
      </c>
      <c r="C3200" s="4" t="s">
        <v>72</v>
      </c>
      <c r="D3200" s="4" t="s">
        <v>4715</v>
      </c>
      <c r="E3200" s="4">
        <v>2202505</v>
      </c>
      <c r="F3200" s="4" t="s">
        <v>6512</v>
      </c>
      <c r="G3200" s="4" t="s">
        <v>243</v>
      </c>
      <c r="H3200" s="4"/>
    </row>
    <row r="3201" s="1" customFormat="1" spans="1:8">
      <c r="A3201" s="4" t="s">
        <v>205</v>
      </c>
      <c r="B3201" s="4" t="s">
        <v>57</v>
      </c>
      <c r="C3201" s="4" t="s">
        <v>72</v>
      </c>
      <c r="D3201" s="4" t="s">
        <v>6513</v>
      </c>
      <c r="E3201" s="4">
        <v>2202901</v>
      </c>
      <c r="F3201" s="4" t="s">
        <v>6514</v>
      </c>
      <c r="G3201" s="4" t="s">
        <v>243</v>
      </c>
      <c r="H3201" s="4"/>
    </row>
    <row r="3202" s="1" customFormat="1" spans="1:8">
      <c r="A3202" s="4" t="s">
        <v>205</v>
      </c>
      <c r="B3202" s="4" t="s">
        <v>57</v>
      </c>
      <c r="C3202" s="4" t="s">
        <v>72</v>
      </c>
      <c r="D3202" s="4" t="s">
        <v>6515</v>
      </c>
      <c r="E3202" s="4">
        <v>2203008</v>
      </c>
      <c r="F3202" s="4" t="s">
        <v>6516</v>
      </c>
      <c r="G3202" s="4" t="s">
        <v>243</v>
      </c>
      <c r="H3202" s="4"/>
    </row>
    <row r="3203" s="1" customFormat="1" spans="1:8">
      <c r="A3203" s="4" t="s">
        <v>205</v>
      </c>
      <c r="B3203" s="4" t="s">
        <v>57</v>
      </c>
      <c r="C3203" s="4" t="s">
        <v>72</v>
      </c>
      <c r="D3203" s="4" t="s">
        <v>6517</v>
      </c>
      <c r="E3203" s="4">
        <v>2203206</v>
      </c>
      <c r="F3203" s="4" t="s">
        <v>6518</v>
      </c>
      <c r="G3203" s="4" t="s">
        <v>243</v>
      </c>
      <c r="H3203" s="4"/>
    </row>
    <row r="3204" s="1" customFormat="1" spans="1:8">
      <c r="A3204" s="4" t="s">
        <v>205</v>
      </c>
      <c r="B3204" s="4" t="s">
        <v>57</v>
      </c>
      <c r="C3204" s="4" t="s">
        <v>72</v>
      </c>
      <c r="D3204" s="4" t="s">
        <v>6519</v>
      </c>
      <c r="E3204" s="4">
        <v>2203230</v>
      </c>
      <c r="F3204" s="4" t="s">
        <v>6520</v>
      </c>
      <c r="G3204" s="4" t="s">
        <v>243</v>
      </c>
      <c r="H3204" s="4"/>
    </row>
    <row r="3205" s="1" customFormat="1" spans="1:8">
      <c r="A3205" s="4" t="s">
        <v>205</v>
      </c>
      <c r="B3205" s="4" t="s">
        <v>57</v>
      </c>
      <c r="C3205" s="4" t="s">
        <v>72</v>
      </c>
      <c r="D3205" s="4" t="s">
        <v>6521</v>
      </c>
      <c r="E3205" s="4">
        <v>2204402</v>
      </c>
      <c r="F3205" s="4" t="s">
        <v>6522</v>
      </c>
      <c r="G3205" s="4" t="s">
        <v>243</v>
      </c>
      <c r="H3205" s="4"/>
    </row>
    <row r="3206" s="1" customFormat="1" spans="1:8">
      <c r="A3206" s="4" t="s">
        <v>205</v>
      </c>
      <c r="B3206" s="4" t="s">
        <v>57</v>
      </c>
      <c r="C3206" s="4" t="s">
        <v>72</v>
      </c>
      <c r="D3206" s="4" t="s">
        <v>6523</v>
      </c>
      <c r="E3206" s="4">
        <v>2204550</v>
      </c>
      <c r="F3206" s="4" t="s">
        <v>6524</v>
      </c>
      <c r="G3206" s="4" t="s">
        <v>243</v>
      </c>
      <c r="H3206" s="4"/>
    </row>
    <row r="3207" s="1" customFormat="1" spans="1:8">
      <c r="A3207" s="4" t="s">
        <v>205</v>
      </c>
      <c r="B3207" s="4" t="s">
        <v>57</v>
      </c>
      <c r="C3207" s="4" t="s">
        <v>72</v>
      </c>
      <c r="D3207" s="4" t="s">
        <v>6525</v>
      </c>
      <c r="E3207" s="4">
        <v>2205524</v>
      </c>
      <c r="F3207" s="4" t="s">
        <v>6526</v>
      </c>
      <c r="G3207" s="4" t="s">
        <v>243</v>
      </c>
      <c r="H3207" s="4"/>
    </row>
    <row r="3208" s="1" customFormat="1" spans="1:8">
      <c r="A3208" s="4" t="s">
        <v>205</v>
      </c>
      <c r="B3208" s="4" t="s">
        <v>57</v>
      </c>
      <c r="C3208" s="4" t="s">
        <v>72</v>
      </c>
      <c r="D3208" s="4" t="s">
        <v>6527</v>
      </c>
      <c r="E3208" s="4">
        <v>2206605</v>
      </c>
      <c r="F3208" s="4" t="s">
        <v>6528</v>
      </c>
      <c r="G3208" s="4" t="s">
        <v>243</v>
      </c>
      <c r="H3208" s="4"/>
    </row>
    <row r="3209" s="1" customFormat="1" spans="1:8">
      <c r="A3209" s="4" t="s">
        <v>205</v>
      </c>
      <c r="B3209" s="4" t="s">
        <v>57</v>
      </c>
      <c r="C3209" s="4" t="s">
        <v>72</v>
      </c>
      <c r="D3209" s="4" t="s">
        <v>6529</v>
      </c>
      <c r="E3209" s="4">
        <v>2206654</v>
      </c>
      <c r="F3209" s="4" t="s">
        <v>6530</v>
      </c>
      <c r="G3209" s="4" t="s">
        <v>243</v>
      </c>
      <c r="H3209" s="4"/>
    </row>
    <row r="3210" s="1" customFormat="1" spans="1:8">
      <c r="A3210" s="4" t="s">
        <v>205</v>
      </c>
      <c r="B3210" s="4" t="s">
        <v>57</v>
      </c>
      <c r="C3210" s="4" t="s">
        <v>72</v>
      </c>
      <c r="D3210" s="4" t="s">
        <v>6531</v>
      </c>
      <c r="E3210" s="4">
        <v>2207603</v>
      </c>
      <c r="F3210" s="4" t="s">
        <v>6532</v>
      </c>
      <c r="G3210" s="4" t="s">
        <v>243</v>
      </c>
      <c r="H3210" s="4"/>
    </row>
    <row r="3211" s="1" customFormat="1" spans="1:8">
      <c r="A3211" s="4" t="s">
        <v>205</v>
      </c>
      <c r="B3211" s="4" t="s">
        <v>57</v>
      </c>
      <c r="C3211" s="4" t="s">
        <v>72</v>
      </c>
      <c r="D3211" s="4" t="s">
        <v>6533</v>
      </c>
      <c r="E3211" s="4">
        <v>2208700</v>
      </c>
      <c r="F3211" s="4" t="s">
        <v>6534</v>
      </c>
      <c r="G3211" s="4" t="s">
        <v>243</v>
      </c>
      <c r="H3211" s="4"/>
    </row>
    <row r="3212" s="1" customFormat="1" spans="1:8">
      <c r="A3212" s="4" t="s">
        <v>205</v>
      </c>
      <c r="B3212" s="4" t="s">
        <v>57</v>
      </c>
      <c r="C3212" s="4" t="s">
        <v>72</v>
      </c>
      <c r="D3212" s="4" t="s">
        <v>6535</v>
      </c>
      <c r="E3212" s="4">
        <v>2208858</v>
      </c>
      <c r="F3212" s="4" t="s">
        <v>6536</v>
      </c>
      <c r="G3212" s="4" t="s">
        <v>243</v>
      </c>
      <c r="H3212" s="4"/>
    </row>
    <row r="3213" s="1" customFormat="1" spans="1:8">
      <c r="A3213" s="4" t="s">
        <v>205</v>
      </c>
      <c r="B3213" s="4" t="s">
        <v>57</v>
      </c>
      <c r="C3213" s="4" t="s">
        <v>72</v>
      </c>
      <c r="D3213" s="4" t="s">
        <v>6098</v>
      </c>
      <c r="E3213" s="4">
        <v>2209203</v>
      </c>
      <c r="F3213" s="4" t="s">
        <v>6537</v>
      </c>
      <c r="G3213" s="4" t="s">
        <v>243</v>
      </c>
      <c r="H3213" s="4"/>
    </row>
    <row r="3214" s="1" customFormat="1" spans="1:8">
      <c r="A3214" s="4" t="s">
        <v>205</v>
      </c>
      <c r="B3214" s="4" t="s">
        <v>57</v>
      </c>
      <c r="C3214" s="4" t="s">
        <v>72</v>
      </c>
      <c r="D3214" s="4" t="s">
        <v>6538</v>
      </c>
      <c r="E3214" s="4">
        <v>2210623</v>
      </c>
      <c r="F3214" s="4" t="s">
        <v>6539</v>
      </c>
      <c r="G3214" s="4" t="s">
        <v>243</v>
      </c>
      <c r="H3214" s="4"/>
    </row>
    <row r="3215" s="1" customFormat="1" spans="1:8">
      <c r="A3215" s="4" t="s">
        <v>205</v>
      </c>
      <c r="B3215" s="4" t="s">
        <v>57</v>
      </c>
      <c r="C3215" s="4" t="s">
        <v>72</v>
      </c>
      <c r="D3215" s="4" t="s">
        <v>6540</v>
      </c>
      <c r="E3215" s="4">
        <v>2209757</v>
      </c>
      <c r="F3215" s="4" t="s">
        <v>6541</v>
      </c>
      <c r="G3215" s="4" t="s">
        <v>243</v>
      </c>
      <c r="H3215" s="4"/>
    </row>
    <row r="3216" s="1" customFormat="1" spans="1:8">
      <c r="A3216" s="4" t="s">
        <v>205</v>
      </c>
      <c r="B3216" s="4" t="s">
        <v>88</v>
      </c>
      <c r="C3216" s="4" t="s">
        <v>6542</v>
      </c>
      <c r="D3216" s="4" t="s">
        <v>6543</v>
      </c>
      <c r="E3216" s="4">
        <v>4106902</v>
      </c>
      <c r="F3216" s="4" t="s">
        <v>6544</v>
      </c>
      <c r="G3216" s="4" t="s">
        <v>207</v>
      </c>
      <c r="H3216" s="13"/>
    </row>
    <row r="3217" s="1" customFormat="1" spans="1:8">
      <c r="A3217" s="4" t="s">
        <v>205</v>
      </c>
      <c r="B3217" s="4" t="s">
        <v>88</v>
      </c>
      <c r="C3217" s="4" t="s">
        <v>6542</v>
      </c>
      <c r="D3217" s="4" t="s">
        <v>6545</v>
      </c>
      <c r="E3217" s="4">
        <v>4100400</v>
      </c>
      <c r="F3217" s="4" t="s">
        <v>6546</v>
      </c>
      <c r="G3217" s="4" t="s">
        <v>210</v>
      </c>
      <c r="H3217" s="13"/>
    </row>
    <row r="3218" s="1" customFormat="1" spans="1:8">
      <c r="A3218" s="4" t="s">
        <v>205</v>
      </c>
      <c r="B3218" s="4" t="s">
        <v>88</v>
      </c>
      <c r="C3218" s="4" t="s">
        <v>6542</v>
      </c>
      <c r="D3218" s="4" t="s">
        <v>6547</v>
      </c>
      <c r="E3218" s="4">
        <v>4101804</v>
      </c>
      <c r="F3218" s="4" t="s">
        <v>6548</v>
      </c>
      <c r="G3218" s="4" t="s">
        <v>210</v>
      </c>
      <c r="H3218" s="13"/>
    </row>
    <row r="3219" s="1" customFormat="1" spans="1:8">
      <c r="A3219" s="4" t="s">
        <v>205</v>
      </c>
      <c r="B3219" s="4" t="s">
        <v>88</v>
      </c>
      <c r="C3219" s="4" t="s">
        <v>6542</v>
      </c>
      <c r="D3219" s="4" t="s">
        <v>6549</v>
      </c>
      <c r="E3219" s="4">
        <v>4103107</v>
      </c>
      <c r="F3219" s="4" t="s">
        <v>6550</v>
      </c>
      <c r="G3219" s="4" t="s">
        <v>210</v>
      </c>
      <c r="H3219" s="13"/>
    </row>
    <row r="3220" s="1" customFormat="1" spans="1:8">
      <c r="A3220" s="4" t="s">
        <v>205</v>
      </c>
      <c r="B3220" s="4" t="s">
        <v>88</v>
      </c>
      <c r="C3220" s="4" t="s">
        <v>6542</v>
      </c>
      <c r="D3220" s="4" t="s">
        <v>6551</v>
      </c>
      <c r="E3220" s="4">
        <v>4104006</v>
      </c>
      <c r="F3220" s="4" t="s">
        <v>6552</v>
      </c>
      <c r="G3220" s="4" t="s">
        <v>210</v>
      </c>
      <c r="H3220" s="13"/>
    </row>
    <row r="3221" s="1" customFormat="1" spans="1:8">
      <c r="A3221" s="4" t="s">
        <v>205</v>
      </c>
      <c r="B3221" s="4" t="s">
        <v>88</v>
      </c>
      <c r="C3221" s="4" t="s">
        <v>6542</v>
      </c>
      <c r="D3221" s="4" t="s">
        <v>6553</v>
      </c>
      <c r="E3221" s="4">
        <v>4104204</v>
      </c>
      <c r="F3221" s="4" t="s">
        <v>6554</v>
      </c>
      <c r="G3221" s="4" t="s">
        <v>210</v>
      </c>
      <c r="H3221" s="13"/>
    </row>
    <row r="3222" s="1" customFormat="1" spans="1:8">
      <c r="A3222" s="4" t="s">
        <v>205</v>
      </c>
      <c r="B3222" s="4" t="s">
        <v>88</v>
      </c>
      <c r="C3222" s="4" t="s">
        <v>6542</v>
      </c>
      <c r="D3222" s="4" t="s">
        <v>6555</v>
      </c>
      <c r="E3222" s="4">
        <v>4104253</v>
      </c>
      <c r="F3222" s="4" t="s">
        <v>6556</v>
      </c>
      <c r="G3222" s="4" t="s">
        <v>210</v>
      </c>
      <c r="H3222" s="13"/>
    </row>
    <row r="3223" s="1" customFormat="1" spans="1:8">
      <c r="A3223" s="4" t="s">
        <v>205</v>
      </c>
      <c r="B3223" s="4" t="s">
        <v>88</v>
      </c>
      <c r="C3223" s="4" t="s">
        <v>6542</v>
      </c>
      <c r="D3223" s="4" t="s">
        <v>6557</v>
      </c>
      <c r="E3223" s="4">
        <v>4105805</v>
      </c>
      <c r="F3223" s="4" t="s">
        <v>6558</v>
      </c>
      <c r="G3223" s="4" t="s">
        <v>210</v>
      </c>
      <c r="H3223" s="13"/>
    </row>
    <row r="3224" s="1" customFormat="1" spans="1:8">
      <c r="A3224" s="4" t="s">
        <v>205</v>
      </c>
      <c r="B3224" s="4" t="s">
        <v>88</v>
      </c>
      <c r="C3224" s="4" t="s">
        <v>6542</v>
      </c>
      <c r="D3224" s="4" t="s">
        <v>6559</v>
      </c>
      <c r="E3224" s="4">
        <v>4107652</v>
      </c>
      <c r="F3224" s="4" t="s">
        <v>6560</v>
      </c>
      <c r="G3224" s="4" t="s">
        <v>210</v>
      </c>
      <c r="H3224" s="13"/>
    </row>
    <row r="3225" s="1" customFormat="1" spans="1:8">
      <c r="A3225" s="4" t="s">
        <v>205</v>
      </c>
      <c r="B3225" s="4" t="s">
        <v>88</v>
      </c>
      <c r="C3225" s="4" t="s">
        <v>6542</v>
      </c>
      <c r="D3225" s="4" t="s">
        <v>6561</v>
      </c>
      <c r="E3225" s="4">
        <v>4111258</v>
      </c>
      <c r="F3225" s="4" t="s">
        <v>6562</v>
      </c>
      <c r="G3225" s="4" t="s">
        <v>210</v>
      </c>
      <c r="H3225" s="13"/>
    </row>
    <row r="3226" s="1" customFormat="1" spans="1:8">
      <c r="A3226" s="4" t="s">
        <v>205</v>
      </c>
      <c r="B3226" s="4" t="s">
        <v>88</v>
      </c>
      <c r="C3226" s="4" t="s">
        <v>6542</v>
      </c>
      <c r="D3226" s="4" t="s">
        <v>6563</v>
      </c>
      <c r="E3226" s="4">
        <v>4119152</v>
      </c>
      <c r="F3226" s="4" t="s">
        <v>6564</v>
      </c>
      <c r="G3226" s="4" t="s">
        <v>210</v>
      </c>
      <c r="H3226" s="13"/>
    </row>
    <row r="3227" s="1" customFormat="1" spans="1:8">
      <c r="A3227" s="4" t="s">
        <v>205</v>
      </c>
      <c r="B3227" s="4" t="s">
        <v>88</v>
      </c>
      <c r="C3227" s="4" t="s">
        <v>6542</v>
      </c>
      <c r="D3227" s="4" t="s">
        <v>6565</v>
      </c>
      <c r="E3227" s="4">
        <v>4119509</v>
      </c>
      <c r="F3227" s="4" t="s">
        <v>6566</v>
      </c>
      <c r="G3227" s="4" t="s">
        <v>210</v>
      </c>
      <c r="H3227" s="13"/>
    </row>
    <row r="3228" s="1" customFormat="1" spans="1:8">
      <c r="A3228" s="4" t="s">
        <v>205</v>
      </c>
      <c r="B3228" s="4" t="s">
        <v>88</v>
      </c>
      <c r="C3228" s="4" t="s">
        <v>6542</v>
      </c>
      <c r="D3228" s="4" t="s">
        <v>6567</v>
      </c>
      <c r="E3228" s="4">
        <v>4120804</v>
      </c>
      <c r="F3228" s="4" t="s">
        <v>6568</v>
      </c>
      <c r="G3228" s="4" t="s">
        <v>210</v>
      </c>
      <c r="H3228" s="13"/>
    </row>
    <row r="3229" s="1" customFormat="1" spans="1:8">
      <c r="A3229" s="4" t="s">
        <v>205</v>
      </c>
      <c r="B3229" s="4" t="s">
        <v>88</v>
      </c>
      <c r="C3229" s="4" t="s">
        <v>6542</v>
      </c>
      <c r="D3229" s="4" t="s">
        <v>6569</v>
      </c>
      <c r="E3229" s="4">
        <v>4122206</v>
      </c>
      <c r="F3229" s="4" t="s">
        <v>6570</v>
      </c>
      <c r="G3229" s="4" t="s">
        <v>210</v>
      </c>
      <c r="H3229" s="13"/>
    </row>
    <row r="3230" s="1" customFormat="1" spans="1:8">
      <c r="A3230" s="4" t="s">
        <v>205</v>
      </c>
      <c r="B3230" s="4" t="s">
        <v>88</v>
      </c>
      <c r="C3230" s="4" t="s">
        <v>6542</v>
      </c>
      <c r="D3230" s="4" t="s">
        <v>6571</v>
      </c>
      <c r="E3230" s="4">
        <v>4125506</v>
      </c>
      <c r="F3230" s="4" t="s">
        <v>6572</v>
      </c>
      <c r="G3230" s="4" t="s">
        <v>210</v>
      </c>
      <c r="H3230" s="13"/>
    </row>
    <row r="3231" s="1" customFormat="1" spans="1:8">
      <c r="A3231" s="4" t="s">
        <v>205</v>
      </c>
      <c r="B3231" s="4" t="s">
        <v>88</v>
      </c>
      <c r="C3231" s="4" t="s">
        <v>6542</v>
      </c>
      <c r="D3231" s="4" t="s">
        <v>6573</v>
      </c>
      <c r="E3231" s="4">
        <v>4100202</v>
      </c>
      <c r="F3231" s="4" t="s">
        <v>6574</v>
      </c>
      <c r="G3231" s="4" t="s">
        <v>215</v>
      </c>
      <c r="H3231" s="13"/>
    </row>
    <row r="3232" s="1" customFormat="1" spans="1:8">
      <c r="A3232" s="4" t="s">
        <v>205</v>
      </c>
      <c r="B3232" s="4" t="s">
        <v>88</v>
      </c>
      <c r="C3232" s="4" t="s">
        <v>6542</v>
      </c>
      <c r="D3232" s="4" t="s">
        <v>6575</v>
      </c>
      <c r="E3232" s="4">
        <v>4100301</v>
      </c>
      <c r="F3232" s="4" t="s">
        <v>6576</v>
      </c>
      <c r="G3232" s="4" t="s">
        <v>215</v>
      </c>
      <c r="H3232" s="13"/>
    </row>
    <row r="3233" s="1" customFormat="1" spans="1:8">
      <c r="A3233" s="4" t="s">
        <v>205</v>
      </c>
      <c r="B3233" s="4" t="s">
        <v>88</v>
      </c>
      <c r="C3233" s="4" t="s">
        <v>6542</v>
      </c>
      <c r="D3233" s="4" t="s">
        <v>6577</v>
      </c>
      <c r="E3233" s="4">
        <v>4101200</v>
      </c>
      <c r="F3233" s="4" t="s">
        <v>6578</v>
      </c>
      <c r="G3233" s="4" t="s">
        <v>215</v>
      </c>
      <c r="H3233" s="13"/>
    </row>
    <row r="3234" s="1" customFormat="1" spans="1:8">
      <c r="A3234" s="4" t="s">
        <v>205</v>
      </c>
      <c r="B3234" s="4" t="s">
        <v>88</v>
      </c>
      <c r="C3234" s="4" t="s">
        <v>6542</v>
      </c>
      <c r="D3234" s="4" t="s">
        <v>6579</v>
      </c>
      <c r="E3234" s="4">
        <v>4101309</v>
      </c>
      <c r="F3234" s="4" t="s">
        <v>6580</v>
      </c>
      <c r="G3234" s="4" t="s">
        <v>215</v>
      </c>
      <c r="H3234" s="13"/>
    </row>
    <row r="3235" s="1" customFormat="1" spans="1:8">
      <c r="A3235" s="4" t="s">
        <v>205</v>
      </c>
      <c r="B3235" s="4" t="s">
        <v>88</v>
      </c>
      <c r="C3235" s="4" t="s">
        <v>6542</v>
      </c>
      <c r="D3235" s="4" t="s">
        <v>6581</v>
      </c>
      <c r="E3235" s="4">
        <v>4102307</v>
      </c>
      <c r="F3235" s="4" t="s">
        <v>6582</v>
      </c>
      <c r="G3235" s="4" t="s">
        <v>215</v>
      </c>
      <c r="H3235" s="13"/>
    </row>
    <row r="3236" s="1" customFormat="1" spans="1:8">
      <c r="A3236" s="4" t="s">
        <v>205</v>
      </c>
      <c r="B3236" s="4" t="s">
        <v>88</v>
      </c>
      <c r="C3236" s="4" t="s">
        <v>6542</v>
      </c>
      <c r="D3236" s="4" t="s">
        <v>6583</v>
      </c>
      <c r="E3236" s="4">
        <v>4104105</v>
      </c>
      <c r="F3236" s="4" t="s">
        <v>6584</v>
      </c>
      <c r="G3236" s="4" t="s">
        <v>215</v>
      </c>
      <c r="H3236" s="13"/>
    </row>
    <row r="3237" s="1" customFormat="1" spans="1:8">
      <c r="A3237" s="4" t="s">
        <v>205</v>
      </c>
      <c r="B3237" s="4" t="s">
        <v>88</v>
      </c>
      <c r="C3237" s="4" t="s">
        <v>6542</v>
      </c>
      <c r="D3237" s="4" t="s">
        <v>6585</v>
      </c>
      <c r="E3237" s="4">
        <v>4104659</v>
      </c>
      <c r="F3237" s="4" t="s">
        <v>6586</v>
      </c>
      <c r="G3237" s="4" t="s">
        <v>215</v>
      </c>
      <c r="H3237" s="13"/>
    </row>
    <row r="3238" s="1" customFormat="1" spans="1:8">
      <c r="A3238" s="4" t="s">
        <v>205</v>
      </c>
      <c r="B3238" s="4" t="s">
        <v>88</v>
      </c>
      <c r="C3238" s="4" t="s">
        <v>6542</v>
      </c>
      <c r="D3238" s="4" t="s">
        <v>6587</v>
      </c>
      <c r="E3238" s="4">
        <v>4104907</v>
      </c>
      <c r="F3238" s="4" t="s">
        <v>6588</v>
      </c>
      <c r="G3238" s="4" t="s">
        <v>215</v>
      </c>
      <c r="H3238" s="13"/>
    </row>
    <row r="3239" s="1" customFormat="1" spans="1:8">
      <c r="A3239" s="4" t="s">
        <v>205</v>
      </c>
      <c r="B3239" s="4" t="s">
        <v>88</v>
      </c>
      <c r="C3239" s="4" t="s">
        <v>6542</v>
      </c>
      <c r="D3239" s="4" t="s">
        <v>6589</v>
      </c>
      <c r="E3239" s="4">
        <v>4105201</v>
      </c>
      <c r="F3239" s="4" t="s">
        <v>6590</v>
      </c>
      <c r="G3239" s="4" t="s">
        <v>215</v>
      </c>
      <c r="H3239" s="13"/>
    </row>
    <row r="3240" s="1" customFormat="1" spans="1:8">
      <c r="A3240" s="4" t="s">
        <v>205</v>
      </c>
      <c r="B3240" s="4" t="s">
        <v>88</v>
      </c>
      <c r="C3240" s="4" t="s">
        <v>6542</v>
      </c>
      <c r="D3240" s="4" t="s">
        <v>6591</v>
      </c>
      <c r="E3240" s="4">
        <v>4106209</v>
      </c>
      <c r="F3240" s="4" t="s">
        <v>6592</v>
      </c>
      <c r="G3240" s="4" t="s">
        <v>215</v>
      </c>
      <c r="H3240" s="13"/>
    </row>
    <row r="3241" s="1" customFormat="1" spans="1:8">
      <c r="A3241" s="4" t="s">
        <v>205</v>
      </c>
      <c r="B3241" s="4" t="s">
        <v>88</v>
      </c>
      <c r="C3241" s="4" t="s">
        <v>6542</v>
      </c>
      <c r="D3241" s="4" t="s">
        <v>6593</v>
      </c>
      <c r="E3241" s="4">
        <v>4128633</v>
      </c>
      <c r="F3241" s="4" t="s">
        <v>6594</v>
      </c>
      <c r="G3241" s="4" t="s">
        <v>215</v>
      </c>
      <c r="H3241" s="13"/>
    </row>
    <row r="3242" s="1" customFormat="1" spans="1:8">
      <c r="A3242" s="4" t="s">
        <v>205</v>
      </c>
      <c r="B3242" s="4" t="s">
        <v>88</v>
      </c>
      <c r="C3242" s="4" t="s">
        <v>6542</v>
      </c>
      <c r="D3242" s="4" t="s">
        <v>6595</v>
      </c>
      <c r="E3242" s="4">
        <v>4107736</v>
      </c>
      <c r="F3242" s="4" t="s">
        <v>6596</v>
      </c>
      <c r="G3242" s="4" t="s">
        <v>215</v>
      </c>
      <c r="H3242" s="13"/>
    </row>
    <row r="3243" s="1" customFormat="1" spans="1:8">
      <c r="A3243" s="4" t="s">
        <v>205</v>
      </c>
      <c r="B3243" s="4" t="s">
        <v>88</v>
      </c>
      <c r="C3243" s="4" t="s">
        <v>6542</v>
      </c>
      <c r="D3243" s="4" t="s">
        <v>6597</v>
      </c>
      <c r="E3243" s="4">
        <v>4108957</v>
      </c>
      <c r="F3243" s="4" t="s">
        <v>6598</v>
      </c>
      <c r="G3243" s="4" t="s">
        <v>215</v>
      </c>
      <c r="H3243" s="13"/>
    </row>
    <row r="3244" s="1" customFormat="1" spans="1:8">
      <c r="A3244" s="4" t="s">
        <v>205</v>
      </c>
      <c r="B3244" s="4" t="s">
        <v>88</v>
      </c>
      <c r="C3244" s="4" t="s">
        <v>6542</v>
      </c>
      <c r="D3244" s="4" t="s">
        <v>6599</v>
      </c>
      <c r="E3244" s="4">
        <v>4109500</v>
      </c>
      <c r="F3244" s="4" t="s">
        <v>6600</v>
      </c>
      <c r="G3244" s="4" t="s">
        <v>215</v>
      </c>
      <c r="H3244" s="13"/>
    </row>
    <row r="3245" s="1" customFormat="1" spans="1:8">
      <c r="A3245" s="4" t="s">
        <v>205</v>
      </c>
      <c r="B3245" s="4" t="s">
        <v>88</v>
      </c>
      <c r="C3245" s="4" t="s">
        <v>6542</v>
      </c>
      <c r="D3245" s="4" t="s">
        <v>6601</v>
      </c>
      <c r="E3245" s="4">
        <v>4109609</v>
      </c>
      <c r="F3245" s="4" t="s">
        <v>6602</v>
      </c>
      <c r="G3245" s="4" t="s">
        <v>215</v>
      </c>
      <c r="H3245" s="13"/>
    </row>
    <row r="3246" s="1" customFormat="1" spans="1:8">
      <c r="A3246" s="4" t="s">
        <v>205</v>
      </c>
      <c r="B3246" s="4" t="s">
        <v>88</v>
      </c>
      <c r="C3246" s="4" t="s">
        <v>6542</v>
      </c>
      <c r="D3246" s="4" t="s">
        <v>6603</v>
      </c>
      <c r="E3246" s="4">
        <v>4110078</v>
      </c>
      <c r="F3246" s="4" t="s">
        <v>6604</v>
      </c>
      <c r="G3246" s="4" t="s">
        <v>215</v>
      </c>
      <c r="H3246" s="13"/>
    </row>
    <row r="3247" s="1" customFormat="1" spans="1:8">
      <c r="A3247" s="4" t="s">
        <v>205</v>
      </c>
      <c r="B3247" s="4" t="s">
        <v>88</v>
      </c>
      <c r="C3247" s="4" t="s">
        <v>6542</v>
      </c>
      <c r="D3247" s="4" t="s">
        <v>6605</v>
      </c>
      <c r="E3247" s="4">
        <v>4110102</v>
      </c>
      <c r="F3247" s="4" t="s">
        <v>6606</v>
      </c>
      <c r="G3247" s="4" t="s">
        <v>215</v>
      </c>
      <c r="H3247" s="13"/>
    </row>
    <row r="3248" s="1" customFormat="1" spans="1:8">
      <c r="A3248" s="4" t="s">
        <v>205</v>
      </c>
      <c r="B3248" s="4" t="s">
        <v>88</v>
      </c>
      <c r="C3248" s="4" t="s">
        <v>6542</v>
      </c>
      <c r="D3248" s="4" t="s">
        <v>6607</v>
      </c>
      <c r="E3248" s="4">
        <v>4110201</v>
      </c>
      <c r="F3248" s="4" t="s">
        <v>6608</v>
      </c>
      <c r="G3248" s="4" t="s">
        <v>215</v>
      </c>
      <c r="H3248" s="13"/>
    </row>
    <row r="3249" s="1" customFormat="1" spans="1:8">
      <c r="A3249" s="4" t="s">
        <v>205</v>
      </c>
      <c r="B3249" s="4" t="s">
        <v>88</v>
      </c>
      <c r="C3249" s="4" t="s">
        <v>6542</v>
      </c>
      <c r="D3249" s="4" t="s">
        <v>6609</v>
      </c>
      <c r="E3249" s="4">
        <v>4110508</v>
      </c>
      <c r="F3249" s="4" t="s">
        <v>6610</v>
      </c>
      <c r="G3249" s="4" t="s">
        <v>215</v>
      </c>
      <c r="H3249" s="13"/>
    </row>
    <row r="3250" s="1" customFormat="1" spans="1:8">
      <c r="A3250" s="4" t="s">
        <v>205</v>
      </c>
      <c r="B3250" s="4" t="s">
        <v>88</v>
      </c>
      <c r="C3250" s="4" t="s">
        <v>6542</v>
      </c>
      <c r="D3250" s="4" t="s">
        <v>6611</v>
      </c>
      <c r="E3250" s="4">
        <v>4110706</v>
      </c>
      <c r="F3250" s="4" t="s">
        <v>6612</v>
      </c>
      <c r="G3250" s="4" t="s">
        <v>215</v>
      </c>
      <c r="H3250" s="13"/>
    </row>
    <row r="3251" s="1" customFormat="1" spans="1:8">
      <c r="A3251" s="4" t="s">
        <v>205</v>
      </c>
      <c r="B3251" s="4" t="s">
        <v>88</v>
      </c>
      <c r="C3251" s="4" t="s">
        <v>6542</v>
      </c>
      <c r="D3251" s="4" t="s">
        <v>6613</v>
      </c>
      <c r="E3251" s="4">
        <v>4111407</v>
      </c>
      <c r="F3251" s="4" t="s">
        <v>6614</v>
      </c>
      <c r="G3251" s="4" t="s">
        <v>215</v>
      </c>
      <c r="H3251" s="13"/>
    </row>
    <row r="3252" s="1" customFormat="1" spans="1:8">
      <c r="A3252" s="4" t="s">
        <v>205</v>
      </c>
      <c r="B3252" s="4" t="s">
        <v>88</v>
      </c>
      <c r="C3252" s="4" t="s">
        <v>6542</v>
      </c>
      <c r="D3252" s="4" t="s">
        <v>6615</v>
      </c>
      <c r="E3252" s="4">
        <v>4113205</v>
      </c>
      <c r="F3252" s="4" t="s">
        <v>6616</v>
      </c>
      <c r="G3252" s="4" t="s">
        <v>215</v>
      </c>
      <c r="H3252" s="13"/>
    </row>
    <row r="3253" s="1" customFormat="1" spans="1:8">
      <c r="A3253" s="4" t="s">
        <v>205</v>
      </c>
      <c r="B3253" s="4" t="s">
        <v>88</v>
      </c>
      <c r="C3253" s="4" t="s">
        <v>6542</v>
      </c>
      <c r="D3253" s="4" t="s">
        <v>6617</v>
      </c>
      <c r="E3253" s="4">
        <v>4113908</v>
      </c>
      <c r="F3253" s="4" t="s">
        <v>6618</v>
      </c>
      <c r="G3253" s="4" t="s">
        <v>215</v>
      </c>
      <c r="H3253" s="13"/>
    </row>
    <row r="3254" s="1" customFormat="1" spans="1:8">
      <c r="A3254" s="4" t="s">
        <v>205</v>
      </c>
      <c r="B3254" s="4" t="s">
        <v>88</v>
      </c>
      <c r="C3254" s="4" t="s">
        <v>6542</v>
      </c>
      <c r="D3254" s="4" t="s">
        <v>6619</v>
      </c>
      <c r="E3254" s="4">
        <v>4114302</v>
      </c>
      <c r="F3254" s="4" t="s">
        <v>6620</v>
      </c>
      <c r="G3254" s="4" t="s">
        <v>215</v>
      </c>
      <c r="H3254" s="13"/>
    </row>
    <row r="3255" s="1" customFormat="1" spans="1:8">
      <c r="A3255" s="4" t="s">
        <v>205</v>
      </c>
      <c r="B3255" s="4" t="s">
        <v>88</v>
      </c>
      <c r="C3255" s="4" t="s">
        <v>6542</v>
      </c>
      <c r="D3255" s="4" t="s">
        <v>6621</v>
      </c>
      <c r="E3255" s="4">
        <v>4115705</v>
      </c>
      <c r="F3255" s="4" t="s">
        <v>6622</v>
      </c>
      <c r="G3255" s="4" t="s">
        <v>215</v>
      </c>
      <c r="H3255" s="13"/>
    </row>
    <row r="3256" s="1" customFormat="1" spans="1:8">
      <c r="A3256" s="4" t="s">
        <v>205</v>
      </c>
      <c r="B3256" s="4" t="s">
        <v>88</v>
      </c>
      <c r="C3256" s="4" t="s">
        <v>6542</v>
      </c>
      <c r="D3256" s="4" t="s">
        <v>6623</v>
      </c>
      <c r="E3256" s="4">
        <v>4116208</v>
      </c>
      <c r="F3256" s="4" t="s">
        <v>6624</v>
      </c>
      <c r="G3256" s="4" t="s">
        <v>215</v>
      </c>
      <c r="H3256" s="13"/>
    </row>
    <row r="3257" s="1" customFormat="1" spans="1:8">
      <c r="A3257" s="4" t="s">
        <v>205</v>
      </c>
      <c r="B3257" s="4" t="s">
        <v>88</v>
      </c>
      <c r="C3257" s="4" t="s">
        <v>6542</v>
      </c>
      <c r="D3257" s="4" t="s">
        <v>6625</v>
      </c>
      <c r="E3257" s="4">
        <v>4117701</v>
      </c>
      <c r="F3257" s="4" t="s">
        <v>6626</v>
      </c>
      <c r="G3257" s="4" t="s">
        <v>215</v>
      </c>
      <c r="H3257" s="13"/>
    </row>
    <row r="3258" s="1" customFormat="1" spans="1:8">
      <c r="A3258" s="4" t="s">
        <v>205</v>
      </c>
      <c r="B3258" s="4" t="s">
        <v>88</v>
      </c>
      <c r="C3258" s="4" t="s">
        <v>6542</v>
      </c>
      <c r="D3258" s="4" t="s">
        <v>6627</v>
      </c>
      <c r="E3258" s="4">
        <v>4118204</v>
      </c>
      <c r="F3258" s="4" t="s">
        <v>6628</v>
      </c>
      <c r="G3258" s="4" t="s">
        <v>215</v>
      </c>
      <c r="H3258" s="13"/>
    </row>
    <row r="3259" s="1" customFormat="1" spans="1:8">
      <c r="A3259" s="4" t="s">
        <v>205</v>
      </c>
      <c r="B3259" s="4" t="s">
        <v>88</v>
      </c>
      <c r="C3259" s="4" t="s">
        <v>6542</v>
      </c>
      <c r="D3259" s="4" t="s">
        <v>6629</v>
      </c>
      <c r="E3259" s="4">
        <v>4118709</v>
      </c>
      <c r="F3259" s="4" t="s">
        <v>6630</v>
      </c>
      <c r="G3259" s="4" t="s">
        <v>215</v>
      </c>
      <c r="H3259" s="13"/>
    </row>
    <row r="3260" s="1" customFormat="1" spans="1:8">
      <c r="A3260" s="4" t="s">
        <v>205</v>
      </c>
      <c r="B3260" s="4" t="s">
        <v>88</v>
      </c>
      <c r="C3260" s="4" t="s">
        <v>6542</v>
      </c>
      <c r="D3260" s="4" t="s">
        <v>6631</v>
      </c>
      <c r="E3260" s="4">
        <v>4119400</v>
      </c>
      <c r="F3260" s="4" t="s">
        <v>6632</v>
      </c>
      <c r="G3260" s="4" t="s">
        <v>215</v>
      </c>
      <c r="H3260" s="13"/>
    </row>
    <row r="3261" s="1" customFormat="1" spans="1:8">
      <c r="A3261" s="4" t="s">
        <v>205</v>
      </c>
      <c r="B3261" s="4" t="s">
        <v>88</v>
      </c>
      <c r="C3261" s="4" t="s">
        <v>6542</v>
      </c>
      <c r="D3261" s="4" t="s">
        <v>6633</v>
      </c>
      <c r="E3261" s="4">
        <v>4119103</v>
      </c>
      <c r="F3261" s="4" t="s">
        <v>6634</v>
      </c>
      <c r="G3261" s="4" t="s">
        <v>215</v>
      </c>
      <c r="H3261" s="13"/>
    </row>
    <row r="3262" s="1" customFormat="1" spans="1:8">
      <c r="A3262" s="4" t="s">
        <v>205</v>
      </c>
      <c r="B3262" s="4" t="s">
        <v>88</v>
      </c>
      <c r="C3262" s="4" t="s">
        <v>6542</v>
      </c>
      <c r="D3262" s="4" t="s">
        <v>6635</v>
      </c>
      <c r="E3262" s="4">
        <v>4119905</v>
      </c>
      <c r="F3262" s="4" t="s">
        <v>6636</v>
      </c>
      <c r="G3262" s="4" t="s">
        <v>215</v>
      </c>
      <c r="H3262" s="13"/>
    </row>
    <row r="3263" s="1" customFormat="1" spans="1:8">
      <c r="A3263" s="4" t="s">
        <v>205</v>
      </c>
      <c r="B3263" s="4" t="s">
        <v>88</v>
      </c>
      <c r="C3263" s="4" t="s">
        <v>6542</v>
      </c>
      <c r="D3263" s="4" t="s">
        <v>6637</v>
      </c>
      <c r="E3263" s="4">
        <v>4119954</v>
      </c>
      <c r="F3263" s="4" t="s">
        <v>6638</v>
      </c>
      <c r="G3263" s="4" t="s">
        <v>215</v>
      </c>
      <c r="H3263" s="13"/>
    </row>
    <row r="3264" s="1" customFormat="1" spans="1:8">
      <c r="A3264" s="4" t="s">
        <v>205</v>
      </c>
      <c r="B3264" s="4" t="s">
        <v>88</v>
      </c>
      <c r="C3264" s="4" t="s">
        <v>6542</v>
      </c>
      <c r="D3264" s="4" t="s">
        <v>6639</v>
      </c>
      <c r="E3264" s="4">
        <v>4120101</v>
      </c>
      <c r="F3264" s="4" t="s">
        <v>6640</v>
      </c>
      <c r="G3264" s="4" t="s">
        <v>215</v>
      </c>
      <c r="H3264" s="13"/>
    </row>
    <row r="3265" s="1" customFormat="1" spans="1:8">
      <c r="A3265" s="4" t="s">
        <v>205</v>
      </c>
      <c r="B3265" s="4" t="s">
        <v>88</v>
      </c>
      <c r="C3265" s="4" t="s">
        <v>6542</v>
      </c>
      <c r="D3265" s="4" t="s">
        <v>6641</v>
      </c>
      <c r="E3265" s="4">
        <v>4120606</v>
      </c>
      <c r="F3265" s="4" t="s">
        <v>6642</v>
      </c>
      <c r="G3265" s="4" t="s">
        <v>215</v>
      </c>
      <c r="H3265" s="13"/>
    </row>
    <row r="3266" s="1" customFormat="1" spans="1:8">
      <c r="A3266" s="4" t="s">
        <v>205</v>
      </c>
      <c r="B3266" s="4" t="s">
        <v>88</v>
      </c>
      <c r="C3266" s="4" t="s">
        <v>6542</v>
      </c>
      <c r="D3266" s="4" t="s">
        <v>6643</v>
      </c>
      <c r="E3266" s="4">
        <v>4121208</v>
      </c>
      <c r="F3266" s="4" t="s">
        <v>6644</v>
      </c>
      <c r="G3266" s="4" t="s">
        <v>215</v>
      </c>
      <c r="H3266" s="13"/>
    </row>
    <row r="3267" s="1" customFormat="1" spans="1:8">
      <c r="A3267" s="4" t="s">
        <v>205</v>
      </c>
      <c r="B3267" s="4" t="s">
        <v>88</v>
      </c>
      <c r="C3267" s="4" t="s">
        <v>6542</v>
      </c>
      <c r="D3267" s="4" t="s">
        <v>6645</v>
      </c>
      <c r="E3267" s="4">
        <v>4121505</v>
      </c>
      <c r="F3267" s="4" t="s">
        <v>6646</v>
      </c>
      <c r="G3267" s="4" t="s">
        <v>215</v>
      </c>
      <c r="H3267" s="13"/>
    </row>
    <row r="3268" s="1" customFormat="1" spans="1:8">
      <c r="A3268" s="4" t="s">
        <v>205</v>
      </c>
      <c r="B3268" s="4" t="s">
        <v>88</v>
      </c>
      <c r="C3268" s="4" t="s">
        <v>6542</v>
      </c>
      <c r="D3268" s="4" t="s">
        <v>6647</v>
      </c>
      <c r="E3268" s="4">
        <v>4122008</v>
      </c>
      <c r="F3268" s="4" t="s">
        <v>6648</v>
      </c>
      <c r="G3268" s="4" t="s">
        <v>215</v>
      </c>
      <c r="H3268" s="13"/>
    </row>
    <row r="3269" s="1" customFormat="1" spans="1:8">
      <c r="A3269" s="4" t="s">
        <v>205</v>
      </c>
      <c r="B3269" s="4" t="s">
        <v>88</v>
      </c>
      <c r="C3269" s="4" t="s">
        <v>6542</v>
      </c>
      <c r="D3269" s="4" t="s">
        <v>4628</v>
      </c>
      <c r="E3269" s="4">
        <v>4122305</v>
      </c>
      <c r="F3269" s="4" t="s">
        <v>6649</v>
      </c>
      <c r="G3269" s="4" t="s">
        <v>215</v>
      </c>
      <c r="H3269" s="13"/>
    </row>
    <row r="3270" s="1" customFormat="1" spans="1:8">
      <c r="A3270" s="4" t="s">
        <v>205</v>
      </c>
      <c r="B3270" s="4" t="s">
        <v>88</v>
      </c>
      <c r="C3270" s="4" t="s">
        <v>6542</v>
      </c>
      <c r="D3270" s="4" t="s">
        <v>6650</v>
      </c>
      <c r="E3270" s="4">
        <v>4125100</v>
      </c>
      <c r="F3270" s="4" t="s">
        <v>6651</v>
      </c>
      <c r="G3270" s="4" t="s">
        <v>215</v>
      </c>
      <c r="H3270" s="13"/>
    </row>
    <row r="3271" s="1" customFormat="1" spans="1:8">
      <c r="A3271" s="4" t="s">
        <v>205</v>
      </c>
      <c r="B3271" s="4" t="s">
        <v>88</v>
      </c>
      <c r="C3271" s="4" t="s">
        <v>6542</v>
      </c>
      <c r="D3271" s="4" t="s">
        <v>6652</v>
      </c>
      <c r="E3271" s="4">
        <v>4125605</v>
      </c>
      <c r="F3271" s="4" t="s">
        <v>6653</v>
      </c>
      <c r="G3271" s="4" t="s">
        <v>215</v>
      </c>
      <c r="H3271" s="13"/>
    </row>
    <row r="3272" s="1" customFormat="1" spans="1:8">
      <c r="A3272" s="4" t="s">
        <v>205</v>
      </c>
      <c r="B3272" s="4" t="s">
        <v>88</v>
      </c>
      <c r="C3272" s="4" t="s">
        <v>6542</v>
      </c>
      <c r="D3272" s="4" t="s">
        <v>6654</v>
      </c>
      <c r="E3272" s="4">
        <v>4127007</v>
      </c>
      <c r="F3272" s="4" t="s">
        <v>6655</v>
      </c>
      <c r="G3272" s="4" t="s">
        <v>215</v>
      </c>
      <c r="H3272" s="13"/>
    </row>
    <row r="3273" s="1" customFormat="1" spans="1:8">
      <c r="A3273" s="4" t="s">
        <v>205</v>
      </c>
      <c r="B3273" s="4" t="s">
        <v>88</v>
      </c>
      <c r="C3273" s="4" t="s">
        <v>6542</v>
      </c>
      <c r="D3273" s="4" t="s">
        <v>6656</v>
      </c>
      <c r="E3273" s="4">
        <v>4127502</v>
      </c>
      <c r="F3273" s="4" t="s">
        <v>6657</v>
      </c>
      <c r="G3273" s="4" t="s">
        <v>215</v>
      </c>
      <c r="H3273" s="13"/>
    </row>
    <row r="3274" s="1" customFormat="1" spans="1:8">
      <c r="A3274" s="4" t="s">
        <v>205</v>
      </c>
      <c r="B3274" s="4" t="s">
        <v>88</v>
      </c>
      <c r="C3274" s="4" t="s">
        <v>6542</v>
      </c>
      <c r="D3274" s="4" t="s">
        <v>6658</v>
      </c>
      <c r="E3274" s="4">
        <v>4127601</v>
      </c>
      <c r="F3274" s="4" t="s">
        <v>6659</v>
      </c>
      <c r="G3274" s="4" t="s">
        <v>215</v>
      </c>
      <c r="H3274" s="13"/>
    </row>
    <row r="3275" s="1" customFormat="1" spans="1:8">
      <c r="A3275" s="4" t="s">
        <v>205</v>
      </c>
      <c r="B3275" s="4" t="s">
        <v>88</v>
      </c>
      <c r="C3275" s="4" t="s">
        <v>6542</v>
      </c>
      <c r="D3275" s="4" t="s">
        <v>6660</v>
      </c>
      <c r="E3275" s="4">
        <v>4127882</v>
      </c>
      <c r="F3275" s="4" t="s">
        <v>6661</v>
      </c>
      <c r="G3275" s="4" t="s">
        <v>215</v>
      </c>
      <c r="H3275" s="13"/>
    </row>
    <row r="3276" s="1" customFormat="1" spans="1:8">
      <c r="A3276" s="4" t="s">
        <v>205</v>
      </c>
      <c r="B3276" s="4" t="s">
        <v>88</v>
      </c>
      <c r="C3276" s="4" t="s">
        <v>6542</v>
      </c>
      <c r="D3276" s="4" t="s">
        <v>6662</v>
      </c>
      <c r="E3276" s="4">
        <v>4100103</v>
      </c>
      <c r="F3276" s="4" t="s">
        <v>6663</v>
      </c>
      <c r="G3276" s="4" t="s">
        <v>232</v>
      </c>
      <c r="H3276" s="13"/>
    </row>
    <row r="3277" s="1" customFormat="1" spans="1:8">
      <c r="A3277" s="4" t="s">
        <v>205</v>
      </c>
      <c r="B3277" s="4" t="s">
        <v>88</v>
      </c>
      <c r="C3277" s="4" t="s">
        <v>6542</v>
      </c>
      <c r="D3277" s="4" t="s">
        <v>6664</v>
      </c>
      <c r="E3277" s="4">
        <v>4101101</v>
      </c>
      <c r="F3277" s="4" t="s">
        <v>6665</v>
      </c>
      <c r="G3277" s="4" t="s">
        <v>232</v>
      </c>
      <c r="H3277" s="13"/>
    </row>
    <row r="3278" s="1" customFormat="1" spans="1:8">
      <c r="A3278" s="4" t="s">
        <v>205</v>
      </c>
      <c r="B3278" s="4" t="s">
        <v>88</v>
      </c>
      <c r="C3278" s="4" t="s">
        <v>6542</v>
      </c>
      <c r="D3278" s="4" t="s">
        <v>6666</v>
      </c>
      <c r="E3278" s="4">
        <v>4101408</v>
      </c>
      <c r="F3278" s="4" t="s">
        <v>6667</v>
      </c>
      <c r="G3278" s="4" t="s">
        <v>232</v>
      </c>
      <c r="H3278" s="13"/>
    </row>
    <row r="3279" s="1" customFormat="1" spans="1:8">
      <c r="A3279" s="4" t="s">
        <v>205</v>
      </c>
      <c r="B3279" s="4" t="s">
        <v>88</v>
      </c>
      <c r="C3279" s="4" t="s">
        <v>6542</v>
      </c>
      <c r="D3279" s="4" t="s">
        <v>6668</v>
      </c>
      <c r="E3279" s="4">
        <v>4101507</v>
      </c>
      <c r="F3279" s="4" t="s">
        <v>6669</v>
      </c>
      <c r="G3279" s="4" t="s">
        <v>232</v>
      </c>
      <c r="H3279" s="13"/>
    </row>
    <row r="3280" s="1" customFormat="1" spans="1:8">
      <c r="A3280" s="4" t="s">
        <v>205</v>
      </c>
      <c r="B3280" s="4" t="s">
        <v>88</v>
      </c>
      <c r="C3280" s="4" t="s">
        <v>6542</v>
      </c>
      <c r="D3280" s="4" t="s">
        <v>6670</v>
      </c>
      <c r="E3280" s="4">
        <v>4101606</v>
      </c>
      <c r="F3280" s="4" t="s">
        <v>6671</v>
      </c>
      <c r="G3280" s="4" t="s">
        <v>232</v>
      </c>
      <c r="H3280" s="13"/>
    </row>
    <row r="3281" s="1" customFormat="1" spans="1:8">
      <c r="A3281" s="4" t="s">
        <v>205</v>
      </c>
      <c r="B3281" s="4" t="s">
        <v>88</v>
      </c>
      <c r="C3281" s="4" t="s">
        <v>6542</v>
      </c>
      <c r="D3281" s="4" t="s">
        <v>6672</v>
      </c>
      <c r="E3281" s="4">
        <v>4101655</v>
      </c>
      <c r="F3281" s="4" t="s">
        <v>6673</v>
      </c>
      <c r="G3281" s="4" t="s">
        <v>232</v>
      </c>
      <c r="H3281" s="13"/>
    </row>
    <row r="3282" s="1" customFormat="1" spans="1:8">
      <c r="A3282" s="4" t="s">
        <v>205</v>
      </c>
      <c r="B3282" s="4" t="s">
        <v>88</v>
      </c>
      <c r="C3282" s="4" t="s">
        <v>6542</v>
      </c>
      <c r="D3282" s="4" t="s">
        <v>6674</v>
      </c>
      <c r="E3282" s="4">
        <v>4101853</v>
      </c>
      <c r="F3282" s="4" t="s">
        <v>6675</v>
      </c>
      <c r="G3282" s="4" t="s">
        <v>232</v>
      </c>
      <c r="H3282" s="13"/>
    </row>
    <row r="3283" s="1" customFormat="1" spans="1:8">
      <c r="A3283" s="4" t="s">
        <v>205</v>
      </c>
      <c r="B3283" s="4" t="s">
        <v>88</v>
      </c>
      <c r="C3283" s="4" t="s">
        <v>6542</v>
      </c>
      <c r="D3283" s="4" t="s">
        <v>6676</v>
      </c>
      <c r="E3283" s="4">
        <v>4101903</v>
      </c>
      <c r="F3283" s="4" t="s">
        <v>6677</v>
      </c>
      <c r="G3283" s="4" t="s">
        <v>232</v>
      </c>
      <c r="H3283" s="13"/>
    </row>
    <row r="3284" s="1" customFormat="1" spans="1:8">
      <c r="A3284" s="4" t="s">
        <v>205</v>
      </c>
      <c r="B3284" s="4" t="s">
        <v>88</v>
      </c>
      <c r="C3284" s="4" t="s">
        <v>6542</v>
      </c>
      <c r="D3284" s="4" t="s">
        <v>6678</v>
      </c>
      <c r="E3284" s="4">
        <v>4102109</v>
      </c>
      <c r="F3284" s="4" t="s">
        <v>6679</v>
      </c>
      <c r="G3284" s="4" t="s">
        <v>232</v>
      </c>
      <c r="H3284" s="13"/>
    </row>
    <row r="3285" s="1" customFormat="1" spans="1:8">
      <c r="A3285" s="4" t="s">
        <v>205</v>
      </c>
      <c r="B3285" s="4" t="s">
        <v>88</v>
      </c>
      <c r="C3285" s="4" t="s">
        <v>6542</v>
      </c>
      <c r="D3285" s="4" t="s">
        <v>4614</v>
      </c>
      <c r="E3285" s="4">
        <v>4102406</v>
      </c>
      <c r="F3285" s="4" t="s">
        <v>6680</v>
      </c>
      <c r="G3285" s="4" t="s">
        <v>232</v>
      </c>
      <c r="H3285" s="13"/>
    </row>
    <row r="3286" s="1" customFormat="1" spans="1:8">
      <c r="A3286" s="4" t="s">
        <v>205</v>
      </c>
      <c r="B3286" s="4" t="s">
        <v>88</v>
      </c>
      <c r="C3286" s="4" t="s">
        <v>6542</v>
      </c>
      <c r="D3286" s="4" t="s">
        <v>6681</v>
      </c>
      <c r="E3286" s="4">
        <v>4102505</v>
      </c>
      <c r="F3286" s="4" t="s">
        <v>6682</v>
      </c>
      <c r="G3286" s="4" t="s">
        <v>232</v>
      </c>
      <c r="H3286" s="13"/>
    </row>
    <row r="3287" s="1" customFormat="1" spans="1:8">
      <c r="A3287" s="4" t="s">
        <v>205</v>
      </c>
      <c r="B3287" s="4" t="s">
        <v>88</v>
      </c>
      <c r="C3287" s="4" t="s">
        <v>6542</v>
      </c>
      <c r="D3287" s="4" t="s">
        <v>6683</v>
      </c>
      <c r="E3287" s="4">
        <v>4102703</v>
      </c>
      <c r="F3287" s="4" t="s">
        <v>6684</v>
      </c>
      <c r="G3287" s="4" t="s">
        <v>232</v>
      </c>
      <c r="H3287" s="13"/>
    </row>
    <row r="3288" s="1" customFormat="1" spans="1:8">
      <c r="A3288" s="4" t="s">
        <v>205</v>
      </c>
      <c r="B3288" s="4" t="s">
        <v>88</v>
      </c>
      <c r="C3288" s="4" t="s">
        <v>6542</v>
      </c>
      <c r="D3288" s="4" t="s">
        <v>6685</v>
      </c>
      <c r="E3288" s="4">
        <v>4102802</v>
      </c>
      <c r="F3288" s="4" t="s">
        <v>6686</v>
      </c>
      <c r="G3288" s="4" t="s">
        <v>232</v>
      </c>
      <c r="H3288" s="13"/>
    </row>
    <row r="3289" s="1" customFormat="1" spans="1:8">
      <c r="A3289" s="4" t="s">
        <v>205</v>
      </c>
      <c r="B3289" s="4" t="s">
        <v>88</v>
      </c>
      <c r="C3289" s="4" t="s">
        <v>6542</v>
      </c>
      <c r="D3289" s="4" t="s">
        <v>6687</v>
      </c>
      <c r="E3289" s="4">
        <v>4102901</v>
      </c>
      <c r="F3289" s="4" t="s">
        <v>6688</v>
      </c>
      <c r="G3289" s="4" t="s">
        <v>232</v>
      </c>
      <c r="H3289" s="13"/>
    </row>
    <row r="3290" s="1" customFormat="1" spans="1:8">
      <c r="A3290" s="4" t="s">
        <v>205</v>
      </c>
      <c r="B3290" s="4" t="s">
        <v>88</v>
      </c>
      <c r="C3290" s="4" t="s">
        <v>6542</v>
      </c>
      <c r="D3290" s="4" t="s">
        <v>6689</v>
      </c>
      <c r="E3290" s="4">
        <v>4103040</v>
      </c>
      <c r="F3290" s="4" t="s">
        <v>6690</v>
      </c>
      <c r="G3290" s="4" t="s">
        <v>232</v>
      </c>
      <c r="H3290" s="13"/>
    </row>
    <row r="3291" s="1" customFormat="1" spans="1:8">
      <c r="A3291" s="4" t="s">
        <v>205</v>
      </c>
      <c r="B3291" s="4" t="s">
        <v>88</v>
      </c>
      <c r="C3291" s="4" t="s">
        <v>6542</v>
      </c>
      <c r="D3291" s="4" t="s">
        <v>3012</v>
      </c>
      <c r="E3291" s="4">
        <v>4103206</v>
      </c>
      <c r="F3291" s="4" t="s">
        <v>6691</v>
      </c>
      <c r="G3291" s="4" t="s">
        <v>232</v>
      </c>
      <c r="H3291" s="13"/>
    </row>
    <row r="3292" s="1" customFormat="1" spans="1:8">
      <c r="A3292" s="4" t="s">
        <v>205</v>
      </c>
      <c r="B3292" s="4" t="s">
        <v>88</v>
      </c>
      <c r="C3292" s="4" t="s">
        <v>6542</v>
      </c>
      <c r="D3292" s="4" t="s">
        <v>6692</v>
      </c>
      <c r="E3292" s="4">
        <v>4103305</v>
      </c>
      <c r="F3292" s="4" t="s">
        <v>6693</v>
      </c>
      <c r="G3292" s="4" t="s">
        <v>232</v>
      </c>
      <c r="H3292" s="13"/>
    </row>
    <row r="3293" s="1" customFormat="1" spans="1:8">
      <c r="A3293" s="4" t="s">
        <v>205</v>
      </c>
      <c r="B3293" s="4" t="s">
        <v>88</v>
      </c>
      <c r="C3293" s="4" t="s">
        <v>6542</v>
      </c>
      <c r="D3293" s="4" t="s">
        <v>6694</v>
      </c>
      <c r="E3293" s="4">
        <v>4103503</v>
      </c>
      <c r="F3293" s="4" t="s">
        <v>6695</v>
      </c>
      <c r="G3293" s="4" t="s">
        <v>232</v>
      </c>
      <c r="H3293" s="13"/>
    </row>
    <row r="3294" s="1" customFormat="1" spans="1:8">
      <c r="A3294" s="4" t="s">
        <v>205</v>
      </c>
      <c r="B3294" s="4" t="s">
        <v>88</v>
      </c>
      <c r="C3294" s="4" t="s">
        <v>6542</v>
      </c>
      <c r="D3294" s="4" t="s">
        <v>6696</v>
      </c>
      <c r="E3294" s="4">
        <v>4103602</v>
      </c>
      <c r="F3294" s="4" t="s">
        <v>6697</v>
      </c>
      <c r="G3294" s="4" t="s">
        <v>232</v>
      </c>
      <c r="H3294" s="13"/>
    </row>
    <row r="3295" s="1" customFormat="1" spans="1:8">
      <c r="A3295" s="4" t="s">
        <v>205</v>
      </c>
      <c r="B3295" s="4" t="s">
        <v>88</v>
      </c>
      <c r="C3295" s="4" t="s">
        <v>6542</v>
      </c>
      <c r="D3295" s="4" t="s">
        <v>6698</v>
      </c>
      <c r="E3295" s="4">
        <v>4103800</v>
      </c>
      <c r="F3295" s="4" t="s">
        <v>6699</v>
      </c>
      <c r="G3295" s="4" t="s">
        <v>232</v>
      </c>
      <c r="H3295" s="13"/>
    </row>
    <row r="3296" s="1" customFormat="1" spans="1:8">
      <c r="A3296" s="4" t="s">
        <v>205</v>
      </c>
      <c r="B3296" s="4" t="s">
        <v>88</v>
      </c>
      <c r="C3296" s="4" t="s">
        <v>6542</v>
      </c>
      <c r="D3296" s="4" t="s">
        <v>6700</v>
      </c>
      <c r="E3296" s="4">
        <v>4103701</v>
      </c>
      <c r="F3296" s="4" t="s">
        <v>6701</v>
      </c>
      <c r="G3296" s="4" t="s">
        <v>232</v>
      </c>
      <c r="H3296" s="13"/>
    </row>
    <row r="3297" s="1" customFormat="1" spans="1:8">
      <c r="A3297" s="4" t="s">
        <v>205</v>
      </c>
      <c r="B3297" s="4" t="s">
        <v>88</v>
      </c>
      <c r="C3297" s="4" t="s">
        <v>6542</v>
      </c>
      <c r="D3297" s="4" t="s">
        <v>6702</v>
      </c>
      <c r="E3297" s="4">
        <v>4103958</v>
      </c>
      <c r="F3297" s="4" t="s">
        <v>6703</v>
      </c>
      <c r="G3297" s="4" t="s">
        <v>232</v>
      </c>
      <c r="H3297" s="13"/>
    </row>
    <row r="3298" s="1" customFormat="1" spans="1:8">
      <c r="A3298" s="4" t="s">
        <v>205</v>
      </c>
      <c r="B3298" s="4" t="s">
        <v>88</v>
      </c>
      <c r="C3298" s="4" t="s">
        <v>6542</v>
      </c>
      <c r="D3298" s="4" t="s">
        <v>6704</v>
      </c>
      <c r="E3298" s="4">
        <v>4104428</v>
      </c>
      <c r="F3298" s="4" t="s">
        <v>6705</v>
      </c>
      <c r="G3298" s="4" t="s">
        <v>232</v>
      </c>
      <c r="H3298" s="13"/>
    </row>
    <row r="3299" s="1" customFormat="1" spans="1:8">
      <c r="A3299" s="4" t="s">
        <v>205</v>
      </c>
      <c r="B3299" s="4" t="s">
        <v>88</v>
      </c>
      <c r="C3299" s="4" t="s">
        <v>6542</v>
      </c>
      <c r="D3299" s="4" t="s">
        <v>3708</v>
      </c>
      <c r="E3299" s="4">
        <v>4104451</v>
      </c>
      <c r="F3299" s="4" t="s">
        <v>6706</v>
      </c>
      <c r="G3299" s="4" t="s">
        <v>232</v>
      </c>
      <c r="H3299" s="13"/>
    </row>
    <row r="3300" s="1" customFormat="1" spans="1:8">
      <c r="A3300" s="4" t="s">
        <v>205</v>
      </c>
      <c r="B3300" s="4" t="s">
        <v>88</v>
      </c>
      <c r="C3300" s="4" t="s">
        <v>6542</v>
      </c>
      <c r="D3300" s="4" t="s">
        <v>6707</v>
      </c>
      <c r="E3300" s="4">
        <v>4104709</v>
      </c>
      <c r="F3300" s="4" t="s">
        <v>6708</v>
      </c>
      <c r="G3300" s="4" t="s">
        <v>232</v>
      </c>
      <c r="H3300" s="13"/>
    </row>
    <row r="3301" s="1" customFormat="1" spans="1:8">
      <c r="A3301" s="4" t="s">
        <v>205</v>
      </c>
      <c r="B3301" s="4" t="s">
        <v>88</v>
      </c>
      <c r="C3301" s="4" t="s">
        <v>6542</v>
      </c>
      <c r="D3301" s="4" t="s">
        <v>6709</v>
      </c>
      <c r="E3301" s="4">
        <v>4105409</v>
      </c>
      <c r="F3301" s="4" t="s">
        <v>6710</v>
      </c>
      <c r="G3301" s="4" t="s">
        <v>232</v>
      </c>
      <c r="H3301" s="13"/>
    </row>
    <row r="3302" s="1" customFormat="1" spans="1:8">
      <c r="A3302" s="4" t="s">
        <v>205</v>
      </c>
      <c r="B3302" s="4" t="s">
        <v>88</v>
      </c>
      <c r="C3302" s="4" t="s">
        <v>6542</v>
      </c>
      <c r="D3302" s="4" t="s">
        <v>6711</v>
      </c>
      <c r="E3302" s="4">
        <v>4105706</v>
      </c>
      <c r="F3302" s="4" t="s">
        <v>6712</v>
      </c>
      <c r="G3302" s="4" t="s">
        <v>232</v>
      </c>
      <c r="H3302" s="13"/>
    </row>
    <row r="3303" s="1" customFormat="1" spans="1:8">
      <c r="A3303" s="4" t="s">
        <v>205</v>
      </c>
      <c r="B3303" s="4" t="s">
        <v>88</v>
      </c>
      <c r="C3303" s="4" t="s">
        <v>6542</v>
      </c>
      <c r="D3303" s="4" t="s">
        <v>6713</v>
      </c>
      <c r="E3303" s="4">
        <v>4106001</v>
      </c>
      <c r="F3303" s="4" t="s">
        <v>6714</v>
      </c>
      <c r="G3303" s="4" t="s">
        <v>232</v>
      </c>
      <c r="H3303" s="13"/>
    </row>
    <row r="3304" s="1" customFormat="1" spans="1:8">
      <c r="A3304" s="4" t="s">
        <v>205</v>
      </c>
      <c r="B3304" s="4" t="s">
        <v>88</v>
      </c>
      <c r="C3304" s="4" t="s">
        <v>6542</v>
      </c>
      <c r="D3304" s="4" t="s">
        <v>6715</v>
      </c>
      <c r="E3304" s="4">
        <v>4106100</v>
      </c>
      <c r="F3304" s="4" t="s">
        <v>6716</v>
      </c>
      <c r="G3304" s="4" t="s">
        <v>232</v>
      </c>
      <c r="H3304" s="13"/>
    </row>
    <row r="3305" s="1" customFormat="1" spans="1:8">
      <c r="A3305" s="4" t="s">
        <v>205</v>
      </c>
      <c r="B3305" s="4" t="s">
        <v>88</v>
      </c>
      <c r="C3305" s="4" t="s">
        <v>6542</v>
      </c>
      <c r="D3305" s="4" t="s">
        <v>6717</v>
      </c>
      <c r="E3305" s="4">
        <v>4106407</v>
      </c>
      <c r="F3305" s="4" t="s">
        <v>6718</v>
      </c>
      <c r="G3305" s="4" t="s">
        <v>232</v>
      </c>
      <c r="H3305" s="13"/>
    </row>
    <row r="3306" s="1" customFormat="1" spans="1:8">
      <c r="A3306" s="4" t="s">
        <v>205</v>
      </c>
      <c r="B3306" s="4" t="s">
        <v>88</v>
      </c>
      <c r="C3306" s="4" t="s">
        <v>6542</v>
      </c>
      <c r="D3306" s="4" t="s">
        <v>6719</v>
      </c>
      <c r="E3306" s="4">
        <v>4106456</v>
      </c>
      <c r="F3306" s="4" t="s">
        <v>6720</v>
      </c>
      <c r="G3306" s="4" t="s">
        <v>232</v>
      </c>
      <c r="H3306" s="13"/>
    </row>
    <row r="3307" s="1" customFormat="1" spans="1:8">
      <c r="A3307" s="4" t="s">
        <v>205</v>
      </c>
      <c r="B3307" s="4" t="s">
        <v>88</v>
      </c>
      <c r="C3307" s="4" t="s">
        <v>6542</v>
      </c>
      <c r="D3307" s="4" t="s">
        <v>6721</v>
      </c>
      <c r="E3307" s="4">
        <v>4106506</v>
      </c>
      <c r="F3307" s="4" t="s">
        <v>6722</v>
      </c>
      <c r="G3307" s="4" t="s">
        <v>232</v>
      </c>
      <c r="H3307" s="13"/>
    </row>
    <row r="3308" s="1" customFormat="1" spans="1:8">
      <c r="A3308" s="4" t="s">
        <v>205</v>
      </c>
      <c r="B3308" s="4" t="s">
        <v>88</v>
      </c>
      <c r="C3308" s="4" t="s">
        <v>6542</v>
      </c>
      <c r="D3308" s="4" t="s">
        <v>6723</v>
      </c>
      <c r="E3308" s="4">
        <v>4106803</v>
      </c>
      <c r="F3308" s="4" t="s">
        <v>6724</v>
      </c>
      <c r="G3308" s="4" t="s">
        <v>232</v>
      </c>
      <c r="H3308" s="13"/>
    </row>
    <row r="3309" s="1" customFormat="1" spans="1:8">
      <c r="A3309" s="4" t="s">
        <v>205</v>
      </c>
      <c r="B3309" s="4" t="s">
        <v>88</v>
      </c>
      <c r="C3309" s="4" t="s">
        <v>6542</v>
      </c>
      <c r="D3309" s="4" t="s">
        <v>6725</v>
      </c>
      <c r="E3309" s="4">
        <v>4106852</v>
      </c>
      <c r="F3309" s="4" t="s">
        <v>6726</v>
      </c>
      <c r="G3309" s="4" t="s">
        <v>232</v>
      </c>
      <c r="H3309" s="13"/>
    </row>
    <row r="3310" s="1" customFormat="1" spans="1:8">
      <c r="A3310" s="4" t="s">
        <v>205</v>
      </c>
      <c r="B3310" s="4" t="s">
        <v>88</v>
      </c>
      <c r="C3310" s="4" t="s">
        <v>6542</v>
      </c>
      <c r="D3310" s="4" t="s">
        <v>6727</v>
      </c>
      <c r="E3310" s="4">
        <v>4107009</v>
      </c>
      <c r="F3310" s="4" t="s">
        <v>6728</v>
      </c>
      <c r="G3310" s="4" t="s">
        <v>232</v>
      </c>
      <c r="H3310" s="13"/>
    </row>
    <row r="3311" s="1" customFormat="1" spans="1:8">
      <c r="A3311" s="4" t="s">
        <v>205</v>
      </c>
      <c r="B3311" s="4" t="s">
        <v>88</v>
      </c>
      <c r="C3311" s="4" t="s">
        <v>6542</v>
      </c>
      <c r="D3311" s="4" t="s">
        <v>6729</v>
      </c>
      <c r="E3311" s="4">
        <v>4104402</v>
      </c>
      <c r="F3311" s="4" t="s">
        <v>6730</v>
      </c>
      <c r="G3311" s="4" t="s">
        <v>232</v>
      </c>
      <c r="H3311" s="13"/>
    </row>
    <row r="3312" s="1" customFormat="1" spans="1:8">
      <c r="A3312" s="4" t="s">
        <v>205</v>
      </c>
      <c r="B3312" s="4" t="s">
        <v>88</v>
      </c>
      <c r="C3312" s="4" t="s">
        <v>6542</v>
      </c>
      <c r="D3312" s="4" t="s">
        <v>6731</v>
      </c>
      <c r="E3312" s="4">
        <v>4107124</v>
      </c>
      <c r="F3312" s="4" t="s">
        <v>6732</v>
      </c>
      <c r="G3312" s="4" t="s">
        <v>232</v>
      </c>
      <c r="H3312" s="13"/>
    </row>
    <row r="3313" s="1" customFormat="1" spans="1:8">
      <c r="A3313" s="4" t="s">
        <v>205</v>
      </c>
      <c r="B3313" s="4" t="s">
        <v>88</v>
      </c>
      <c r="C3313" s="4" t="s">
        <v>6542</v>
      </c>
      <c r="D3313" s="4" t="s">
        <v>6733</v>
      </c>
      <c r="E3313" s="4">
        <v>4107546</v>
      </c>
      <c r="F3313" s="4" t="s">
        <v>6734</v>
      </c>
      <c r="G3313" s="4" t="s">
        <v>232</v>
      </c>
      <c r="H3313" s="13"/>
    </row>
    <row r="3314" s="1" customFormat="1" spans="1:8">
      <c r="A3314" s="4" t="s">
        <v>205</v>
      </c>
      <c r="B3314" s="4" t="s">
        <v>88</v>
      </c>
      <c r="C3314" s="4" t="s">
        <v>6542</v>
      </c>
      <c r="D3314" s="4" t="s">
        <v>6735</v>
      </c>
      <c r="E3314" s="4">
        <v>4107603</v>
      </c>
      <c r="F3314" s="4" t="s">
        <v>6736</v>
      </c>
      <c r="G3314" s="4" t="s">
        <v>232</v>
      </c>
      <c r="H3314" s="13"/>
    </row>
    <row r="3315" s="1" customFormat="1" spans="1:8">
      <c r="A3315" s="4" t="s">
        <v>205</v>
      </c>
      <c r="B3315" s="4" t="s">
        <v>88</v>
      </c>
      <c r="C3315" s="4" t="s">
        <v>6542</v>
      </c>
      <c r="D3315" s="4" t="s">
        <v>6737</v>
      </c>
      <c r="E3315" s="4">
        <v>4107751</v>
      </c>
      <c r="F3315" s="4" t="s">
        <v>6738</v>
      </c>
      <c r="G3315" s="4" t="s">
        <v>232</v>
      </c>
      <c r="H3315" s="13"/>
    </row>
    <row r="3316" s="1" customFormat="1" spans="1:8">
      <c r="A3316" s="4" t="s">
        <v>205</v>
      </c>
      <c r="B3316" s="4" t="s">
        <v>88</v>
      </c>
      <c r="C3316" s="4" t="s">
        <v>6542</v>
      </c>
      <c r="D3316" s="4" t="s">
        <v>6739</v>
      </c>
      <c r="E3316" s="4">
        <v>4108452</v>
      </c>
      <c r="F3316" s="4" t="s">
        <v>6740</v>
      </c>
      <c r="G3316" s="4" t="s">
        <v>232</v>
      </c>
      <c r="H3316" s="13"/>
    </row>
    <row r="3317" s="1" customFormat="1" spans="1:8">
      <c r="A3317" s="4" t="s">
        <v>205</v>
      </c>
      <c r="B3317" s="4" t="s">
        <v>88</v>
      </c>
      <c r="C3317" s="4" t="s">
        <v>6542</v>
      </c>
      <c r="D3317" s="4" t="s">
        <v>6741</v>
      </c>
      <c r="E3317" s="4">
        <v>4107702</v>
      </c>
      <c r="F3317" s="4" t="s">
        <v>6742</v>
      </c>
      <c r="G3317" s="4" t="s">
        <v>232</v>
      </c>
      <c r="H3317" s="13"/>
    </row>
    <row r="3318" s="1" customFormat="1" spans="1:8">
      <c r="A3318" s="4" t="s">
        <v>205</v>
      </c>
      <c r="B3318" s="4" t="s">
        <v>88</v>
      </c>
      <c r="C3318" s="4" t="s">
        <v>6542</v>
      </c>
      <c r="D3318" s="4" t="s">
        <v>4901</v>
      </c>
      <c r="E3318" s="4">
        <v>4108502</v>
      </c>
      <c r="F3318" s="4" t="s">
        <v>6743</v>
      </c>
      <c r="G3318" s="4" t="s">
        <v>232</v>
      </c>
      <c r="H3318" s="13"/>
    </row>
    <row r="3319" s="1" customFormat="1" spans="1:8">
      <c r="A3319" s="4" t="s">
        <v>205</v>
      </c>
      <c r="B3319" s="4" t="s">
        <v>88</v>
      </c>
      <c r="C3319" s="4" t="s">
        <v>6542</v>
      </c>
      <c r="D3319" s="4" t="s">
        <v>6744</v>
      </c>
      <c r="E3319" s="4">
        <v>4108551</v>
      </c>
      <c r="F3319" s="4" t="s">
        <v>6745</v>
      </c>
      <c r="G3319" s="4" t="s">
        <v>232</v>
      </c>
      <c r="H3319" s="13"/>
    </row>
    <row r="3320" s="1" customFormat="1" spans="1:8">
      <c r="A3320" s="4" t="s">
        <v>205</v>
      </c>
      <c r="B3320" s="4" t="s">
        <v>88</v>
      </c>
      <c r="C3320" s="4" t="s">
        <v>6542</v>
      </c>
      <c r="D3320" s="4" t="s">
        <v>6746</v>
      </c>
      <c r="E3320" s="4">
        <v>4108650</v>
      </c>
      <c r="F3320" s="4" t="s">
        <v>6747</v>
      </c>
      <c r="G3320" s="4" t="s">
        <v>232</v>
      </c>
      <c r="H3320" s="13"/>
    </row>
    <row r="3321" s="1" customFormat="1" spans="1:8">
      <c r="A3321" s="4" t="s">
        <v>205</v>
      </c>
      <c r="B3321" s="4" t="s">
        <v>88</v>
      </c>
      <c r="C3321" s="4" t="s">
        <v>6542</v>
      </c>
      <c r="D3321" s="4" t="s">
        <v>6748</v>
      </c>
      <c r="E3321" s="4">
        <v>4108700</v>
      </c>
      <c r="F3321" s="4" t="s">
        <v>6749</v>
      </c>
      <c r="G3321" s="4" t="s">
        <v>232</v>
      </c>
      <c r="H3321" s="13"/>
    </row>
    <row r="3322" s="1" customFormat="1" spans="1:8">
      <c r="A3322" s="4" t="s">
        <v>205</v>
      </c>
      <c r="B3322" s="4" t="s">
        <v>88</v>
      </c>
      <c r="C3322" s="4" t="s">
        <v>6542</v>
      </c>
      <c r="D3322" s="4" t="s">
        <v>6750</v>
      </c>
      <c r="E3322" s="4">
        <v>4109005</v>
      </c>
      <c r="F3322" s="4" t="s">
        <v>6751</v>
      </c>
      <c r="G3322" s="4" t="s">
        <v>232</v>
      </c>
      <c r="H3322" s="13"/>
    </row>
    <row r="3323" s="1" customFormat="1" spans="1:8">
      <c r="A3323" s="4" t="s">
        <v>205</v>
      </c>
      <c r="B3323" s="4" t="s">
        <v>88</v>
      </c>
      <c r="C3323" s="4" t="s">
        <v>6542</v>
      </c>
      <c r="D3323" s="4" t="s">
        <v>6752</v>
      </c>
      <c r="E3323" s="4">
        <v>4109302</v>
      </c>
      <c r="F3323" s="4" t="s">
        <v>6753</v>
      </c>
      <c r="G3323" s="4" t="s">
        <v>232</v>
      </c>
      <c r="H3323" s="13"/>
    </row>
    <row r="3324" s="1" customFormat="1" spans="1:8">
      <c r="A3324" s="4" t="s">
        <v>205</v>
      </c>
      <c r="B3324" s="4" t="s">
        <v>88</v>
      </c>
      <c r="C3324" s="4" t="s">
        <v>6542</v>
      </c>
      <c r="D3324" s="4" t="s">
        <v>6754</v>
      </c>
      <c r="E3324" s="4">
        <v>4109401</v>
      </c>
      <c r="F3324" s="4" t="s">
        <v>6755</v>
      </c>
      <c r="G3324" s="4" t="s">
        <v>232</v>
      </c>
      <c r="H3324" s="13"/>
    </row>
    <row r="3325" s="1" customFormat="1" spans="1:8">
      <c r="A3325" s="4" t="s">
        <v>205</v>
      </c>
      <c r="B3325" s="4" t="s">
        <v>88</v>
      </c>
      <c r="C3325" s="4" t="s">
        <v>6542</v>
      </c>
      <c r="D3325" s="4" t="s">
        <v>6756</v>
      </c>
      <c r="E3325" s="4">
        <v>4109658</v>
      </c>
      <c r="F3325" s="4" t="s">
        <v>6757</v>
      </c>
      <c r="G3325" s="4" t="s">
        <v>232</v>
      </c>
      <c r="H3325" s="13"/>
    </row>
    <row r="3326" s="1" customFormat="1" spans="1:8">
      <c r="A3326" s="4" t="s">
        <v>205</v>
      </c>
      <c r="B3326" s="4" t="s">
        <v>88</v>
      </c>
      <c r="C3326" s="4" t="s">
        <v>6542</v>
      </c>
      <c r="D3326" s="4" t="s">
        <v>6758</v>
      </c>
      <c r="E3326" s="4">
        <v>4109708</v>
      </c>
      <c r="F3326" s="4" t="s">
        <v>6759</v>
      </c>
      <c r="G3326" s="4" t="s">
        <v>232</v>
      </c>
      <c r="H3326" s="13"/>
    </row>
    <row r="3327" s="1" customFormat="1" spans="1:8">
      <c r="A3327" s="4" t="s">
        <v>205</v>
      </c>
      <c r="B3327" s="4" t="s">
        <v>88</v>
      </c>
      <c r="C3327" s="4" t="s">
        <v>6542</v>
      </c>
      <c r="D3327" s="4" t="s">
        <v>6760</v>
      </c>
      <c r="E3327" s="4">
        <v>4109757</v>
      </c>
      <c r="F3327" s="4" t="s">
        <v>6761</v>
      </c>
      <c r="G3327" s="4" t="s">
        <v>232</v>
      </c>
      <c r="H3327" s="13"/>
    </row>
    <row r="3328" s="1" customFormat="1" spans="1:8">
      <c r="A3328" s="4" t="s">
        <v>205</v>
      </c>
      <c r="B3328" s="4" t="s">
        <v>88</v>
      </c>
      <c r="C3328" s="4" t="s">
        <v>6542</v>
      </c>
      <c r="D3328" s="4" t="s">
        <v>6762</v>
      </c>
      <c r="E3328" s="4">
        <v>4109807</v>
      </c>
      <c r="F3328" s="4" t="s">
        <v>6763</v>
      </c>
      <c r="G3328" s="4" t="s">
        <v>232</v>
      </c>
      <c r="H3328" s="13"/>
    </row>
    <row r="3329" s="1" customFormat="1" spans="1:8">
      <c r="A3329" s="4" t="s">
        <v>205</v>
      </c>
      <c r="B3329" s="4" t="s">
        <v>88</v>
      </c>
      <c r="C3329" s="4" t="s">
        <v>6542</v>
      </c>
      <c r="D3329" s="4" t="s">
        <v>6764</v>
      </c>
      <c r="E3329" s="4">
        <v>4110003</v>
      </c>
      <c r="F3329" s="4" t="s">
        <v>6765</v>
      </c>
      <c r="G3329" s="4" t="s">
        <v>232</v>
      </c>
      <c r="H3329" s="13"/>
    </row>
    <row r="3330" s="1" customFormat="1" spans="1:8">
      <c r="A3330" s="4" t="s">
        <v>205</v>
      </c>
      <c r="B3330" s="4" t="s">
        <v>88</v>
      </c>
      <c r="C3330" s="4" t="s">
        <v>6542</v>
      </c>
      <c r="D3330" s="4" t="s">
        <v>6766</v>
      </c>
      <c r="E3330" s="4">
        <v>4110805</v>
      </c>
      <c r="F3330" s="4" t="s">
        <v>6767</v>
      </c>
      <c r="G3330" s="4" t="s">
        <v>232</v>
      </c>
      <c r="H3330" s="13"/>
    </row>
    <row r="3331" s="1" customFormat="1" spans="1:8">
      <c r="A3331" s="4" t="s">
        <v>205</v>
      </c>
      <c r="B3331" s="4" t="s">
        <v>88</v>
      </c>
      <c r="C3331" s="4" t="s">
        <v>6542</v>
      </c>
      <c r="D3331" s="4" t="s">
        <v>6768</v>
      </c>
      <c r="E3331" s="4">
        <v>4110904</v>
      </c>
      <c r="F3331" s="4" t="s">
        <v>6769</v>
      </c>
      <c r="G3331" s="4" t="s">
        <v>232</v>
      </c>
      <c r="H3331" s="13"/>
    </row>
    <row r="3332" s="1" customFormat="1" spans="1:8">
      <c r="A3332" s="4" t="s">
        <v>205</v>
      </c>
      <c r="B3332" s="4" t="s">
        <v>88</v>
      </c>
      <c r="C3332" s="4" t="s">
        <v>6542</v>
      </c>
      <c r="D3332" s="4" t="s">
        <v>6770</v>
      </c>
      <c r="E3332" s="4">
        <v>4111001</v>
      </c>
      <c r="F3332" s="4" t="s">
        <v>6771</v>
      </c>
      <c r="G3332" s="4" t="s">
        <v>232</v>
      </c>
      <c r="H3332" s="13"/>
    </row>
    <row r="3333" s="1" customFormat="1" spans="1:8">
      <c r="A3333" s="4" t="s">
        <v>205</v>
      </c>
      <c r="B3333" s="4" t="s">
        <v>88</v>
      </c>
      <c r="C3333" s="4" t="s">
        <v>6542</v>
      </c>
      <c r="D3333" s="4" t="s">
        <v>1077</v>
      </c>
      <c r="E3333" s="4">
        <v>4111100</v>
      </c>
      <c r="F3333" s="4" t="s">
        <v>6772</v>
      </c>
      <c r="G3333" s="4" t="s">
        <v>232</v>
      </c>
      <c r="H3333" s="13"/>
    </row>
    <row r="3334" s="1" customFormat="1" spans="1:8">
      <c r="A3334" s="4" t="s">
        <v>205</v>
      </c>
      <c r="B3334" s="4" t="s">
        <v>88</v>
      </c>
      <c r="C3334" s="4" t="s">
        <v>6542</v>
      </c>
      <c r="D3334" s="4" t="s">
        <v>6773</v>
      </c>
      <c r="E3334" s="4">
        <v>4111209</v>
      </c>
      <c r="F3334" s="4" t="s">
        <v>6774</v>
      </c>
      <c r="G3334" s="4" t="s">
        <v>232</v>
      </c>
      <c r="H3334" s="13"/>
    </row>
    <row r="3335" s="1" customFormat="1" spans="1:8">
      <c r="A3335" s="4" t="s">
        <v>205</v>
      </c>
      <c r="B3335" s="4" t="s">
        <v>88</v>
      </c>
      <c r="C3335" s="4" t="s">
        <v>6542</v>
      </c>
      <c r="D3335" s="4" t="s">
        <v>6775</v>
      </c>
      <c r="E3335" s="4">
        <v>4111506</v>
      </c>
      <c r="F3335" s="4" t="s">
        <v>6776</v>
      </c>
      <c r="G3335" s="4" t="s">
        <v>232</v>
      </c>
      <c r="H3335" s="13"/>
    </row>
    <row r="3336" s="1" customFormat="1" spans="1:8">
      <c r="A3336" s="4" t="s">
        <v>205</v>
      </c>
      <c r="B3336" s="4" t="s">
        <v>88</v>
      </c>
      <c r="C3336" s="4" t="s">
        <v>6542</v>
      </c>
      <c r="D3336" s="4" t="s">
        <v>6777</v>
      </c>
      <c r="E3336" s="4">
        <v>4111704</v>
      </c>
      <c r="F3336" s="4" t="s">
        <v>6778</v>
      </c>
      <c r="G3336" s="4" t="s">
        <v>232</v>
      </c>
      <c r="H3336" s="13"/>
    </row>
    <row r="3337" s="1" customFormat="1" spans="1:8">
      <c r="A3337" s="4" t="s">
        <v>205</v>
      </c>
      <c r="B3337" s="4" t="s">
        <v>88</v>
      </c>
      <c r="C3337" s="4" t="s">
        <v>6542</v>
      </c>
      <c r="D3337" s="4" t="s">
        <v>6779</v>
      </c>
      <c r="E3337" s="4">
        <v>4111803</v>
      </c>
      <c r="F3337" s="4" t="s">
        <v>6780</v>
      </c>
      <c r="G3337" s="4" t="s">
        <v>232</v>
      </c>
      <c r="H3337" s="13"/>
    </row>
    <row r="3338" s="1" customFormat="1" spans="1:8">
      <c r="A3338" s="4" t="s">
        <v>205</v>
      </c>
      <c r="B3338" s="4" t="s">
        <v>88</v>
      </c>
      <c r="C3338" s="4" t="s">
        <v>6542</v>
      </c>
      <c r="D3338" s="4" t="s">
        <v>6781</v>
      </c>
      <c r="E3338" s="4">
        <v>4111902</v>
      </c>
      <c r="F3338" s="4" t="s">
        <v>6782</v>
      </c>
      <c r="G3338" s="4" t="s">
        <v>232</v>
      </c>
      <c r="H3338" s="13"/>
    </row>
    <row r="3339" s="1" customFormat="1" spans="1:8">
      <c r="A3339" s="4" t="s">
        <v>205</v>
      </c>
      <c r="B3339" s="4" t="s">
        <v>88</v>
      </c>
      <c r="C3339" s="4" t="s">
        <v>6542</v>
      </c>
      <c r="D3339" s="4" t="s">
        <v>6783</v>
      </c>
      <c r="E3339" s="4">
        <v>4112009</v>
      </c>
      <c r="F3339" s="4" t="s">
        <v>6784</v>
      </c>
      <c r="G3339" s="4" t="s">
        <v>232</v>
      </c>
      <c r="H3339" s="13"/>
    </row>
    <row r="3340" s="1" customFormat="1" spans="1:8">
      <c r="A3340" s="4" t="s">
        <v>205</v>
      </c>
      <c r="B3340" s="4" t="s">
        <v>88</v>
      </c>
      <c r="C3340" s="4" t="s">
        <v>6542</v>
      </c>
      <c r="D3340" s="4" t="s">
        <v>6785</v>
      </c>
      <c r="E3340" s="4">
        <v>4112108</v>
      </c>
      <c r="F3340" s="4" t="s">
        <v>6786</v>
      </c>
      <c r="G3340" s="4" t="s">
        <v>232</v>
      </c>
      <c r="H3340" s="13"/>
    </row>
    <row r="3341" s="1" customFormat="1" spans="1:8">
      <c r="A3341" s="4" t="s">
        <v>205</v>
      </c>
      <c r="B3341" s="4" t="s">
        <v>88</v>
      </c>
      <c r="C3341" s="4" t="s">
        <v>6542</v>
      </c>
      <c r="D3341" s="4" t="s">
        <v>6787</v>
      </c>
      <c r="E3341" s="4">
        <v>4112306</v>
      </c>
      <c r="F3341" s="4" t="s">
        <v>6788</v>
      </c>
      <c r="G3341" s="4" t="s">
        <v>232</v>
      </c>
      <c r="H3341" s="13"/>
    </row>
    <row r="3342" s="1" customFormat="1" spans="1:8">
      <c r="A3342" s="4" t="s">
        <v>205</v>
      </c>
      <c r="B3342" s="4" t="s">
        <v>88</v>
      </c>
      <c r="C3342" s="4" t="s">
        <v>6542</v>
      </c>
      <c r="D3342" s="4" t="s">
        <v>6789</v>
      </c>
      <c r="E3342" s="4">
        <v>4112504</v>
      </c>
      <c r="F3342" s="4" t="s">
        <v>6790</v>
      </c>
      <c r="G3342" s="4" t="s">
        <v>232</v>
      </c>
      <c r="H3342" s="13"/>
    </row>
    <row r="3343" s="1" customFormat="1" spans="1:8">
      <c r="A3343" s="4" t="s">
        <v>205</v>
      </c>
      <c r="B3343" s="4" t="s">
        <v>88</v>
      </c>
      <c r="C3343" s="4" t="s">
        <v>6542</v>
      </c>
      <c r="D3343" s="4" t="s">
        <v>6791</v>
      </c>
      <c r="E3343" s="4">
        <v>4112702</v>
      </c>
      <c r="F3343" s="4" t="s">
        <v>6792</v>
      </c>
      <c r="G3343" s="4" t="s">
        <v>232</v>
      </c>
      <c r="H3343" s="13"/>
    </row>
    <row r="3344" s="1" customFormat="1" spans="1:8">
      <c r="A3344" s="4" t="s">
        <v>205</v>
      </c>
      <c r="B3344" s="4" t="s">
        <v>88</v>
      </c>
      <c r="C3344" s="4" t="s">
        <v>6542</v>
      </c>
      <c r="D3344" s="4" t="s">
        <v>6793</v>
      </c>
      <c r="E3344" s="4">
        <v>4112801</v>
      </c>
      <c r="F3344" s="4" t="s">
        <v>6794</v>
      </c>
      <c r="G3344" s="4" t="s">
        <v>232</v>
      </c>
      <c r="H3344" s="13"/>
    </row>
    <row r="3345" s="1" customFormat="1" spans="1:8">
      <c r="A3345" s="4" t="s">
        <v>205</v>
      </c>
      <c r="B3345" s="4" t="s">
        <v>88</v>
      </c>
      <c r="C3345" s="4" t="s">
        <v>6542</v>
      </c>
      <c r="D3345" s="4" t="s">
        <v>6795</v>
      </c>
      <c r="E3345" s="4">
        <v>4112900</v>
      </c>
      <c r="F3345" s="4" t="s">
        <v>6796</v>
      </c>
      <c r="G3345" s="4" t="s">
        <v>232</v>
      </c>
      <c r="H3345" s="13"/>
    </row>
    <row r="3346" s="1" customFormat="1" spans="1:8">
      <c r="A3346" s="4" t="s">
        <v>205</v>
      </c>
      <c r="B3346" s="4" t="s">
        <v>88</v>
      </c>
      <c r="C3346" s="4" t="s">
        <v>6542</v>
      </c>
      <c r="D3346" s="4" t="s">
        <v>6797</v>
      </c>
      <c r="E3346" s="4">
        <v>4113106</v>
      </c>
      <c r="F3346" s="4" t="s">
        <v>6798</v>
      </c>
      <c r="G3346" s="4" t="s">
        <v>232</v>
      </c>
      <c r="H3346" s="13"/>
    </row>
    <row r="3347" s="1" customFormat="1" spans="1:8">
      <c r="A3347" s="4" t="s">
        <v>205</v>
      </c>
      <c r="B3347" s="4" t="s">
        <v>88</v>
      </c>
      <c r="C3347" s="4" t="s">
        <v>6542</v>
      </c>
      <c r="D3347" s="4" t="s">
        <v>4002</v>
      </c>
      <c r="E3347" s="4">
        <v>4113254</v>
      </c>
      <c r="F3347" s="4" t="s">
        <v>6799</v>
      </c>
      <c r="G3347" s="4" t="s">
        <v>232</v>
      </c>
      <c r="H3347" s="13"/>
    </row>
    <row r="3348" s="1" customFormat="1" spans="1:8">
      <c r="A3348" s="4" t="s">
        <v>205</v>
      </c>
      <c r="B3348" s="4" t="s">
        <v>88</v>
      </c>
      <c r="C3348" s="4" t="s">
        <v>6542</v>
      </c>
      <c r="D3348" s="4" t="s">
        <v>6800</v>
      </c>
      <c r="E3348" s="4">
        <v>4113304</v>
      </c>
      <c r="F3348" s="4" t="s">
        <v>6801</v>
      </c>
      <c r="G3348" s="4" t="s">
        <v>232</v>
      </c>
      <c r="H3348" s="13"/>
    </row>
    <row r="3349" s="1" customFormat="1" spans="1:8">
      <c r="A3349" s="4" t="s">
        <v>205</v>
      </c>
      <c r="B3349" s="4" t="s">
        <v>88</v>
      </c>
      <c r="C3349" s="4" t="s">
        <v>6542</v>
      </c>
      <c r="D3349" s="4" t="s">
        <v>6802</v>
      </c>
      <c r="E3349" s="4">
        <v>4113403</v>
      </c>
      <c r="F3349" s="4" t="s">
        <v>6803</v>
      </c>
      <c r="G3349" s="4" t="s">
        <v>232</v>
      </c>
      <c r="H3349" s="13"/>
    </row>
    <row r="3350" s="1" customFormat="1" spans="1:8">
      <c r="A3350" s="4" t="s">
        <v>205</v>
      </c>
      <c r="B3350" s="4" t="s">
        <v>88</v>
      </c>
      <c r="C3350" s="4" t="s">
        <v>6542</v>
      </c>
      <c r="D3350" s="4" t="s">
        <v>6804</v>
      </c>
      <c r="E3350" s="4">
        <v>4113429</v>
      </c>
      <c r="F3350" s="4" t="s">
        <v>6805</v>
      </c>
      <c r="G3350" s="4" t="s">
        <v>232</v>
      </c>
      <c r="H3350" s="13"/>
    </row>
    <row r="3351" s="1" customFormat="1" spans="1:8">
      <c r="A3351" s="4" t="s">
        <v>205</v>
      </c>
      <c r="B3351" s="4" t="s">
        <v>88</v>
      </c>
      <c r="C3351" s="4" t="s">
        <v>6542</v>
      </c>
      <c r="D3351" s="4" t="s">
        <v>6806</v>
      </c>
      <c r="E3351" s="4">
        <v>4113700</v>
      </c>
      <c r="F3351" s="4" t="s">
        <v>6807</v>
      </c>
      <c r="G3351" s="4" t="s">
        <v>232</v>
      </c>
      <c r="H3351" s="13"/>
    </row>
    <row r="3352" s="1" customFormat="1" spans="1:8">
      <c r="A3352" s="4" t="s">
        <v>205</v>
      </c>
      <c r="B3352" s="4" t="s">
        <v>88</v>
      </c>
      <c r="C3352" s="4" t="s">
        <v>6542</v>
      </c>
      <c r="D3352" s="4" t="s">
        <v>6808</v>
      </c>
      <c r="E3352" s="4">
        <v>4113734</v>
      </c>
      <c r="F3352" s="4" t="s">
        <v>6809</v>
      </c>
      <c r="G3352" s="4" t="s">
        <v>232</v>
      </c>
      <c r="H3352" s="13"/>
    </row>
    <row r="3353" s="1" customFormat="1" spans="1:8">
      <c r="A3353" s="4" t="s">
        <v>205</v>
      </c>
      <c r="B3353" s="4" t="s">
        <v>88</v>
      </c>
      <c r="C3353" s="4" t="s">
        <v>6542</v>
      </c>
      <c r="D3353" s="4" t="s">
        <v>6810</v>
      </c>
      <c r="E3353" s="4">
        <v>4113759</v>
      </c>
      <c r="F3353" s="4" t="s">
        <v>6811</v>
      </c>
      <c r="G3353" s="4" t="s">
        <v>232</v>
      </c>
      <c r="H3353" s="13"/>
    </row>
    <row r="3354" s="1" customFormat="1" spans="1:8">
      <c r="A3354" s="4" t="s">
        <v>205</v>
      </c>
      <c r="B3354" s="4" t="s">
        <v>88</v>
      </c>
      <c r="C3354" s="4" t="s">
        <v>6542</v>
      </c>
      <c r="D3354" s="4" t="s">
        <v>6812</v>
      </c>
      <c r="E3354" s="4">
        <v>4114203</v>
      </c>
      <c r="F3354" s="4" t="s">
        <v>6813</v>
      </c>
      <c r="G3354" s="4" t="s">
        <v>232</v>
      </c>
      <c r="H3354" s="13"/>
    </row>
    <row r="3355" s="1" customFormat="1" spans="1:8">
      <c r="A3355" s="4" t="s">
        <v>205</v>
      </c>
      <c r="B3355" s="4" t="s">
        <v>88</v>
      </c>
      <c r="C3355" s="4" t="s">
        <v>6542</v>
      </c>
      <c r="D3355" s="4" t="s">
        <v>6814</v>
      </c>
      <c r="E3355" s="4">
        <v>4114401</v>
      </c>
      <c r="F3355" s="4" t="s">
        <v>6815</v>
      </c>
      <c r="G3355" s="4" t="s">
        <v>232</v>
      </c>
      <c r="H3355" s="13"/>
    </row>
    <row r="3356" s="1" customFormat="1" spans="1:8">
      <c r="A3356" s="4" t="s">
        <v>205</v>
      </c>
      <c r="B3356" s="4" t="s">
        <v>88</v>
      </c>
      <c r="C3356" s="4" t="s">
        <v>6542</v>
      </c>
      <c r="D3356" s="4" t="s">
        <v>6816</v>
      </c>
      <c r="E3356" s="4">
        <v>4114500</v>
      </c>
      <c r="F3356" s="4" t="s">
        <v>6817</v>
      </c>
      <c r="G3356" s="4" t="s">
        <v>232</v>
      </c>
      <c r="H3356" s="13"/>
    </row>
    <row r="3357" s="1" customFormat="1" spans="1:8">
      <c r="A3357" s="4" t="s">
        <v>205</v>
      </c>
      <c r="B3357" s="4" t="s">
        <v>88</v>
      </c>
      <c r="C3357" s="4" t="s">
        <v>6542</v>
      </c>
      <c r="D3357" s="4" t="s">
        <v>6818</v>
      </c>
      <c r="E3357" s="4">
        <v>4114807</v>
      </c>
      <c r="F3357" s="4" t="s">
        <v>6819</v>
      </c>
      <c r="G3357" s="4" t="s">
        <v>232</v>
      </c>
      <c r="H3357" s="13"/>
    </row>
    <row r="3358" s="1" customFormat="1" spans="1:8">
      <c r="A3358" s="4" t="s">
        <v>205</v>
      </c>
      <c r="B3358" s="4" t="s">
        <v>88</v>
      </c>
      <c r="C3358" s="4" t="s">
        <v>6542</v>
      </c>
      <c r="D3358" s="4" t="s">
        <v>6820</v>
      </c>
      <c r="E3358" s="4">
        <v>4114906</v>
      </c>
      <c r="F3358" s="4" t="s">
        <v>6821</v>
      </c>
      <c r="G3358" s="4" t="s">
        <v>232</v>
      </c>
      <c r="H3358" s="13"/>
    </row>
    <row r="3359" s="1" customFormat="1" spans="1:8">
      <c r="A3359" s="4" t="s">
        <v>205</v>
      </c>
      <c r="B3359" s="4" t="s">
        <v>88</v>
      </c>
      <c r="C3359" s="4" t="s">
        <v>6542</v>
      </c>
      <c r="D3359" s="4" t="s">
        <v>6822</v>
      </c>
      <c r="E3359" s="4">
        <v>4115200</v>
      </c>
      <c r="F3359" s="4" t="s">
        <v>6823</v>
      </c>
      <c r="G3359" s="4" t="s">
        <v>232</v>
      </c>
      <c r="H3359" s="13"/>
    </row>
    <row r="3360" s="1" customFormat="1" spans="1:8">
      <c r="A3360" s="4" t="s">
        <v>205</v>
      </c>
      <c r="B3360" s="4" t="s">
        <v>88</v>
      </c>
      <c r="C3360" s="4" t="s">
        <v>6542</v>
      </c>
      <c r="D3360" s="4" t="s">
        <v>6824</v>
      </c>
      <c r="E3360" s="4">
        <v>4115309</v>
      </c>
      <c r="F3360" s="4" t="s">
        <v>6825</v>
      </c>
      <c r="G3360" s="4" t="s">
        <v>232</v>
      </c>
      <c r="H3360" s="13"/>
    </row>
    <row r="3361" s="1" customFormat="1" spans="1:8">
      <c r="A3361" s="4" t="s">
        <v>205</v>
      </c>
      <c r="B3361" s="4" t="s">
        <v>88</v>
      </c>
      <c r="C3361" s="4" t="s">
        <v>6542</v>
      </c>
      <c r="D3361" s="4" t="s">
        <v>6826</v>
      </c>
      <c r="E3361" s="4">
        <v>4115457</v>
      </c>
      <c r="F3361" s="4" t="s">
        <v>6827</v>
      </c>
      <c r="G3361" s="4" t="s">
        <v>232</v>
      </c>
      <c r="H3361" s="13"/>
    </row>
    <row r="3362" s="1" customFormat="1" spans="1:8">
      <c r="A3362" s="4" t="s">
        <v>205</v>
      </c>
      <c r="B3362" s="4" t="s">
        <v>88</v>
      </c>
      <c r="C3362" s="4" t="s">
        <v>6542</v>
      </c>
      <c r="D3362" s="4" t="s">
        <v>6828</v>
      </c>
      <c r="E3362" s="4">
        <v>4115507</v>
      </c>
      <c r="F3362" s="4" t="s">
        <v>6829</v>
      </c>
      <c r="G3362" s="4" t="s">
        <v>232</v>
      </c>
      <c r="H3362" s="13"/>
    </row>
    <row r="3363" s="1" customFormat="1" spans="1:8">
      <c r="A3363" s="4" t="s">
        <v>205</v>
      </c>
      <c r="B3363" s="4" t="s">
        <v>88</v>
      </c>
      <c r="C3363" s="4" t="s">
        <v>6542</v>
      </c>
      <c r="D3363" s="4" t="s">
        <v>6830</v>
      </c>
      <c r="E3363" s="4">
        <v>4115739</v>
      </c>
      <c r="F3363" s="4" t="s">
        <v>6831</v>
      </c>
      <c r="G3363" s="4" t="s">
        <v>232</v>
      </c>
      <c r="H3363" s="13"/>
    </row>
    <row r="3364" s="1" customFormat="1" spans="1:8">
      <c r="A3364" s="4" t="s">
        <v>205</v>
      </c>
      <c r="B3364" s="4" t="s">
        <v>88</v>
      </c>
      <c r="C3364" s="4" t="s">
        <v>6542</v>
      </c>
      <c r="D3364" s="4" t="s">
        <v>6832</v>
      </c>
      <c r="E3364" s="4">
        <v>4115754</v>
      </c>
      <c r="F3364" s="4" t="s">
        <v>6833</v>
      </c>
      <c r="G3364" s="4" t="s">
        <v>232</v>
      </c>
      <c r="H3364" s="13"/>
    </row>
    <row r="3365" s="1" customFormat="1" spans="1:8">
      <c r="A3365" s="4" t="s">
        <v>205</v>
      </c>
      <c r="B3365" s="4" t="s">
        <v>88</v>
      </c>
      <c r="C3365" s="4" t="s">
        <v>6542</v>
      </c>
      <c r="D3365" s="4" t="s">
        <v>6834</v>
      </c>
      <c r="E3365" s="4">
        <v>4116307</v>
      </c>
      <c r="F3365" s="4" t="s">
        <v>6835</v>
      </c>
      <c r="G3365" s="4" t="s">
        <v>232</v>
      </c>
      <c r="H3365" s="13"/>
    </row>
    <row r="3366" s="1" customFormat="1" spans="1:8">
      <c r="A3366" s="4" t="s">
        <v>205</v>
      </c>
      <c r="B3366" s="4" t="s">
        <v>88</v>
      </c>
      <c r="C3366" s="4" t="s">
        <v>6542</v>
      </c>
      <c r="D3366" s="4" t="s">
        <v>6836</v>
      </c>
      <c r="E3366" s="4">
        <v>4116604</v>
      </c>
      <c r="F3366" s="4" t="s">
        <v>6837</v>
      </c>
      <c r="G3366" s="4" t="s">
        <v>232</v>
      </c>
      <c r="H3366" s="13"/>
    </row>
    <row r="3367" s="1" customFormat="1" spans="1:8">
      <c r="A3367" s="4" t="s">
        <v>205</v>
      </c>
      <c r="B3367" s="4" t="s">
        <v>88</v>
      </c>
      <c r="C3367" s="4" t="s">
        <v>6542</v>
      </c>
      <c r="D3367" s="4" t="s">
        <v>779</v>
      </c>
      <c r="E3367" s="4">
        <v>4117008</v>
      </c>
      <c r="F3367" s="4" t="s">
        <v>6838</v>
      </c>
      <c r="G3367" s="4" t="s">
        <v>232</v>
      </c>
      <c r="H3367" s="13"/>
    </row>
    <row r="3368" s="1" customFormat="1" spans="1:8">
      <c r="A3368" s="4" t="s">
        <v>205</v>
      </c>
      <c r="B3368" s="4" t="s">
        <v>88</v>
      </c>
      <c r="C3368" s="4" t="s">
        <v>6542</v>
      </c>
      <c r="D3368" s="4" t="s">
        <v>6839</v>
      </c>
      <c r="E3368" s="4">
        <v>4117057</v>
      </c>
      <c r="F3368" s="4" t="s">
        <v>6840</v>
      </c>
      <c r="G3368" s="4" t="s">
        <v>232</v>
      </c>
      <c r="H3368" s="13"/>
    </row>
    <row r="3369" s="1" customFormat="1" spans="1:8">
      <c r="A3369" s="4" t="s">
        <v>205</v>
      </c>
      <c r="B3369" s="4" t="s">
        <v>88</v>
      </c>
      <c r="C3369" s="4" t="s">
        <v>6542</v>
      </c>
      <c r="D3369" s="4" t="s">
        <v>6841</v>
      </c>
      <c r="E3369" s="4">
        <v>4117214</v>
      </c>
      <c r="F3369" s="4" t="s">
        <v>6842</v>
      </c>
      <c r="G3369" s="4" t="s">
        <v>232</v>
      </c>
      <c r="H3369" s="13"/>
    </row>
    <row r="3370" s="1" customFormat="1" spans="1:8">
      <c r="A3370" s="4" t="s">
        <v>205</v>
      </c>
      <c r="B3370" s="4" t="s">
        <v>88</v>
      </c>
      <c r="C3370" s="4" t="s">
        <v>6542</v>
      </c>
      <c r="D3370" s="4" t="s">
        <v>6843</v>
      </c>
      <c r="E3370" s="4">
        <v>4117271</v>
      </c>
      <c r="F3370" s="4" t="s">
        <v>6844</v>
      </c>
      <c r="G3370" s="4" t="s">
        <v>232</v>
      </c>
      <c r="H3370" s="13"/>
    </row>
    <row r="3371" s="1" customFormat="1" spans="1:8">
      <c r="A3371" s="4" t="s">
        <v>205</v>
      </c>
      <c r="B3371" s="4" t="s">
        <v>88</v>
      </c>
      <c r="C3371" s="4" t="s">
        <v>6542</v>
      </c>
      <c r="D3371" s="4" t="s">
        <v>6845</v>
      </c>
      <c r="E3371" s="4">
        <v>4117297</v>
      </c>
      <c r="F3371" s="4" t="s">
        <v>6846</v>
      </c>
      <c r="G3371" s="4" t="s">
        <v>232</v>
      </c>
      <c r="H3371" s="13"/>
    </row>
    <row r="3372" s="1" customFormat="1" spans="1:8">
      <c r="A3372" s="4" t="s">
        <v>205</v>
      </c>
      <c r="B3372" s="4" t="s">
        <v>88</v>
      </c>
      <c r="C3372" s="4" t="s">
        <v>6542</v>
      </c>
      <c r="D3372" s="4" t="s">
        <v>6847</v>
      </c>
      <c r="E3372" s="4">
        <v>4117305</v>
      </c>
      <c r="F3372" s="4" t="s">
        <v>6848</v>
      </c>
      <c r="G3372" s="4" t="s">
        <v>232</v>
      </c>
      <c r="H3372" s="13"/>
    </row>
    <row r="3373" s="1" customFormat="1" spans="1:8">
      <c r="A3373" s="4" t="s">
        <v>205</v>
      </c>
      <c r="B3373" s="4" t="s">
        <v>88</v>
      </c>
      <c r="C3373" s="4" t="s">
        <v>6542</v>
      </c>
      <c r="D3373" s="4" t="s">
        <v>6849</v>
      </c>
      <c r="E3373" s="4">
        <v>4117503</v>
      </c>
      <c r="F3373" s="4" t="s">
        <v>6850</v>
      </c>
      <c r="G3373" s="4" t="s">
        <v>232</v>
      </c>
      <c r="H3373" s="13"/>
    </row>
    <row r="3374" s="1" customFormat="1" spans="1:8">
      <c r="A3374" s="4" t="s">
        <v>205</v>
      </c>
      <c r="B3374" s="4" t="s">
        <v>88</v>
      </c>
      <c r="C3374" s="4" t="s">
        <v>6542</v>
      </c>
      <c r="D3374" s="4" t="s">
        <v>6851</v>
      </c>
      <c r="E3374" s="4">
        <v>4117602</v>
      </c>
      <c r="F3374" s="4" t="s">
        <v>6852</v>
      </c>
      <c r="G3374" s="4" t="s">
        <v>232</v>
      </c>
      <c r="H3374" s="13"/>
    </row>
    <row r="3375" s="1" customFormat="1" spans="1:8">
      <c r="A3375" s="4" t="s">
        <v>205</v>
      </c>
      <c r="B3375" s="4" t="s">
        <v>88</v>
      </c>
      <c r="C3375" s="4" t="s">
        <v>6542</v>
      </c>
      <c r="D3375" s="4" t="s">
        <v>6853</v>
      </c>
      <c r="E3375" s="4">
        <v>4117800</v>
      </c>
      <c r="F3375" s="4" t="s">
        <v>6854</v>
      </c>
      <c r="G3375" s="4" t="s">
        <v>232</v>
      </c>
      <c r="H3375" s="13"/>
    </row>
    <row r="3376" s="1" customFormat="1" spans="1:8">
      <c r="A3376" s="4" t="s">
        <v>205</v>
      </c>
      <c r="B3376" s="4" t="s">
        <v>88</v>
      </c>
      <c r="C3376" s="4" t="s">
        <v>6542</v>
      </c>
      <c r="D3376" s="4" t="s">
        <v>6855</v>
      </c>
      <c r="E3376" s="4">
        <v>4118501</v>
      </c>
      <c r="F3376" s="4" t="s">
        <v>6856</v>
      </c>
      <c r="G3376" s="4" t="s">
        <v>232</v>
      </c>
      <c r="H3376" s="13"/>
    </row>
    <row r="3377" s="1" customFormat="1" spans="1:8">
      <c r="A3377" s="4" t="s">
        <v>205</v>
      </c>
      <c r="B3377" s="4" t="s">
        <v>88</v>
      </c>
      <c r="C3377" s="4" t="s">
        <v>6542</v>
      </c>
      <c r="D3377" s="4" t="s">
        <v>6857</v>
      </c>
      <c r="E3377" s="4">
        <v>4118600</v>
      </c>
      <c r="F3377" s="4" t="s">
        <v>6858</v>
      </c>
      <c r="G3377" s="4" t="s">
        <v>232</v>
      </c>
      <c r="H3377" s="13"/>
    </row>
    <row r="3378" s="1" customFormat="1" spans="1:8">
      <c r="A3378" s="4" t="s">
        <v>205</v>
      </c>
      <c r="B3378" s="4" t="s">
        <v>88</v>
      </c>
      <c r="C3378" s="4" t="s">
        <v>6542</v>
      </c>
      <c r="D3378" s="4" t="s">
        <v>6859</v>
      </c>
      <c r="E3378" s="4">
        <v>4119202</v>
      </c>
      <c r="F3378" s="4" t="s">
        <v>6860</v>
      </c>
      <c r="G3378" s="4" t="s">
        <v>232</v>
      </c>
      <c r="H3378" s="13"/>
    </row>
    <row r="3379" s="1" customFormat="1" spans="1:8">
      <c r="A3379" s="4" t="s">
        <v>205</v>
      </c>
      <c r="B3379" s="4" t="s">
        <v>88</v>
      </c>
      <c r="C3379" s="4" t="s">
        <v>6542</v>
      </c>
      <c r="D3379" s="4" t="s">
        <v>6861</v>
      </c>
      <c r="E3379" s="4">
        <v>4119301</v>
      </c>
      <c r="F3379" s="4" t="s">
        <v>6862</v>
      </c>
      <c r="G3379" s="4" t="s">
        <v>232</v>
      </c>
      <c r="H3379" s="13"/>
    </row>
    <row r="3380" s="1" customFormat="1" spans="1:8">
      <c r="A3380" s="4" t="s">
        <v>205</v>
      </c>
      <c r="B3380" s="4" t="s">
        <v>88</v>
      </c>
      <c r="C3380" s="4" t="s">
        <v>6542</v>
      </c>
      <c r="D3380" s="4" t="s">
        <v>6863</v>
      </c>
      <c r="E3380" s="4">
        <v>4119608</v>
      </c>
      <c r="F3380" s="4" t="s">
        <v>6864</v>
      </c>
      <c r="G3380" s="4" t="s">
        <v>232</v>
      </c>
      <c r="H3380" s="13"/>
    </row>
    <row r="3381" s="1" customFormat="1" spans="1:8">
      <c r="A3381" s="4" t="s">
        <v>205</v>
      </c>
      <c r="B3381" s="4" t="s">
        <v>88</v>
      </c>
      <c r="C3381" s="4" t="s">
        <v>6542</v>
      </c>
      <c r="D3381" s="4" t="s">
        <v>6865</v>
      </c>
      <c r="E3381" s="4">
        <v>4119657</v>
      </c>
      <c r="F3381" s="4" t="s">
        <v>6866</v>
      </c>
      <c r="G3381" s="4" t="s">
        <v>232</v>
      </c>
      <c r="H3381" s="13"/>
    </row>
    <row r="3382" s="1" customFormat="1" spans="1:8">
      <c r="A3382" s="4" t="s">
        <v>205</v>
      </c>
      <c r="B3382" s="4" t="s">
        <v>88</v>
      </c>
      <c r="C3382" s="4" t="s">
        <v>6542</v>
      </c>
      <c r="D3382" s="4" t="s">
        <v>6867</v>
      </c>
      <c r="E3382" s="4">
        <v>4120150</v>
      </c>
      <c r="F3382" s="4" t="s">
        <v>6868</v>
      </c>
      <c r="G3382" s="4" t="s">
        <v>232</v>
      </c>
      <c r="H3382" s="13"/>
    </row>
    <row r="3383" s="1" customFormat="1" spans="1:8">
      <c r="A3383" s="4" t="s">
        <v>205</v>
      </c>
      <c r="B3383" s="4" t="s">
        <v>88</v>
      </c>
      <c r="C3383" s="4" t="s">
        <v>6542</v>
      </c>
      <c r="D3383" s="4" t="s">
        <v>6869</v>
      </c>
      <c r="E3383" s="4">
        <v>4120309</v>
      </c>
      <c r="F3383" s="4" t="s">
        <v>6870</v>
      </c>
      <c r="G3383" s="4" t="s">
        <v>232</v>
      </c>
      <c r="H3383" s="13"/>
    </row>
    <row r="3384" s="1" customFormat="1" spans="1:8">
      <c r="A3384" s="4" t="s">
        <v>205</v>
      </c>
      <c r="B3384" s="4" t="s">
        <v>88</v>
      </c>
      <c r="C3384" s="4" t="s">
        <v>6542</v>
      </c>
      <c r="D3384" s="4" t="s">
        <v>6871</v>
      </c>
      <c r="E3384" s="4">
        <v>4120333</v>
      </c>
      <c r="F3384" s="4" t="s">
        <v>6872</v>
      </c>
      <c r="G3384" s="4" t="s">
        <v>232</v>
      </c>
      <c r="H3384" s="13"/>
    </row>
    <row r="3385" s="1" customFormat="1" spans="1:8">
      <c r="A3385" s="4" t="s">
        <v>205</v>
      </c>
      <c r="B3385" s="4" t="s">
        <v>88</v>
      </c>
      <c r="C3385" s="4" t="s">
        <v>6542</v>
      </c>
      <c r="D3385" s="4" t="s">
        <v>6873</v>
      </c>
      <c r="E3385" s="4">
        <v>4120705</v>
      </c>
      <c r="F3385" s="4" t="s">
        <v>6874</v>
      </c>
      <c r="G3385" s="4" t="s">
        <v>232</v>
      </c>
      <c r="H3385" s="13"/>
    </row>
    <row r="3386" s="1" customFormat="1" spans="1:8">
      <c r="A3386" s="4" t="s">
        <v>205</v>
      </c>
      <c r="B3386" s="4" t="s">
        <v>88</v>
      </c>
      <c r="C3386" s="4" t="s">
        <v>6542</v>
      </c>
      <c r="D3386" s="4" t="s">
        <v>6875</v>
      </c>
      <c r="E3386" s="4">
        <v>4120903</v>
      </c>
      <c r="F3386" s="4" t="s">
        <v>6876</v>
      </c>
      <c r="G3386" s="4" t="s">
        <v>232</v>
      </c>
      <c r="H3386" s="13"/>
    </row>
    <row r="3387" s="1" customFormat="1" spans="1:8">
      <c r="A3387" s="4" t="s">
        <v>205</v>
      </c>
      <c r="B3387" s="4" t="s">
        <v>88</v>
      </c>
      <c r="C3387" s="4" t="s">
        <v>6542</v>
      </c>
      <c r="D3387" s="4" t="s">
        <v>6877</v>
      </c>
      <c r="E3387" s="4">
        <v>4121307</v>
      </c>
      <c r="F3387" s="4" t="s">
        <v>6878</v>
      </c>
      <c r="G3387" s="4" t="s">
        <v>232</v>
      </c>
      <c r="H3387" s="13"/>
    </row>
    <row r="3388" s="1" customFormat="1" spans="1:8">
      <c r="A3388" s="4" t="s">
        <v>205</v>
      </c>
      <c r="B3388" s="4" t="s">
        <v>88</v>
      </c>
      <c r="C3388" s="4" t="s">
        <v>6542</v>
      </c>
      <c r="D3388" s="4" t="s">
        <v>6879</v>
      </c>
      <c r="E3388" s="4">
        <v>4121703</v>
      </c>
      <c r="F3388" s="4" t="s">
        <v>6880</v>
      </c>
      <c r="G3388" s="4" t="s">
        <v>232</v>
      </c>
      <c r="H3388" s="13"/>
    </row>
    <row r="3389" s="1" customFormat="1" spans="1:8">
      <c r="A3389" s="4" t="s">
        <v>205</v>
      </c>
      <c r="B3389" s="4" t="s">
        <v>88</v>
      </c>
      <c r="C3389" s="4" t="s">
        <v>6542</v>
      </c>
      <c r="D3389" s="4" t="s">
        <v>6881</v>
      </c>
      <c r="E3389" s="4">
        <v>4121752</v>
      </c>
      <c r="F3389" s="4" t="s">
        <v>6882</v>
      </c>
      <c r="G3389" s="4" t="s">
        <v>232</v>
      </c>
      <c r="H3389" s="13"/>
    </row>
    <row r="3390" s="1" customFormat="1" spans="1:8">
      <c r="A3390" s="4" t="s">
        <v>205</v>
      </c>
      <c r="B3390" s="4" t="s">
        <v>88</v>
      </c>
      <c r="C3390" s="4" t="s">
        <v>6542</v>
      </c>
      <c r="D3390" s="4" t="s">
        <v>6883</v>
      </c>
      <c r="E3390" s="4">
        <v>4121802</v>
      </c>
      <c r="F3390" s="4" t="s">
        <v>6884</v>
      </c>
      <c r="G3390" s="4" t="s">
        <v>232</v>
      </c>
      <c r="H3390" s="13"/>
    </row>
    <row r="3391" s="1" customFormat="1" spans="1:8">
      <c r="A3391" s="4" t="s">
        <v>205</v>
      </c>
      <c r="B3391" s="4" t="s">
        <v>88</v>
      </c>
      <c r="C3391" s="4" t="s">
        <v>6542</v>
      </c>
      <c r="D3391" s="4" t="s">
        <v>6885</v>
      </c>
      <c r="E3391" s="4">
        <v>4121901</v>
      </c>
      <c r="F3391" s="4" t="s">
        <v>6886</v>
      </c>
      <c r="G3391" s="4" t="s">
        <v>232</v>
      </c>
      <c r="H3391" s="13"/>
    </row>
    <row r="3392" s="1" customFormat="1" spans="1:8">
      <c r="A3392" s="4" t="s">
        <v>205</v>
      </c>
      <c r="B3392" s="4" t="s">
        <v>88</v>
      </c>
      <c r="C3392" s="4" t="s">
        <v>6542</v>
      </c>
      <c r="D3392" s="4" t="s">
        <v>6887</v>
      </c>
      <c r="E3392" s="4">
        <v>4122107</v>
      </c>
      <c r="F3392" s="4" t="s">
        <v>6888</v>
      </c>
      <c r="G3392" s="4" t="s">
        <v>232</v>
      </c>
      <c r="H3392" s="13"/>
    </row>
    <row r="3393" s="1" customFormat="1" spans="1:8">
      <c r="A3393" s="4" t="s">
        <v>205</v>
      </c>
      <c r="B3393" s="4" t="s">
        <v>88</v>
      </c>
      <c r="C3393" s="4" t="s">
        <v>6542</v>
      </c>
      <c r="D3393" s="4" t="s">
        <v>6889</v>
      </c>
      <c r="E3393" s="4">
        <v>4122156</v>
      </c>
      <c r="F3393" s="4" t="s">
        <v>6890</v>
      </c>
      <c r="G3393" s="4" t="s">
        <v>232</v>
      </c>
      <c r="H3393" s="13"/>
    </row>
    <row r="3394" s="1" customFormat="1" spans="1:8">
      <c r="A3394" s="4" t="s">
        <v>205</v>
      </c>
      <c r="B3394" s="4" t="s">
        <v>88</v>
      </c>
      <c r="C3394" s="4" t="s">
        <v>6542</v>
      </c>
      <c r="D3394" s="4" t="s">
        <v>6891</v>
      </c>
      <c r="E3394" s="4">
        <v>4122172</v>
      </c>
      <c r="F3394" s="4" t="s">
        <v>6892</v>
      </c>
      <c r="G3394" s="4" t="s">
        <v>232</v>
      </c>
      <c r="H3394" s="13"/>
    </row>
    <row r="3395" s="1" customFormat="1" spans="1:8">
      <c r="A3395" s="4" t="s">
        <v>205</v>
      </c>
      <c r="B3395" s="4" t="s">
        <v>88</v>
      </c>
      <c r="C3395" s="4" t="s">
        <v>6542</v>
      </c>
      <c r="D3395" s="4" t="s">
        <v>6893</v>
      </c>
      <c r="E3395" s="4">
        <v>4122404</v>
      </c>
      <c r="F3395" s="4" t="s">
        <v>6894</v>
      </c>
      <c r="G3395" s="4" t="s">
        <v>232</v>
      </c>
      <c r="H3395" s="13"/>
    </row>
    <row r="3396" s="1" customFormat="1" spans="1:8">
      <c r="A3396" s="4" t="s">
        <v>205</v>
      </c>
      <c r="B3396" s="4" t="s">
        <v>88</v>
      </c>
      <c r="C3396" s="4" t="s">
        <v>6542</v>
      </c>
      <c r="D3396" s="4" t="s">
        <v>6895</v>
      </c>
      <c r="E3396" s="4">
        <v>4122503</v>
      </c>
      <c r="F3396" s="4" t="s">
        <v>6896</v>
      </c>
      <c r="G3396" s="4" t="s">
        <v>232</v>
      </c>
      <c r="H3396" s="13"/>
    </row>
    <row r="3397" s="1" customFormat="1" spans="1:8">
      <c r="A3397" s="4" t="s">
        <v>205</v>
      </c>
      <c r="B3397" s="4" t="s">
        <v>88</v>
      </c>
      <c r="C3397" s="4" t="s">
        <v>6542</v>
      </c>
      <c r="D3397" s="4" t="s">
        <v>6897</v>
      </c>
      <c r="E3397" s="4">
        <v>4122651</v>
      </c>
      <c r="F3397" s="4" t="s">
        <v>6898</v>
      </c>
      <c r="G3397" s="4" t="s">
        <v>232</v>
      </c>
      <c r="H3397" s="13"/>
    </row>
    <row r="3398" s="1" customFormat="1" spans="1:8">
      <c r="A3398" s="4" t="s">
        <v>205</v>
      </c>
      <c r="B3398" s="4" t="s">
        <v>88</v>
      </c>
      <c r="C3398" s="4" t="s">
        <v>6542</v>
      </c>
      <c r="D3398" s="4" t="s">
        <v>6899</v>
      </c>
      <c r="E3398" s="4">
        <v>4122701</v>
      </c>
      <c r="F3398" s="4" t="s">
        <v>6900</v>
      </c>
      <c r="G3398" s="4" t="s">
        <v>232</v>
      </c>
      <c r="H3398" s="13"/>
    </row>
    <row r="3399" s="1" customFormat="1" spans="1:8">
      <c r="A3399" s="4" t="s">
        <v>205</v>
      </c>
      <c r="B3399" s="4" t="s">
        <v>88</v>
      </c>
      <c r="C3399" s="4" t="s">
        <v>6542</v>
      </c>
      <c r="D3399" s="4" t="s">
        <v>6901</v>
      </c>
      <c r="E3399" s="4">
        <v>4122909</v>
      </c>
      <c r="F3399" s="4" t="s">
        <v>6902</v>
      </c>
      <c r="G3399" s="4" t="s">
        <v>232</v>
      </c>
      <c r="H3399" s="13"/>
    </row>
    <row r="3400" s="1" customFormat="1" spans="1:8">
      <c r="A3400" s="4" t="s">
        <v>205</v>
      </c>
      <c r="B3400" s="4" t="s">
        <v>88</v>
      </c>
      <c r="C3400" s="4" t="s">
        <v>6542</v>
      </c>
      <c r="D3400" s="4" t="s">
        <v>6903</v>
      </c>
      <c r="E3400" s="4">
        <v>4123105</v>
      </c>
      <c r="F3400" s="4" t="s">
        <v>6904</v>
      </c>
      <c r="G3400" s="4" t="s">
        <v>232</v>
      </c>
      <c r="H3400" s="13"/>
    </row>
    <row r="3401" s="1" customFormat="1" spans="1:8">
      <c r="A3401" s="4" t="s">
        <v>205</v>
      </c>
      <c r="B3401" s="4" t="s">
        <v>88</v>
      </c>
      <c r="C3401" s="4" t="s">
        <v>6542</v>
      </c>
      <c r="D3401" s="4" t="s">
        <v>6905</v>
      </c>
      <c r="E3401" s="4">
        <v>4123204</v>
      </c>
      <c r="F3401" s="4" t="s">
        <v>6906</v>
      </c>
      <c r="G3401" s="4" t="s">
        <v>232</v>
      </c>
      <c r="H3401" s="13"/>
    </row>
    <row r="3402" s="1" customFormat="1" spans="1:8">
      <c r="A3402" s="4" t="s">
        <v>205</v>
      </c>
      <c r="B3402" s="4" t="s">
        <v>88</v>
      </c>
      <c r="C3402" s="4" t="s">
        <v>6542</v>
      </c>
      <c r="D3402" s="4" t="s">
        <v>6907</v>
      </c>
      <c r="E3402" s="4">
        <v>4123857</v>
      </c>
      <c r="F3402" s="4" t="s">
        <v>6908</v>
      </c>
      <c r="G3402" s="4" t="s">
        <v>232</v>
      </c>
      <c r="H3402" s="13"/>
    </row>
    <row r="3403" s="1" customFormat="1" spans="1:8">
      <c r="A3403" s="4" t="s">
        <v>205</v>
      </c>
      <c r="B3403" s="4" t="s">
        <v>88</v>
      </c>
      <c r="C3403" s="4" t="s">
        <v>6542</v>
      </c>
      <c r="D3403" s="4" t="s">
        <v>6909</v>
      </c>
      <c r="E3403" s="4">
        <v>4123907</v>
      </c>
      <c r="F3403" s="4" t="s">
        <v>6910</v>
      </c>
      <c r="G3403" s="4" t="s">
        <v>232</v>
      </c>
      <c r="H3403" s="13"/>
    </row>
    <row r="3404" s="1" customFormat="1" spans="1:8">
      <c r="A3404" s="4" t="s">
        <v>205</v>
      </c>
      <c r="B3404" s="4" t="s">
        <v>88</v>
      </c>
      <c r="C3404" s="4" t="s">
        <v>6542</v>
      </c>
      <c r="D3404" s="4" t="s">
        <v>6911</v>
      </c>
      <c r="E3404" s="4">
        <v>4124004</v>
      </c>
      <c r="F3404" s="4" t="s">
        <v>6912</v>
      </c>
      <c r="G3404" s="4" t="s">
        <v>232</v>
      </c>
      <c r="H3404" s="13"/>
    </row>
    <row r="3405" s="1" customFormat="1" spans="1:8">
      <c r="A3405" s="4" t="s">
        <v>205</v>
      </c>
      <c r="B3405" s="4" t="s">
        <v>88</v>
      </c>
      <c r="C3405" s="4" t="s">
        <v>6542</v>
      </c>
      <c r="D3405" s="4" t="s">
        <v>6913</v>
      </c>
      <c r="E3405" s="4">
        <v>4124103</v>
      </c>
      <c r="F3405" s="4" t="s">
        <v>6914</v>
      </c>
      <c r="G3405" s="4" t="s">
        <v>232</v>
      </c>
      <c r="H3405" s="13"/>
    </row>
    <row r="3406" s="1" customFormat="1" spans="1:8">
      <c r="A3406" s="4" t="s">
        <v>205</v>
      </c>
      <c r="B3406" s="4" t="s">
        <v>88</v>
      </c>
      <c r="C3406" s="4" t="s">
        <v>6542</v>
      </c>
      <c r="D3406" s="4" t="s">
        <v>6915</v>
      </c>
      <c r="E3406" s="4">
        <v>4124301</v>
      </c>
      <c r="F3406" s="4" t="s">
        <v>6916</v>
      </c>
      <c r="G3406" s="4" t="s">
        <v>232</v>
      </c>
      <c r="H3406" s="13"/>
    </row>
    <row r="3407" s="1" customFormat="1" spans="1:8">
      <c r="A3407" s="4" t="s">
        <v>205</v>
      </c>
      <c r="B3407" s="4" t="s">
        <v>88</v>
      </c>
      <c r="C3407" s="4" t="s">
        <v>6542</v>
      </c>
      <c r="D3407" s="4" t="s">
        <v>6917</v>
      </c>
      <c r="E3407" s="4">
        <v>4124400</v>
      </c>
      <c r="F3407" s="4" t="s">
        <v>6918</v>
      </c>
      <c r="G3407" s="4" t="s">
        <v>232</v>
      </c>
      <c r="H3407" s="13"/>
    </row>
    <row r="3408" s="1" customFormat="1" spans="1:8">
      <c r="A3408" s="4" t="s">
        <v>205</v>
      </c>
      <c r="B3408" s="4" t="s">
        <v>88</v>
      </c>
      <c r="C3408" s="4" t="s">
        <v>6542</v>
      </c>
      <c r="D3408" s="4" t="s">
        <v>6919</v>
      </c>
      <c r="E3408" s="4">
        <v>4126207</v>
      </c>
      <c r="F3408" s="4" t="s">
        <v>6920</v>
      </c>
      <c r="G3408" s="4" t="s">
        <v>232</v>
      </c>
      <c r="H3408" s="13"/>
    </row>
    <row r="3409" s="1" customFormat="1" spans="1:8">
      <c r="A3409" s="4" t="s">
        <v>205</v>
      </c>
      <c r="B3409" s="4" t="s">
        <v>88</v>
      </c>
      <c r="C3409" s="4" t="s">
        <v>6542</v>
      </c>
      <c r="D3409" s="4" t="s">
        <v>6921</v>
      </c>
      <c r="E3409" s="4">
        <v>4126256</v>
      </c>
      <c r="F3409" s="4" t="s">
        <v>6922</v>
      </c>
      <c r="G3409" s="4" t="s">
        <v>232</v>
      </c>
      <c r="H3409" s="13"/>
    </row>
    <row r="3410" s="1" customFormat="1" spans="1:8">
      <c r="A3410" s="4" t="s">
        <v>205</v>
      </c>
      <c r="B3410" s="4" t="s">
        <v>88</v>
      </c>
      <c r="C3410" s="4" t="s">
        <v>6542</v>
      </c>
      <c r="D3410" s="4" t="s">
        <v>6923</v>
      </c>
      <c r="E3410" s="4">
        <v>4126272</v>
      </c>
      <c r="F3410" s="4" t="s">
        <v>6924</v>
      </c>
      <c r="G3410" s="4" t="s">
        <v>232</v>
      </c>
      <c r="H3410" s="13"/>
    </row>
    <row r="3411" s="1" customFormat="1" spans="1:8">
      <c r="A3411" s="4" t="s">
        <v>205</v>
      </c>
      <c r="B3411" s="4" t="s">
        <v>88</v>
      </c>
      <c r="C3411" s="4" t="s">
        <v>6542</v>
      </c>
      <c r="D3411" s="4" t="s">
        <v>6925</v>
      </c>
      <c r="E3411" s="4">
        <v>4126306</v>
      </c>
      <c r="F3411" s="4" t="s">
        <v>6926</v>
      </c>
      <c r="G3411" s="4" t="s">
        <v>232</v>
      </c>
      <c r="H3411" s="13"/>
    </row>
    <row r="3412" s="1" customFormat="1" spans="1:8">
      <c r="A3412" s="4" t="s">
        <v>205</v>
      </c>
      <c r="B3412" s="4" t="s">
        <v>88</v>
      </c>
      <c r="C3412" s="4" t="s">
        <v>6542</v>
      </c>
      <c r="D3412" s="4" t="s">
        <v>6927</v>
      </c>
      <c r="E3412" s="4">
        <v>4126405</v>
      </c>
      <c r="F3412" s="4" t="s">
        <v>6928</v>
      </c>
      <c r="G3412" s="4" t="s">
        <v>232</v>
      </c>
      <c r="H3412" s="13"/>
    </row>
    <row r="3413" s="1" customFormat="1" spans="1:8">
      <c r="A3413" s="4" t="s">
        <v>205</v>
      </c>
      <c r="B3413" s="4" t="s">
        <v>88</v>
      </c>
      <c r="C3413" s="4" t="s">
        <v>6542</v>
      </c>
      <c r="D3413" s="4" t="s">
        <v>6929</v>
      </c>
      <c r="E3413" s="4">
        <v>4126504</v>
      </c>
      <c r="F3413" s="4" t="s">
        <v>6930</v>
      </c>
      <c r="G3413" s="4" t="s">
        <v>232</v>
      </c>
      <c r="H3413" s="13"/>
    </row>
    <row r="3414" s="1" customFormat="1" spans="1:8">
      <c r="A3414" s="4" t="s">
        <v>205</v>
      </c>
      <c r="B3414" s="4" t="s">
        <v>88</v>
      </c>
      <c r="C3414" s="4" t="s">
        <v>6542</v>
      </c>
      <c r="D3414" s="4" t="s">
        <v>6931</v>
      </c>
      <c r="E3414" s="4">
        <v>4126603</v>
      </c>
      <c r="F3414" s="4" t="s">
        <v>6932</v>
      </c>
      <c r="G3414" s="4" t="s">
        <v>232</v>
      </c>
      <c r="H3414" s="13"/>
    </row>
    <row r="3415" s="1" customFormat="1" spans="1:8">
      <c r="A3415" s="4" t="s">
        <v>205</v>
      </c>
      <c r="B3415" s="4" t="s">
        <v>88</v>
      </c>
      <c r="C3415" s="4" t="s">
        <v>6542</v>
      </c>
      <c r="D3415" s="4" t="s">
        <v>6933</v>
      </c>
      <c r="E3415" s="4">
        <v>4126652</v>
      </c>
      <c r="F3415" s="4" t="s">
        <v>6934</v>
      </c>
      <c r="G3415" s="4" t="s">
        <v>232</v>
      </c>
      <c r="H3415" s="13"/>
    </row>
    <row r="3416" s="1" customFormat="1" spans="1:8">
      <c r="A3416" s="4" t="s">
        <v>205</v>
      </c>
      <c r="B3416" s="4" t="s">
        <v>88</v>
      </c>
      <c r="C3416" s="4" t="s">
        <v>6542</v>
      </c>
      <c r="D3416" s="4" t="s">
        <v>6935</v>
      </c>
      <c r="E3416" s="4">
        <v>4124707</v>
      </c>
      <c r="F3416" s="4" t="s">
        <v>6936</v>
      </c>
      <c r="G3416" s="4" t="s">
        <v>232</v>
      </c>
      <c r="H3416" s="13"/>
    </row>
    <row r="3417" s="1" customFormat="1" spans="1:8">
      <c r="A3417" s="4" t="s">
        <v>205</v>
      </c>
      <c r="B3417" s="4" t="s">
        <v>88</v>
      </c>
      <c r="C3417" s="4" t="s">
        <v>6542</v>
      </c>
      <c r="D3417" s="4" t="s">
        <v>6937</v>
      </c>
      <c r="E3417" s="4">
        <v>4125407</v>
      </c>
      <c r="F3417" s="4" t="s">
        <v>6938</v>
      </c>
      <c r="G3417" s="4" t="s">
        <v>232</v>
      </c>
      <c r="H3417" s="13"/>
    </row>
    <row r="3418" s="1" customFormat="1" spans="1:8">
      <c r="A3418" s="4" t="s">
        <v>205</v>
      </c>
      <c r="B3418" s="4" t="s">
        <v>88</v>
      </c>
      <c r="C3418" s="4" t="s">
        <v>6542</v>
      </c>
      <c r="D3418" s="4" t="s">
        <v>5956</v>
      </c>
      <c r="E3418" s="4">
        <v>4124806</v>
      </c>
      <c r="F3418" s="4" t="s">
        <v>6939</v>
      </c>
      <c r="G3418" s="4" t="s">
        <v>232</v>
      </c>
      <c r="H3418" s="13"/>
    </row>
    <row r="3419" s="1" customFormat="1" spans="1:8">
      <c r="A3419" s="4" t="s">
        <v>205</v>
      </c>
      <c r="B3419" s="4" t="s">
        <v>88</v>
      </c>
      <c r="C3419" s="4" t="s">
        <v>6542</v>
      </c>
      <c r="D3419" s="4" t="s">
        <v>6940</v>
      </c>
      <c r="E3419" s="4">
        <v>4125001</v>
      </c>
      <c r="F3419" s="4" t="s">
        <v>6941</v>
      </c>
      <c r="G3419" s="4" t="s">
        <v>232</v>
      </c>
      <c r="H3419" s="13"/>
    </row>
    <row r="3420" s="1" customFormat="1" spans="1:8">
      <c r="A3420" s="4" t="s">
        <v>205</v>
      </c>
      <c r="B3420" s="4" t="s">
        <v>88</v>
      </c>
      <c r="C3420" s="4" t="s">
        <v>6542</v>
      </c>
      <c r="D3420" s="4" t="s">
        <v>6942</v>
      </c>
      <c r="E3420" s="4">
        <v>4125803</v>
      </c>
      <c r="F3420" s="4" t="s">
        <v>6943</v>
      </c>
      <c r="G3420" s="4" t="s">
        <v>232</v>
      </c>
      <c r="H3420" s="13"/>
    </row>
    <row r="3421" s="1" customFormat="1" spans="1:8">
      <c r="A3421" s="4" t="s">
        <v>205</v>
      </c>
      <c r="B3421" s="4" t="s">
        <v>88</v>
      </c>
      <c r="C3421" s="4" t="s">
        <v>6542</v>
      </c>
      <c r="D3421" s="4" t="s">
        <v>6944</v>
      </c>
      <c r="E3421" s="4">
        <v>4126009</v>
      </c>
      <c r="F3421" s="4" t="s">
        <v>6945</v>
      </c>
      <c r="G3421" s="4" t="s">
        <v>232</v>
      </c>
      <c r="H3421" s="13"/>
    </row>
    <row r="3422" s="1" customFormat="1" spans="1:8">
      <c r="A3422" s="4" t="s">
        <v>205</v>
      </c>
      <c r="B3422" s="4" t="s">
        <v>88</v>
      </c>
      <c r="C3422" s="4" t="s">
        <v>6542</v>
      </c>
      <c r="D3422" s="4" t="s">
        <v>6946</v>
      </c>
      <c r="E3422" s="4">
        <v>4126678</v>
      </c>
      <c r="F3422" s="4" t="s">
        <v>6947</v>
      </c>
      <c r="G3422" s="4" t="s">
        <v>232</v>
      </c>
      <c r="H3422" s="13"/>
    </row>
    <row r="3423" s="1" customFormat="1" spans="1:8">
      <c r="A3423" s="4" t="s">
        <v>205</v>
      </c>
      <c r="B3423" s="4" t="s">
        <v>88</v>
      </c>
      <c r="C3423" s="4" t="s">
        <v>6542</v>
      </c>
      <c r="D3423" s="4" t="s">
        <v>6948</v>
      </c>
      <c r="E3423" s="4">
        <v>4127106</v>
      </c>
      <c r="F3423" s="4" t="s">
        <v>6949</v>
      </c>
      <c r="G3423" s="4" t="s">
        <v>232</v>
      </c>
      <c r="H3423" s="13"/>
    </row>
    <row r="3424" s="1" customFormat="1" spans="1:8">
      <c r="A3424" s="4" t="s">
        <v>205</v>
      </c>
      <c r="B3424" s="4" t="s">
        <v>88</v>
      </c>
      <c r="C3424" s="4" t="s">
        <v>6542</v>
      </c>
      <c r="D3424" s="4" t="s">
        <v>6950</v>
      </c>
      <c r="E3424" s="4">
        <v>4127809</v>
      </c>
      <c r="F3424" s="4" t="s">
        <v>6951</v>
      </c>
      <c r="G3424" s="4" t="s">
        <v>232</v>
      </c>
      <c r="H3424" s="13"/>
    </row>
    <row r="3425" s="1" customFormat="1" spans="1:8">
      <c r="A3425" s="4" t="s">
        <v>205</v>
      </c>
      <c r="B3425" s="4" t="s">
        <v>88</v>
      </c>
      <c r="C3425" s="4" t="s">
        <v>6542</v>
      </c>
      <c r="D3425" s="4" t="s">
        <v>6952</v>
      </c>
      <c r="E3425" s="4">
        <v>4127965</v>
      </c>
      <c r="F3425" s="4" t="s">
        <v>6953</v>
      </c>
      <c r="G3425" s="4" t="s">
        <v>232</v>
      </c>
      <c r="H3425" s="13"/>
    </row>
    <row r="3426" s="1" customFormat="1" spans="1:8">
      <c r="A3426" s="4" t="s">
        <v>205</v>
      </c>
      <c r="B3426" s="4" t="s">
        <v>88</v>
      </c>
      <c r="C3426" s="4" t="s">
        <v>6542</v>
      </c>
      <c r="D3426" s="4" t="s">
        <v>6954</v>
      </c>
      <c r="E3426" s="4">
        <v>4128203</v>
      </c>
      <c r="F3426" s="4" t="s">
        <v>6955</v>
      </c>
      <c r="G3426" s="4" t="s">
        <v>232</v>
      </c>
      <c r="H3426" s="13"/>
    </row>
    <row r="3427" s="1" customFormat="1" spans="1:8">
      <c r="A3427" s="4" t="s">
        <v>205</v>
      </c>
      <c r="B3427" s="4" t="s">
        <v>88</v>
      </c>
      <c r="C3427" s="4" t="s">
        <v>6542</v>
      </c>
      <c r="D3427" s="4" t="s">
        <v>6956</v>
      </c>
      <c r="E3427" s="4">
        <v>4128401</v>
      </c>
      <c r="F3427" s="4" t="s">
        <v>6957</v>
      </c>
      <c r="G3427" s="4" t="s">
        <v>232</v>
      </c>
      <c r="H3427" s="13"/>
    </row>
    <row r="3428" s="1" customFormat="1" spans="1:8">
      <c r="A3428" s="4" t="s">
        <v>205</v>
      </c>
      <c r="B3428" s="4" t="s">
        <v>88</v>
      </c>
      <c r="C3428" s="4" t="s">
        <v>6542</v>
      </c>
      <c r="D3428" s="4" t="s">
        <v>6958</v>
      </c>
      <c r="E3428" s="4">
        <v>4128534</v>
      </c>
      <c r="F3428" s="4" t="s">
        <v>6959</v>
      </c>
      <c r="G3428" s="4" t="s">
        <v>232</v>
      </c>
      <c r="H3428" s="13"/>
    </row>
    <row r="3429" s="1" customFormat="1" spans="1:8">
      <c r="A3429" s="4" t="s">
        <v>205</v>
      </c>
      <c r="B3429" s="4" t="s">
        <v>88</v>
      </c>
      <c r="C3429" s="4" t="s">
        <v>6542</v>
      </c>
      <c r="D3429" s="4" t="s">
        <v>6960</v>
      </c>
      <c r="E3429" s="4">
        <v>4128658</v>
      </c>
      <c r="F3429" s="4" t="s">
        <v>6961</v>
      </c>
      <c r="G3429" s="4" t="s">
        <v>232</v>
      </c>
      <c r="H3429" s="13"/>
    </row>
    <row r="3430" s="1" customFormat="1" spans="1:8">
      <c r="A3430" s="4" t="s">
        <v>205</v>
      </c>
      <c r="B3430" s="4" t="s">
        <v>88</v>
      </c>
      <c r="C3430" s="4" t="s">
        <v>6542</v>
      </c>
      <c r="D3430" s="4" t="s">
        <v>4392</v>
      </c>
      <c r="E3430" s="4">
        <v>4128500</v>
      </c>
      <c r="F3430" s="4" t="s">
        <v>6962</v>
      </c>
      <c r="G3430" s="4" t="s">
        <v>232</v>
      </c>
      <c r="H3430" s="13"/>
    </row>
    <row r="3431" s="1" customFormat="1" spans="1:8">
      <c r="A3431" s="4" t="s">
        <v>205</v>
      </c>
      <c r="B3431" s="4" t="s">
        <v>88</v>
      </c>
      <c r="C3431" s="4" t="s">
        <v>6542</v>
      </c>
      <c r="D3431" s="4" t="s">
        <v>6963</v>
      </c>
      <c r="E3431" s="4">
        <v>4101150</v>
      </c>
      <c r="F3431" s="4" t="s">
        <v>6964</v>
      </c>
      <c r="G3431" s="4" t="s">
        <v>232</v>
      </c>
      <c r="H3431" s="13"/>
    </row>
    <row r="3432" s="1" customFormat="1" spans="1:8">
      <c r="A3432" s="4" t="s">
        <v>205</v>
      </c>
      <c r="B3432" s="4" t="s">
        <v>88</v>
      </c>
      <c r="C3432" s="4" t="s">
        <v>6542</v>
      </c>
      <c r="D3432" s="4" t="s">
        <v>6965</v>
      </c>
      <c r="E3432" s="4">
        <v>4100459</v>
      </c>
      <c r="F3432" s="4" t="s">
        <v>6966</v>
      </c>
      <c r="G3432" s="4" t="s">
        <v>243</v>
      </c>
      <c r="H3432" s="13"/>
    </row>
    <row r="3433" s="1" customFormat="1" spans="1:8">
      <c r="A3433" s="4" t="s">
        <v>205</v>
      </c>
      <c r="B3433" s="4" t="s">
        <v>88</v>
      </c>
      <c r="C3433" s="4" t="s">
        <v>6542</v>
      </c>
      <c r="D3433" s="4" t="s">
        <v>6967</v>
      </c>
      <c r="E3433" s="4">
        <v>4100608</v>
      </c>
      <c r="F3433" s="4" t="s">
        <v>6968</v>
      </c>
      <c r="G3433" s="4" t="s">
        <v>243</v>
      </c>
      <c r="H3433" s="13"/>
    </row>
    <row r="3434" s="1" customFormat="1" spans="1:8">
      <c r="A3434" s="4" t="s">
        <v>205</v>
      </c>
      <c r="B3434" s="4" t="s">
        <v>88</v>
      </c>
      <c r="C3434" s="4" t="s">
        <v>6542</v>
      </c>
      <c r="D3434" s="4" t="s">
        <v>6969</v>
      </c>
      <c r="E3434" s="4">
        <v>4128625</v>
      </c>
      <c r="F3434" s="4" t="s">
        <v>6970</v>
      </c>
      <c r="G3434" s="4" t="s">
        <v>243</v>
      </c>
      <c r="H3434" s="13"/>
    </row>
    <row r="3435" s="1" customFormat="1" spans="1:8">
      <c r="A3435" s="4" t="s">
        <v>205</v>
      </c>
      <c r="B3435" s="4" t="s">
        <v>88</v>
      </c>
      <c r="C3435" s="4" t="s">
        <v>6542</v>
      </c>
      <c r="D3435" s="4" t="s">
        <v>6971</v>
      </c>
      <c r="E3435" s="4">
        <v>4100707</v>
      </c>
      <c r="F3435" s="4" t="s">
        <v>6972</v>
      </c>
      <c r="G3435" s="4" t="s">
        <v>243</v>
      </c>
      <c r="H3435" s="13"/>
    </row>
    <row r="3436" s="1" customFormat="1" spans="1:8">
      <c r="A3436" s="4" t="s">
        <v>205</v>
      </c>
      <c r="B3436" s="4" t="s">
        <v>88</v>
      </c>
      <c r="C3436" s="4" t="s">
        <v>6542</v>
      </c>
      <c r="D3436" s="4" t="s">
        <v>6973</v>
      </c>
      <c r="E3436" s="4">
        <v>4100509</v>
      </c>
      <c r="F3436" s="4" t="s">
        <v>6974</v>
      </c>
      <c r="G3436" s="4" t="s">
        <v>243</v>
      </c>
      <c r="H3436" s="13"/>
    </row>
    <row r="3437" s="1" customFormat="1" spans="1:8">
      <c r="A3437" s="4" t="s">
        <v>205</v>
      </c>
      <c r="B3437" s="4" t="s">
        <v>88</v>
      </c>
      <c r="C3437" s="4" t="s">
        <v>6542</v>
      </c>
      <c r="D3437" s="4" t="s">
        <v>6975</v>
      </c>
      <c r="E3437" s="4">
        <v>4100806</v>
      </c>
      <c r="F3437" s="4" t="s">
        <v>6976</v>
      </c>
      <c r="G3437" s="4" t="s">
        <v>243</v>
      </c>
      <c r="H3437" s="13"/>
    </row>
    <row r="3438" s="1" customFormat="1" spans="1:8">
      <c r="A3438" s="4" t="s">
        <v>205</v>
      </c>
      <c r="B3438" s="4" t="s">
        <v>88</v>
      </c>
      <c r="C3438" s="4" t="s">
        <v>6542</v>
      </c>
      <c r="D3438" s="4" t="s">
        <v>6977</v>
      </c>
      <c r="E3438" s="4">
        <v>4100905</v>
      </c>
      <c r="F3438" s="4" t="s">
        <v>6978</v>
      </c>
      <c r="G3438" s="4" t="s">
        <v>243</v>
      </c>
      <c r="H3438" s="13"/>
    </row>
    <row r="3439" s="1" customFormat="1" spans="1:8">
      <c r="A3439" s="4" t="s">
        <v>205</v>
      </c>
      <c r="B3439" s="4" t="s">
        <v>88</v>
      </c>
      <c r="C3439" s="4" t="s">
        <v>6542</v>
      </c>
      <c r="D3439" s="4" t="s">
        <v>6979</v>
      </c>
      <c r="E3439" s="4">
        <v>4101002</v>
      </c>
      <c r="F3439" s="4" t="s">
        <v>6980</v>
      </c>
      <c r="G3439" s="4" t="s">
        <v>243</v>
      </c>
      <c r="H3439" s="13"/>
    </row>
    <row r="3440" s="1" customFormat="1" spans="1:8">
      <c r="A3440" s="4" t="s">
        <v>205</v>
      </c>
      <c r="B3440" s="4" t="s">
        <v>88</v>
      </c>
      <c r="C3440" s="4" t="s">
        <v>6542</v>
      </c>
      <c r="D3440" s="4" t="s">
        <v>6981</v>
      </c>
      <c r="E3440" s="4">
        <v>4101051</v>
      </c>
      <c r="F3440" s="4" t="s">
        <v>6982</v>
      </c>
      <c r="G3440" s="4" t="s">
        <v>243</v>
      </c>
      <c r="H3440" s="13"/>
    </row>
    <row r="3441" s="1" customFormat="1" spans="1:8">
      <c r="A3441" s="4" t="s">
        <v>205</v>
      </c>
      <c r="B3441" s="4" t="s">
        <v>88</v>
      </c>
      <c r="C3441" s="4" t="s">
        <v>6542</v>
      </c>
      <c r="D3441" s="4" t="s">
        <v>5494</v>
      </c>
      <c r="E3441" s="4">
        <v>4101705</v>
      </c>
      <c r="F3441" s="4" t="s">
        <v>6983</v>
      </c>
      <c r="G3441" s="4" t="s">
        <v>243</v>
      </c>
      <c r="H3441" s="13"/>
    </row>
    <row r="3442" s="1" customFormat="1" spans="1:8">
      <c r="A3442" s="4" t="s">
        <v>205</v>
      </c>
      <c r="B3442" s="4" t="s">
        <v>88</v>
      </c>
      <c r="C3442" s="4" t="s">
        <v>6542</v>
      </c>
      <c r="D3442" s="4" t="s">
        <v>6984</v>
      </c>
      <c r="E3442" s="4">
        <v>4102000</v>
      </c>
      <c r="F3442" s="4" t="s">
        <v>6985</v>
      </c>
      <c r="G3442" s="4" t="s">
        <v>243</v>
      </c>
      <c r="H3442" s="13"/>
    </row>
    <row r="3443" s="1" customFormat="1" spans="1:8">
      <c r="A3443" s="4" t="s">
        <v>205</v>
      </c>
      <c r="B3443" s="4" t="s">
        <v>88</v>
      </c>
      <c r="C3443" s="4" t="s">
        <v>6542</v>
      </c>
      <c r="D3443" s="4" t="s">
        <v>277</v>
      </c>
      <c r="E3443" s="4">
        <v>4102208</v>
      </c>
      <c r="F3443" s="4" t="s">
        <v>6986</v>
      </c>
      <c r="G3443" s="4" t="s">
        <v>243</v>
      </c>
      <c r="H3443" s="13"/>
    </row>
    <row r="3444" s="1" customFormat="1" spans="1:8">
      <c r="A3444" s="4" t="s">
        <v>205</v>
      </c>
      <c r="B3444" s="4" t="s">
        <v>88</v>
      </c>
      <c r="C3444" s="4" t="s">
        <v>6542</v>
      </c>
      <c r="D3444" s="4" t="s">
        <v>6987</v>
      </c>
      <c r="E3444" s="4">
        <v>4102604</v>
      </c>
      <c r="F3444" s="4" t="s">
        <v>6988</v>
      </c>
      <c r="G3444" s="4" t="s">
        <v>243</v>
      </c>
      <c r="H3444" s="13"/>
    </row>
    <row r="3445" s="1" customFormat="1" spans="1:8">
      <c r="A3445" s="4" t="s">
        <v>205</v>
      </c>
      <c r="B3445" s="4" t="s">
        <v>88</v>
      </c>
      <c r="C3445" s="4" t="s">
        <v>6542</v>
      </c>
      <c r="D3445" s="4" t="s">
        <v>6989</v>
      </c>
      <c r="E3445" s="4">
        <v>4102752</v>
      </c>
      <c r="F3445" s="4" t="s">
        <v>6990</v>
      </c>
      <c r="G3445" s="4" t="s">
        <v>243</v>
      </c>
      <c r="H3445" s="13"/>
    </row>
    <row r="3446" s="1" customFormat="1" spans="1:8">
      <c r="A3446" s="4" t="s">
        <v>205</v>
      </c>
      <c r="B3446" s="4" t="s">
        <v>88</v>
      </c>
      <c r="C3446" s="4" t="s">
        <v>6542</v>
      </c>
      <c r="D3446" s="4" t="s">
        <v>1973</v>
      </c>
      <c r="E3446" s="4">
        <v>4103008</v>
      </c>
      <c r="F3446" s="4" t="s">
        <v>6991</v>
      </c>
      <c r="G3446" s="4" t="s">
        <v>243</v>
      </c>
      <c r="H3446" s="13"/>
    </row>
    <row r="3447" s="1" customFormat="1" spans="1:8">
      <c r="A3447" s="4" t="s">
        <v>205</v>
      </c>
      <c r="B3447" s="4" t="s">
        <v>88</v>
      </c>
      <c r="C3447" s="4" t="s">
        <v>6542</v>
      </c>
      <c r="D3447" s="4" t="s">
        <v>6992</v>
      </c>
      <c r="E3447" s="4">
        <v>4103024</v>
      </c>
      <c r="F3447" s="4" t="s">
        <v>6993</v>
      </c>
      <c r="G3447" s="4" t="s">
        <v>243</v>
      </c>
      <c r="H3447" s="13"/>
    </row>
    <row r="3448" s="1" customFormat="1" spans="1:8">
      <c r="A3448" s="4" t="s">
        <v>205</v>
      </c>
      <c r="B3448" s="4" t="s">
        <v>88</v>
      </c>
      <c r="C3448" s="4" t="s">
        <v>6542</v>
      </c>
      <c r="D3448" s="4" t="s">
        <v>6994</v>
      </c>
      <c r="E3448" s="4">
        <v>4103057</v>
      </c>
      <c r="F3448" s="4" t="s">
        <v>6995</v>
      </c>
      <c r="G3448" s="4" t="s">
        <v>243</v>
      </c>
      <c r="H3448" s="13"/>
    </row>
    <row r="3449" s="1" customFormat="1" spans="1:8">
      <c r="A3449" s="4" t="s">
        <v>205</v>
      </c>
      <c r="B3449" s="4" t="s">
        <v>88</v>
      </c>
      <c r="C3449" s="4" t="s">
        <v>6542</v>
      </c>
      <c r="D3449" s="4" t="s">
        <v>6996</v>
      </c>
      <c r="E3449" s="4">
        <v>4103156</v>
      </c>
      <c r="F3449" s="4" t="s">
        <v>6997</v>
      </c>
      <c r="G3449" s="4" t="s">
        <v>243</v>
      </c>
      <c r="H3449" s="13"/>
    </row>
    <row r="3450" s="1" customFormat="1" spans="1:8">
      <c r="A3450" s="4" t="s">
        <v>205</v>
      </c>
      <c r="B3450" s="4" t="s">
        <v>88</v>
      </c>
      <c r="C3450" s="4" t="s">
        <v>6542</v>
      </c>
      <c r="D3450" s="4" t="s">
        <v>6998</v>
      </c>
      <c r="E3450" s="4">
        <v>4103222</v>
      </c>
      <c r="F3450" s="4" t="s">
        <v>6999</v>
      </c>
      <c r="G3450" s="4" t="s">
        <v>243</v>
      </c>
      <c r="H3450" s="13"/>
    </row>
    <row r="3451" s="1" customFormat="1" spans="1:8">
      <c r="A3451" s="4" t="s">
        <v>205</v>
      </c>
      <c r="B3451" s="4" t="s">
        <v>88</v>
      </c>
      <c r="C3451" s="4" t="s">
        <v>6542</v>
      </c>
      <c r="D3451" s="4" t="s">
        <v>7000</v>
      </c>
      <c r="E3451" s="4">
        <v>4103354</v>
      </c>
      <c r="F3451" s="4" t="s">
        <v>7001</v>
      </c>
      <c r="G3451" s="4" t="s">
        <v>243</v>
      </c>
      <c r="H3451" s="13"/>
    </row>
    <row r="3452" s="1" customFormat="1" spans="1:8">
      <c r="A3452" s="4" t="s">
        <v>205</v>
      </c>
      <c r="B3452" s="4" t="s">
        <v>88</v>
      </c>
      <c r="C3452" s="4" t="s">
        <v>6542</v>
      </c>
      <c r="D3452" s="4" t="s">
        <v>7002</v>
      </c>
      <c r="E3452" s="4">
        <v>4103370</v>
      </c>
      <c r="F3452" s="4" t="s">
        <v>7003</v>
      </c>
      <c r="G3452" s="4" t="s">
        <v>243</v>
      </c>
      <c r="H3452" s="13"/>
    </row>
    <row r="3453" s="1" customFormat="1" spans="1:8">
      <c r="A3453" s="4" t="s">
        <v>205</v>
      </c>
      <c r="B3453" s="4" t="s">
        <v>88</v>
      </c>
      <c r="C3453" s="4" t="s">
        <v>6542</v>
      </c>
      <c r="D3453" s="4" t="s">
        <v>7004</v>
      </c>
      <c r="E3453" s="4">
        <v>4103404</v>
      </c>
      <c r="F3453" s="4" t="s">
        <v>7005</v>
      </c>
      <c r="G3453" s="4" t="s">
        <v>243</v>
      </c>
      <c r="H3453" s="13"/>
    </row>
    <row r="3454" s="1" customFormat="1" spans="1:8">
      <c r="A3454" s="4" t="s">
        <v>205</v>
      </c>
      <c r="B3454" s="4" t="s">
        <v>88</v>
      </c>
      <c r="C3454" s="4" t="s">
        <v>6542</v>
      </c>
      <c r="D3454" s="4" t="s">
        <v>7006</v>
      </c>
      <c r="E3454" s="4">
        <v>4103453</v>
      </c>
      <c r="F3454" s="4" t="s">
        <v>7007</v>
      </c>
      <c r="G3454" s="4" t="s">
        <v>243</v>
      </c>
      <c r="H3454" s="13"/>
    </row>
    <row r="3455" s="1" customFormat="1" spans="1:8">
      <c r="A3455" s="4" t="s">
        <v>205</v>
      </c>
      <c r="B3455" s="4" t="s">
        <v>88</v>
      </c>
      <c r="C3455" s="4" t="s">
        <v>6542</v>
      </c>
      <c r="D3455" s="4" t="s">
        <v>7008</v>
      </c>
      <c r="E3455" s="4">
        <v>4103479</v>
      </c>
      <c r="F3455" s="4" t="s">
        <v>7009</v>
      </c>
      <c r="G3455" s="4" t="s">
        <v>243</v>
      </c>
      <c r="H3455" s="13"/>
    </row>
    <row r="3456" s="1" customFormat="1" spans="1:8">
      <c r="A3456" s="4" t="s">
        <v>205</v>
      </c>
      <c r="B3456" s="4" t="s">
        <v>88</v>
      </c>
      <c r="C3456" s="4" t="s">
        <v>6542</v>
      </c>
      <c r="D3456" s="4" t="s">
        <v>7010</v>
      </c>
      <c r="E3456" s="4">
        <v>4103909</v>
      </c>
      <c r="F3456" s="4" t="s">
        <v>7011</v>
      </c>
      <c r="G3456" s="4" t="s">
        <v>243</v>
      </c>
      <c r="H3456" s="13"/>
    </row>
    <row r="3457" s="1" customFormat="1" spans="1:8">
      <c r="A3457" s="4" t="s">
        <v>205</v>
      </c>
      <c r="B3457" s="4" t="s">
        <v>88</v>
      </c>
      <c r="C3457" s="4" t="s">
        <v>6542</v>
      </c>
      <c r="D3457" s="4" t="s">
        <v>7012</v>
      </c>
      <c r="E3457" s="4">
        <v>4104055</v>
      </c>
      <c r="F3457" s="4" t="s">
        <v>7013</v>
      </c>
      <c r="G3457" s="4" t="s">
        <v>243</v>
      </c>
      <c r="H3457" s="13"/>
    </row>
    <row r="3458" s="1" customFormat="1" spans="1:8">
      <c r="A3458" s="4" t="s">
        <v>205</v>
      </c>
      <c r="B3458" s="4" t="s">
        <v>88</v>
      </c>
      <c r="C3458" s="4" t="s">
        <v>6542</v>
      </c>
      <c r="D3458" s="4" t="s">
        <v>7014</v>
      </c>
      <c r="E3458" s="4">
        <v>4104303</v>
      </c>
      <c r="F3458" s="4" t="s">
        <v>7015</v>
      </c>
      <c r="G3458" s="4" t="s">
        <v>243</v>
      </c>
      <c r="H3458" s="13"/>
    </row>
    <row r="3459" s="1" customFormat="1" spans="1:8">
      <c r="A3459" s="4" t="s">
        <v>205</v>
      </c>
      <c r="B3459" s="4" t="s">
        <v>88</v>
      </c>
      <c r="C3459" s="4" t="s">
        <v>6542</v>
      </c>
      <c r="D3459" s="4" t="s">
        <v>5167</v>
      </c>
      <c r="E3459" s="4">
        <v>4104501</v>
      </c>
      <c r="F3459" s="4" t="s">
        <v>7016</v>
      </c>
      <c r="G3459" s="4" t="s">
        <v>243</v>
      </c>
      <c r="H3459" s="13"/>
    </row>
    <row r="3460" s="1" customFormat="1" spans="1:8">
      <c r="A3460" s="4" t="s">
        <v>205</v>
      </c>
      <c r="B3460" s="4" t="s">
        <v>88</v>
      </c>
      <c r="C3460" s="4" t="s">
        <v>6542</v>
      </c>
      <c r="D3460" s="4" t="s">
        <v>7017</v>
      </c>
      <c r="E3460" s="4">
        <v>4104600</v>
      </c>
      <c r="F3460" s="4" t="s">
        <v>7018</v>
      </c>
      <c r="G3460" s="4" t="s">
        <v>243</v>
      </c>
      <c r="H3460" s="13"/>
    </row>
    <row r="3461" s="1" customFormat="1" spans="1:8">
      <c r="A3461" s="4" t="s">
        <v>205</v>
      </c>
      <c r="B3461" s="4" t="s">
        <v>88</v>
      </c>
      <c r="C3461" s="4" t="s">
        <v>6542</v>
      </c>
      <c r="D3461" s="4" t="s">
        <v>1481</v>
      </c>
      <c r="E3461" s="4">
        <v>4104808</v>
      </c>
      <c r="F3461" s="4" t="s">
        <v>7019</v>
      </c>
      <c r="G3461" s="4" t="s">
        <v>243</v>
      </c>
      <c r="H3461" s="13"/>
    </row>
    <row r="3462" s="1" customFormat="1" spans="1:8">
      <c r="A3462" s="4" t="s">
        <v>205</v>
      </c>
      <c r="B3462" s="4" t="s">
        <v>88</v>
      </c>
      <c r="C3462" s="4" t="s">
        <v>6542</v>
      </c>
      <c r="D3462" s="4" t="s">
        <v>7020</v>
      </c>
      <c r="E3462" s="4">
        <v>4105003</v>
      </c>
      <c r="F3462" s="4" t="s">
        <v>7021</v>
      </c>
      <c r="G3462" s="4" t="s">
        <v>243</v>
      </c>
      <c r="H3462" s="13"/>
    </row>
    <row r="3463" s="1" customFormat="1" spans="1:8">
      <c r="A3463" s="4" t="s">
        <v>205</v>
      </c>
      <c r="B3463" s="4" t="s">
        <v>88</v>
      </c>
      <c r="C3463" s="4" t="s">
        <v>6542</v>
      </c>
      <c r="D3463" s="4" t="s">
        <v>7022</v>
      </c>
      <c r="E3463" s="4">
        <v>4105102</v>
      </c>
      <c r="F3463" s="4" t="s">
        <v>7023</v>
      </c>
      <c r="G3463" s="4" t="s">
        <v>243</v>
      </c>
      <c r="H3463" s="13"/>
    </row>
    <row r="3464" s="1" customFormat="1" spans="1:8">
      <c r="A3464" s="4" t="s">
        <v>205</v>
      </c>
      <c r="B3464" s="4" t="s">
        <v>88</v>
      </c>
      <c r="C3464" s="4" t="s">
        <v>6542</v>
      </c>
      <c r="D3464" s="4" t="s">
        <v>7024</v>
      </c>
      <c r="E3464" s="4">
        <v>4105508</v>
      </c>
      <c r="F3464" s="4" t="s">
        <v>7025</v>
      </c>
      <c r="G3464" s="4" t="s">
        <v>243</v>
      </c>
      <c r="H3464" s="13"/>
    </row>
    <row r="3465" s="1" customFormat="1" spans="1:8">
      <c r="A3465" s="4" t="s">
        <v>205</v>
      </c>
      <c r="B3465" s="4" t="s">
        <v>88</v>
      </c>
      <c r="C3465" s="4" t="s">
        <v>6542</v>
      </c>
      <c r="D3465" s="4" t="s">
        <v>7026</v>
      </c>
      <c r="E3465" s="4">
        <v>4105607</v>
      </c>
      <c r="F3465" s="4" t="s">
        <v>7027</v>
      </c>
      <c r="G3465" s="4" t="s">
        <v>243</v>
      </c>
      <c r="H3465" s="13"/>
    </row>
    <row r="3466" s="1" customFormat="1" spans="1:8">
      <c r="A3466" s="4" t="s">
        <v>205</v>
      </c>
      <c r="B3466" s="4" t="s">
        <v>88</v>
      </c>
      <c r="C3466" s="4" t="s">
        <v>6542</v>
      </c>
      <c r="D3466" s="4" t="s">
        <v>7028</v>
      </c>
      <c r="E3466" s="4">
        <v>4105904</v>
      </c>
      <c r="F3466" s="4" t="s">
        <v>7029</v>
      </c>
      <c r="G3466" s="4" t="s">
        <v>243</v>
      </c>
      <c r="H3466" s="13"/>
    </row>
    <row r="3467" s="1" customFormat="1" spans="1:8">
      <c r="A3467" s="4" t="s">
        <v>205</v>
      </c>
      <c r="B3467" s="4" t="s">
        <v>88</v>
      </c>
      <c r="C3467" s="4" t="s">
        <v>6542</v>
      </c>
      <c r="D3467" s="4" t="s">
        <v>7030</v>
      </c>
      <c r="E3467" s="4">
        <v>4106308</v>
      </c>
      <c r="F3467" s="4" t="s">
        <v>7031</v>
      </c>
      <c r="G3467" s="4" t="s">
        <v>243</v>
      </c>
      <c r="H3467" s="13"/>
    </row>
    <row r="3468" s="1" customFormat="1" spans="1:8">
      <c r="A3468" s="4" t="s">
        <v>205</v>
      </c>
      <c r="B3468" s="4" t="s">
        <v>88</v>
      </c>
      <c r="C3468" s="4" t="s">
        <v>6542</v>
      </c>
      <c r="D3468" s="4" t="s">
        <v>7032</v>
      </c>
      <c r="E3468" s="4">
        <v>4106555</v>
      </c>
      <c r="F3468" s="4" t="s">
        <v>7033</v>
      </c>
      <c r="G3468" s="4" t="s">
        <v>243</v>
      </c>
      <c r="H3468" s="13"/>
    </row>
    <row r="3469" s="1" customFormat="1" spans="1:8">
      <c r="A3469" s="4" t="s">
        <v>205</v>
      </c>
      <c r="B3469" s="4" t="s">
        <v>88</v>
      </c>
      <c r="C3469" s="4" t="s">
        <v>6542</v>
      </c>
      <c r="D3469" s="4" t="s">
        <v>7034</v>
      </c>
      <c r="E3469" s="4">
        <v>4106571</v>
      </c>
      <c r="F3469" s="4" t="s">
        <v>7035</v>
      </c>
      <c r="G3469" s="4" t="s">
        <v>243</v>
      </c>
      <c r="H3469" s="13"/>
    </row>
    <row r="3470" s="1" customFormat="1" spans="1:8">
      <c r="A3470" s="4" t="s">
        <v>205</v>
      </c>
      <c r="B3470" s="4" t="s">
        <v>88</v>
      </c>
      <c r="C3470" s="4" t="s">
        <v>6542</v>
      </c>
      <c r="D3470" s="4" t="s">
        <v>7036</v>
      </c>
      <c r="E3470" s="4">
        <v>4106605</v>
      </c>
      <c r="F3470" s="4" t="s">
        <v>7037</v>
      </c>
      <c r="G3470" s="4" t="s">
        <v>243</v>
      </c>
      <c r="H3470" s="13"/>
    </row>
    <row r="3471" s="1" customFormat="1" spans="1:8">
      <c r="A3471" s="4" t="s">
        <v>205</v>
      </c>
      <c r="B3471" s="4" t="s">
        <v>88</v>
      </c>
      <c r="C3471" s="4" t="s">
        <v>6542</v>
      </c>
      <c r="D3471" s="4" t="s">
        <v>241</v>
      </c>
      <c r="E3471" s="4">
        <v>4106704</v>
      </c>
      <c r="F3471" s="4" t="s">
        <v>7038</v>
      </c>
      <c r="G3471" s="4" t="s">
        <v>243</v>
      </c>
      <c r="H3471" s="13"/>
    </row>
    <row r="3472" s="1" customFormat="1" spans="1:8">
      <c r="A3472" s="4" t="s">
        <v>205</v>
      </c>
      <c r="B3472" s="4" t="s">
        <v>88</v>
      </c>
      <c r="C3472" s="4" t="s">
        <v>6542</v>
      </c>
      <c r="D3472" s="4" t="s">
        <v>7039</v>
      </c>
      <c r="E3472" s="4">
        <v>4105300</v>
      </c>
      <c r="F3472" s="4" t="s">
        <v>7040</v>
      </c>
      <c r="G3472" s="4" t="s">
        <v>243</v>
      </c>
      <c r="H3472" s="13"/>
    </row>
    <row r="3473" s="1" customFormat="1" spans="1:8">
      <c r="A3473" s="4" t="s">
        <v>205</v>
      </c>
      <c r="B3473" s="4" t="s">
        <v>88</v>
      </c>
      <c r="C3473" s="4" t="s">
        <v>6542</v>
      </c>
      <c r="D3473" s="4" t="s">
        <v>7041</v>
      </c>
      <c r="E3473" s="4">
        <v>4107108</v>
      </c>
      <c r="F3473" s="4" t="s">
        <v>7042</v>
      </c>
      <c r="G3473" s="4" t="s">
        <v>243</v>
      </c>
      <c r="H3473" s="13"/>
    </row>
    <row r="3474" s="1" customFormat="1" spans="1:8">
      <c r="A3474" s="4" t="s">
        <v>205</v>
      </c>
      <c r="B3474" s="4" t="s">
        <v>88</v>
      </c>
      <c r="C3474" s="4" t="s">
        <v>6542</v>
      </c>
      <c r="D3474" s="4" t="s">
        <v>7043</v>
      </c>
      <c r="E3474" s="4">
        <v>4107157</v>
      </c>
      <c r="F3474" s="4" t="s">
        <v>7044</v>
      </c>
      <c r="G3474" s="4" t="s">
        <v>243</v>
      </c>
      <c r="H3474" s="13"/>
    </row>
    <row r="3475" s="1" customFormat="1" spans="1:8">
      <c r="A3475" s="4" t="s">
        <v>205</v>
      </c>
      <c r="B3475" s="4" t="s">
        <v>88</v>
      </c>
      <c r="C3475" s="4" t="s">
        <v>6542</v>
      </c>
      <c r="D3475" s="4" t="s">
        <v>7045</v>
      </c>
      <c r="E3475" s="4">
        <v>4107207</v>
      </c>
      <c r="F3475" s="4" t="s">
        <v>7046</v>
      </c>
      <c r="G3475" s="4" t="s">
        <v>243</v>
      </c>
      <c r="H3475" s="13"/>
    </row>
    <row r="3476" s="1" customFormat="1" spans="1:8">
      <c r="A3476" s="4" t="s">
        <v>205</v>
      </c>
      <c r="B3476" s="4" t="s">
        <v>88</v>
      </c>
      <c r="C3476" s="4" t="s">
        <v>6542</v>
      </c>
      <c r="D3476" s="4" t="s">
        <v>4651</v>
      </c>
      <c r="E3476" s="4">
        <v>4107256</v>
      </c>
      <c r="F3476" s="4" t="s">
        <v>7047</v>
      </c>
      <c r="G3476" s="4" t="s">
        <v>243</v>
      </c>
      <c r="H3476" s="13"/>
    </row>
    <row r="3477" s="1" customFormat="1" spans="1:8">
      <c r="A3477" s="4" t="s">
        <v>205</v>
      </c>
      <c r="B3477" s="4" t="s">
        <v>88</v>
      </c>
      <c r="C3477" s="4" t="s">
        <v>6542</v>
      </c>
      <c r="D3477" s="4" t="s">
        <v>7048</v>
      </c>
      <c r="E3477" s="4">
        <v>4107306</v>
      </c>
      <c r="F3477" s="4" t="s">
        <v>7049</v>
      </c>
      <c r="G3477" s="4" t="s">
        <v>243</v>
      </c>
      <c r="H3477" s="13"/>
    </row>
    <row r="3478" s="1" customFormat="1" spans="1:8">
      <c r="A3478" s="4" t="s">
        <v>205</v>
      </c>
      <c r="B3478" s="4" t="s">
        <v>88</v>
      </c>
      <c r="C3478" s="4" t="s">
        <v>6542</v>
      </c>
      <c r="D3478" s="4" t="s">
        <v>7050</v>
      </c>
      <c r="E3478" s="4">
        <v>4107504</v>
      </c>
      <c r="F3478" s="4" t="s">
        <v>7051</v>
      </c>
      <c r="G3478" s="4" t="s">
        <v>243</v>
      </c>
      <c r="H3478" s="13"/>
    </row>
    <row r="3479" s="1" customFormat="1" spans="1:8">
      <c r="A3479" s="4" t="s">
        <v>205</v>
      </c>
      <c r="B3479" s="4" t="s">
        <v>88</v>
      </c>
      <c r="C3479" s="4" t="s">
        <v>6542</v>
      </c>
      <c r="D3479" s="4" t="s">
        <v>7052</v>
      </c>
      <c r="E3479" s="4">
        <v>4107538</v>
      </c>
      <c r="F3479" s="4" t="s">
        <v>7053</v>
      </c>
      <c r="G3479" s="4" t="s">
        <v>243</v>
      </c>
      <c r="H3479" s="13"/>
    </row>
    <row r="3480" s="1" customFormat="1" spans="1:8">
      <c r="A3480" s="4" t="s">
        <v>205</v>
      </c>
      <c r="B3480" s="4" t="s">
        <v>88</v>
      </c>
      <c r="C3480" s="4" t="s">
        <v>6542</v>
      </c>
      <c r="D3480" s="4" t="s">
        <v>7054</v>
      </c>
      <c r="E3480" s="4">
        <v>4107405</v>
      </c>
      <c r="F3480" s="4" t="s">
        <v>7055</v>
      </c>
      <c r="G3480" s="4" t="s">
        <v>243</v>
      </c>
      <c r="H3480" s="13"/>
    </row>
    <row r="3481" s="1" customFormat="1" spans="1:8">
      <c r="A3481" s="4" t="s">
        <v>205</v>
      </c>
      <c r="B3481" s="4" t="s">
        <v>88</v>
      </c>
      <c r="C3481" s="4" t="s">
        <v>6542</v>
      </c>
      <c r="D3481" s="4" t="s">
        <v>7056</v>
      </c>
      <c r="E3481" s="4">
        <v>4107520</v>
      </c>
      <c r="F3481" s="4" t="s">
        <v>7057</v>
      </c>
      <c r="G3481" s="4" t="s">
        <v>243</v>
      </c>
      <c r="H3481" s="13"/>
    </row>
    <row r="3482" s="1" customFormat="1" spans="1:8">
      <c r="A3482" s="4" t="s">
        <v>205</v>
      </c>
      <c r="B3482" s="4" t="s">
        <v>88</v>
      </c>
      <c r="C3482" s="4" t="s">
        <v>6542</v>
      </c>
      <c r="D3482" s="4" t="s">
        <v>7058</v>
      </c>
      <c r="E3482" s="4">
        <v>4107553</v>
      </c>
      <c r="F3482" s="4" t="s">
        <v>7059</v>
      </c>
      <c r="G3482" s="4" t="s">
        <v>243</v>
      </c>
      <c r="H3482" s="13"/>
    </row>
    <row r="3483" s="1" customFormat="1" spans="1:8">
      <c r="A3483" s="4" t="s">
        <v>205</v>
      </c>
      <c r="B3483" s="4" t="s">
        <v>88</v>
      </c>
      <c r="C3483" s="4" t="s">
        <v>6542</v>
      </c>
      <c r="D3483" s="4" t="s">
        <v>7060</v>
      </c>
      <c r="E3483" s="4">
        <v>4107850</v>
      </c>
      <c r="F3483" s="4" t="s">
        <v>7061</v>
      </c>
      <c r="G3483" s="4" t="s">
        <v>243</v>
      </c>
      <c r="H3483" s="13"/>
    </row>
    <row r="3484" s="1" customFormat="1" spans="1:8">
      <c r="A3484" s="4" t="s">
        <v>205</v>
      </c>
      <c r="B3484" s="4" t="s">
        <v>88</v>
      </c>
      <c r="C3484" s="4" t="s">
        <v>6542</v>
      </c>
      <c r="D3484" s="4" t="s">
        <v>7062</v>
      </c>
      <c r="E3484" s="4">
        <v>4107801</v>
      </c>
      <c r="F3484" s="4" t="s">
        <v>7063</v>
      </c>
      <c r="G3484" s="4" t="s">
        <v>243</v>
      </c>
      <c r="H3484" s="13"/>
    </row>
    <row r="3485" s="1" customFormat="1" spans="1:8">
      <c r="A3485" s="4" t="s">
        <v>205</v>
      </c>
      <c r="B3485" s="4" t="s">
        <v>88</v>
      </c>
      <c r="C3485" s="4" t="s">
        <v>6542</v>
      </c>
      <c r="D3485" s="4" t="s">
        <v>6014</v>
      </c>
      <c r="E3485" s="4">
        <v>4107900</v>
      </c>
      <c r="F3485" s="4" t="s">
        <v>7064</v>
      </c>
      <c r="G3485" s="4" t="s">
        <v>243</v>
      </c>
      <c r="H3485" s="13"/>
    </row>
    <row r="3486" s="1" customFormat="1" spans="1:8">
      <c r="A3486" s="4" t="s">
        <v>205</v>
      </c>
      <c r="B3486" s="4" t="s">
        <v>88</v>
      </c>
      <c r="C3486" s="4" t="s">
        <v>6542</v>
      </c>
      <c r="D3486" s="4" t="s">
        <v>7065</v>
      </c>
      <c r="E3486" s="4">
        <v>4108007</v>
      </c>
      <c r="F3486" s="4" t="s">
        <v>7066</v>
      </c>
      <c r="G3486" s="4" t="s">
        <v>243</v>
      </c>
      <c r="H3486" s="13"/>
    </row>
    <row r="3487" s="1" customFormat="1" spans="1:8">
      <c r="A3487" s="4" t="s">
        <v>205</v>
      </c>
      <c r="B3487" s="4" t="s">
        <v>88</v>
      </c>
      <c r="C3487" s="4" t="s">
        <v>6542</v>
      </c>
      <c r="D3487" s="4" t="s">
        <v>7067</v>
      </c>
      <c r="E3487" s="4">
        <v>4108106</v>
      </c>
      <c r="F3487" s="4" t="s">
        <v>7068</v>
      </c>
      <c r="G3487" s="4" t="s">
        <v>243</v>
      </c>
      <c r="H3487" s="13"/>
    </row>
    <row r="3488" s="1" customFormat="1" spans="1:8">
      <c r="A3488" s="4" t="s">
        <v>205</v>
      </c>
      <c r="B3488" s="4" t="s">
        <v>88</v>
      </c>
      <c r="C3488" s="4" t="s">
        <v>6542</v>
      </c>
      <c r="D3488" s="4" t="s">
        <v>7069</v>
      </c>
      <c r="E3488" s="4">
        <v>4108205</v>
      </c>
      <c r="F3488" s="4" t="s">
        <v>7070</v>
      </c>
      <c r="G3488" s="4" t="s">
        <v>243</v>
      </c>
      <c r="H3488" s="13"/>
    </row>
    <row r="3489" s="1" customFormat="1" spans="1:8">
      <c r="A3489" s="4" t="s">
        <v>205</v>
      </c>
      <c r="B3489" s="4" t="s">
        <v>88</v>
      </c>
      <c r="C3489" s="4" t="s">
        <v>6542</v>
      </c>
      <c r="D3489" s="4" t="s">
        <v>7071</v>
      </c>
      <c r="E3489" s="4">
        <v>4108304</v>
      </c>
      <c r="F3489" s="4" t="s">
        <v>7072</v>
      </c>
      <c r="G3489" s="4" t="s">
        <v>243</v>
      </c>
      <c r="H3489" s="13"/>
    </row>
    <row r="3490" s="1" customFormat="1" spans="1:8">
      <c r="A3490" s="4" t="s">
        <v>205</v>
      </c>
      <c r="B3490" s="4" t="s">
        <v>88</v>
      </c>
      <c r="C3490" s="4" t="s">
        <v>6542</v>
      </c>
      <c r="D3490" s="4" t="s">
        <v>7073</v>
      </c>
      <c r="E3490" s="4">
        <v>4108320</v>
      </c>
      <c r="F3490" s="4" t="s">
        <v>7074</v>
      </c>
      <c r="G3490" s="4" t="s">
        <v>243</v>
      </c>
      <c r="H3490" s="13"/>
    </row>
    <row r="3491" s="1" customFormat="1" spans="1:8">
      <c r="A3491" s="4" t="s">
        <v>205</v>
      </c>
      <c r="B3491" s="4" t="s">
        <v>88</v>
      </c>
      <c r="C3491" s="4" t="s">
        <v>6542</v>
      </c>
      <c r="D3491" s="4" t="s">
        <v>7075</v>
      </c>
      <c r="E3491" s="4">
        <v>4108403</v>
      </c>
      <c r="F3491" s="4" t="s">
        <v>7076</v>
      </c>
      <c r="G3491" s="4" t="s">
        <v>243</v>
      </c>
      <c r="H3491" s="13"/>
    </row>
    <row r="3492" s="1" customFormat="1" spans="1:8">
      <c r="A3492" s="4" t="s">
        <v>205</v>
      </c>
      <c r="B3492" s="4" t="s">
        <v>88</v>
      </c>
      <c r="C3492" s="4" t="s">
        <v>6542</v>
      </c>
      <c r="D3492" s="4" t="s">
        <v>7077</v>
      </c>
      <c r="E3492" s="4">
        <v>4108601</v>
      </c>
      <c r="F3492" s="4" t="s">
        <v>7078</v>
      </c>
      <c r="G3492" s="4" t="s">
        <v>243</v>
      </c>
      <c r="H3492" s="13"/>
    </row>
    <row r="3493" s="1" customFormat="1" spans="1:8">
      <c r="A3493" s="4" t="s">
        <v>205</v>
      </c>
      <c r="B3493" s="4" t="s">
        <v>88</v>
      </c>
      <c r="C3493" s="4" t="s">
        <v>6542</v>
      </c>
      <c r="D3493" s="4" t="s">
        <v>7079</v>
      </c>
      <c r="E3493" s="4">
        <v>4108908</v>
      </c>
      <c r="F3493" s="4" t="s">
        <v>7080</v>
      </c>
      <c r="G3493" s="4" t="s">
        <v>243</v>
      </c>
      <c r="H3493" s="13"/>
    </row>
    <row r="3494" s="1" customFormat="1" spans="1:8">
      <c r="A3494" s="4" t="s">
        <v>205</v>
      </c>
      <c r="B3494" s="4" t="s">
        <v>88</v>
      </c>
      <c r="C3494" s="4" t="s">
        <v>6542</v>
      </c>
      <c r="D3494" s="4" t="s">
        <v>7081</v>
      </c>
      <c r="E3494" s="4">
        <v>4109104</v>
      </c>
      <c r="F3494" s="4" t="s">
        <v>7082</v>
      </c>
      <c r="G3494" s="4" t="s">
        <v>243</v>
      </c>
      <c r="H3494" s="13"/>
    </row>
    <row r="3495" s="1" customFormat="1" spans="1:8">
      <c r="A3495" s="4" t="s">
        <v>205</v>
      </c>
      <c r="B3495" s="4" t="s">
        <v>88</v>
      </c>
      <c r="C3495" s="4" t="s">
        <v>6542</v>
      </c>
      <c r="D3495" s="4" t="s">
        <v>7083</v>
      </c>
      <c r="E3495" s="4">
        <v>4109203</v>
      </c>
      <c r="F3495" s="4" t="s">
        <v>7084</v>
      </c>
      <c r="G3495" s="4" t="s">
        <v>243</v>
      </c>
      <c r="H3495" s="13"/>
    </row>
    <row r="3496" s="1" customFormat="1" spans="1:8">
      <c r="A3496" s="4" t="s">
        <v>205</v>
      </c>
      <c r="B3496" s="4" t="s">
        <v>88</v>
      </c>
      <c r="C3496" s="4" t="s">
        <v>6542</v>
      </c>
      <c r="D3496" s="4" t="s">
        <v>7085</v>
      </c>
      <c r="E3496" s="4">
        <v>4108809</v>
      </c>
      <c r="F3496" s="4" t="s">
        <v>7086</v>
      </c>
      <c r="G3496" s="4" t="s">
        <v>243</v>
      </c>
      <c r="H3496" s="13"/>
    </row>
    <row r="3497" s="1" customFormat="1" spans="1:8">
      <c r="A3497" s="4" t="s">
        <v>205</v>
      </c>
      <c r="B3497" s="4" t="s">
        <v>88</v>
      </c>
      <c r="C3497" s="4" t="s">
        <v>6542</v>
      </c>
      <c r="D3497" s="4" t="s">
        <v>7087</v>
      </c>
      <c r="E3497" s="4">
        <v>4109906</v>
      </c>
      <c r="F3497" s="4" t="s">
        <v>7088</v>
      </c>
      <c r="G3497" s="4" t="s">
        <v>243</v>
      </c>
      <c r="H3497" s="13"/>
    </row>
    <row r="3498" s="1" customFormat="1" spans="1:8">
      <c r="A3498" s="4" t="s">
        <v>205</v>
      </c>
      <c r="B3498" s="4" t="s">
        <v>88</v>
      </c>
      <c r="C3498" s="4" t="s">
        <v>6542</v>
      </c>
      <c r="D3498" s="4" t="s">
        <v>1623</v>
      </c>
      <c r="E3498" s="4">
        <v>4110052</v>
      </c>
      <c r="F3498" s="4" t="s">
        <v>7089</v>
      </c>
      <c r="G3498" s="4" t="s">
        <v>243</v>
      </c>
      <c r="H3498" s="13"/>
    </row>
    <row r="3499" s="1" customFormat="1" spans="1:8">
      <c r="A3499" s="4" t="s">
        <v>205</v>
      </c>
      <c r="B3499" s="4" t="s">
        <v>88</v>
      </c>
      <c r="C3499" s="4" t="s">
        <v>6542</v>
      </c>
      <c r="D3499" s="4" t="s">
        <v>6022</v>
      </c>
      <c r="E3499" s="4">
        <v>4110300</v>
      </c>
      <c r="F3499" s="4" t="s">
        <v>7090</v>
      </c>
      <c r="G3499" s="4" t="s">
        <v>243</v>
      </c>
      <c r="H3499" s="13"/>
    </row>
    <row r="3500" s="1" customFormat="1" spans="1:8">
      <c r="A3500" s="4" t="s">
        <v>205</v>
      </c>
      <c r="B3500" s="4" t="s">
        <v>88</v>
      </c>
      <c r="C3500" s="4" t="s">
        <v>6542</v>
      </c>
      <c r="D3500" s="4" t="s">
        <v>3926</v>
      </c>
      <c r="E3500" s="4">
        <v>4110409</v>
      </c>
      <c r="F3500" s="4" t="s">
        <v>7091</v>
      </c>
      <c r="G3500" s="4" t="s">
        <v>243</v>
      </c>
      <c r="H3500" s="13"/>
    </row>
    <row r="3501" s="1" customFormat="1" spans="1:8">
      <c r="A3501" s="4" t="s">
        <v>205</v>
      </c>
      <c r="B3501" s="4" t="s">
        <v>88</v>
      </c>
      <c r="C3501" s="4" t="s">
        <v>6542</v>
      </c>
      <c r="D3501" s="4" t="s">
        <v>7092</v>
      </c>
      <c r="E3501" s="4">
        <v>4110607</v>
      </c>
      <c r="F3501" s="4" t="s">
        <v>7093</v>
      </c>
      <c r="G3501" s="4" t="s">
        <v>243</v>
      </c>
      <c r="H3501" s="13"/>
    </row>
    <row r="3502" s="1" customFormat="1" spans="1:8">
      <c r="A3502" s="4" t="s">
        <v>205</v>
      </c>
      <c r="B3502" s="4" t="s">
        <v>88</v>
      </c>
      <c r="C3502" s="4" t="s">
        <v>6542</v>
      </c>
      <c r="D3502" s="4" t="s">
        <v>7094</v>
      </c>
      <c r="E3502" s="4">
        <v>4110656</v>
      </c>
      <c r="F3502" s="4" t="s">
        <v>7095</v>
      </c>
      <c r="G3502" s="4" t="s">
        <v>243</v>
      </c>
      <c r="H3502" s="13"/>
    </row>
    <row r="3503" s="1" customFormat="1" spans="1:8">
      <c r="A3503" s="4" t="s">
        <v>205</v>
      </c>
      <c r="B3503" s="4" t="s">
        <v>88</v>
      </c>
      <c r="C3503" s="4" t="s">
        <v>6542</v>
      </c>
      <c r="D3503" s="4" t="s">
        <v>7096</v>
      </c>
      <c r="E3503" s="4">
        <v>4110953</v>
      </c>
      <c r="F3503" s="4" t="s">
        <v>7097</v>
      </c>
      <c r="G3503" s="4" t="s">
        <v>243</v>
      </c>
      <c r="H3503" s="13"/>
    </row>
    <row r="3504" s="1" customFormat="1" spans="1:8">
      <c r="A3504" s="4" t="s">
        <v>205</v>
      </c>
      <c r="B3504" s="4" t="s">
        <v>88</v>
      </c>
      <c r="C3504" s="4" t="s">
        <v>6542</v>
      </c>
      <c r="D3504" s="4" t="s">
        <v>7098</v>
      </c>
      <c r="E3504" s="4">
        <v>4111308</v>
      </c>
      <c r="F3504" s="4" t="s">
        <v>7099</v>
      </c>
      <c r="G3504" s="4" t="s">
        <v>243</v>
      </c>
      <c r="H3504" s="13"/>
    </row>
    <row r="3505" s="1" customFormat="1" spans="1:8">
      <c r="A3505" s="4" t="s">
        <v>205</v>
      </c>
      <c r="B3505" s="4" t="s">
        <v>88</v>
      </c>
      <c r="C3505" s="4" t="s">
        <v>6542</v>
      </c>
      <c r="D3505" s="4" t="s">
        <v>7100</v>
      </c>
      <c r="E3505" s="4">
        <v>4111605</v>
      </c>
      <c r="F3505" s="4" t="s">
        <v>7101</v>
      </c>
      <c r="G3505" s="4" t="s">
        <v>243</v>
      </c>
      <c r="H3505" s="13"/>
    </row>
    <row r="3506" s="1" customFormat="1" spans="1:8">
      <c r="A3506" s="4" t="s">
        <v>205</v>
      </c>
      <c r="B3506" s="4" t="s">
        <v>88</v>
      </c>
      <c r="C3506" s="4" t="s">
        <v>6542</v>
      </c>
      <c r="D3506" s="4" t="s">
        <v>7102</v>
      </c>
      <c r="E3506" s="4">
        <v>4111555</v>
      </c>
      <c r="F3506" s="4" t="s">
        <v>7103</v>
      </c>
      <c r="G3506" s="4" t="s">
        <v>243</v>
      </c>
      <c r="H3506" s="13"/>
    </row>
    <row r="3507" s="1" customFormat="1" spans="1:8">
      <c r="A3507" s="4" t="s">
        <v>205</v>
      </c>
      <c r="B3507" s="4" t="s">
        <v>88</v>
      </c>
      <c r="C3507" s="4" t="s">
        <v>6542</v>
      </c>
      <c r="D3507" s="4" t="s">
        <v>7104</v>
      </c>
      <c r="E3507" s="4">
        <v>4112207</v>
      </c>
      <c r="F3507" s="4" t="s">
        <v>7105</v>
      </c>
      <c r="G3507" s="4" t="s">
        <v>243</v>
      </c>
      <c r="H3507" s="13"/>
    </row>
    <row r="3508" s="1" customFormat="1" spans="1:8">
      <c r="A3508" s="4" t="s">
        <v>205</v>
      </c>
      <c r="B3508" s="4" t="s">
        <v>88</v>
      </c>
      <c r="C3508" s="4" t="s">
        <v>6542</v>
      </c>
      <c r="D3508" s="4" t="s">
        <v>491</v>
      </c>
      <c r="E3508" s="4">
        <v>4112405</v>
      </c>
      <c r="F3508" s="4" t="s">
        <v>7106</v>
      </c>
      <c r="G3508" s="4" t="s">
        <v>243</v>
      </c>
      <c r="H3508" s="13"/>
    </row>
    <row r="3509" s="1" customFormat="1" spans="1:8">
      <c r="A3509" s="4" t="s">
        <v>205</v>
      </c>
      <c r="B3509" s="4" t="s">
        <v>88</v>
      </c>
      <c r="C3509" s="4" t="s">
        <v>6542</v>
      </c>
      <c r="D3509" s="4" t="s">
        <v>7107</v>
      </c>
      <c r="E3509" s="4">
        <v>4112603</v>
      </c>
      <c r="F3509" s="4" t="s">
        <v>7108</v>
      </c>
      <c r="G3509" s="4" t="s">
        <v>243</v>
      </c>
      <c r="H3509" s="13"/>
    </row>
    <row r="3510" s="1" customFormat="1" spans="1:8">
      <c r="A3510" s="4" t="s">
        <v>205</v>
      </c>
      <c r="B3510" s="4" t="s">
        <v>88</v>
      </c>
      <c r="C3510" s="4" t="s">
        <v>6542</v>
      </c>
      <c r="D3510" s="4" t="s">
        <v>7109</v>
      </c>
      <c r="E3510" s="4">
        <v>4112751</v>
      </c>
      <c r="F3510" s="4" t="s">
        <v>7110</v>
      </c>
      <c r="G3510" s="4" t="s">
        <v>243</v>
      </c>
      <c r="H3510" s="13"/>
    </row>
    <row r="3511" s="1" customFormat="1" spans="1:8">
      <c r="A3511" s="4" t="s">
        <v>205</v>
      </c>
      <c r="B3511" s="4" t="s">
        <v>88</v>
      </c>
      <c r="C3511" s="4" t="s">
        <v>6542</v>
      </c>
      <c r="D3511" s="4" t="s">
        <v>7111</v>
      </c>
      <c r="E3511" s="4">
        <v>4112959</v>
      </c>
      <c r="F3511" s="4" t="s">
        <v>7112</v>
      </c>
      <c r="G3511" s="4" t="s">
        <v>243</v>
      </c>
      <c r="H3511" s="13"/>
    </row>
    <row r="3512" s="1" customFormat="1" spans="1:8">
      <c r="A3512" s="4" t="s">
        <v>205</v>
      </c>
      <c r="B3512" s="4" t="s">
        <v>88</v>
      </c>
      <c r="C3512" s="4" t="s">
        <v>6542</v>
      </c>
      <c r="D3512" s="4" t="s">
        <v>1115</v>
      </c>
      <c r="E3512" s="4">
        <v>4113007</v>
      </c>
      <c r="F3512" s="4" t="s">
        <v>7113</v>
      </c>
      <c r="G3512" s="4" t="s">
        <v>243</v>
      </c>
      <c r="H3512" s="13"/>
    </row>
    <row r="3513" s="1" customFormat="1" spans="1:8">
      <c r="A3513" s="4" t="s">
        <v>205</v>
      </c>
      <c r="B3513" s="4" t="s">
        <v>88</v>
      </c>
      <c r="C3513" s="4" t="s">
        <v>6542</v>
      </c>
      <c r="D3513" s="4" t="s">
        <v>7114</v>
      </c>
      <c r="E3513" s="4">
        <v>4113452</v>
      </c>
      <c r="F3513" s="4" t="s">
        <v>7115</v>
      </c>
      <c r="G3513" s="4" t="s">
        <v>243</v>
      </c>
      <c r="H3513" s="13"/>
    </row>
    <row r="3514" s="1" customFormat="1" spans="1:8">
      <c r="A3514" s="4" t="s">
        <v>205</v>
      </c>
      <c r="B3514" s="4" t="s">
        <v>88</v>
      </c>
      <c r="C3514" s="4" t="s">
        <v>6542</v>
      </c>
      <c r="D3514" s="4" t="s">
        <v>7116</v>
      </c>
      <c r="E3514" s="4">
        <v>4113502</v>
      </c>
      <c r="F3514" s="4" t="s">
        <v>7117</v>
      </c>
      <c r="G3514" s="4" t="s">
        <v>243</v>
      </c>
      <c r="H3514" s="13"/>
    </row>
    <row r="3515" s="1" customFormat="1" spans="1:8">
      <c r="A3515" s="4" t="s">
        <v>205</v>
      </c>
      <c r="B3515" s="4" t="s">
        <v>88</v>
      </c>
      <c r="C3515" s="4" t="s">
        <v>6542</v>
      </c>
      <c r="D3515" s="4" t="s">
        <v>7118</v>
      </c>
      <c r="E3515" s="4">
        <v>4113601</v>
      </c>
      <c r="F3515" s="4" t="s">
        <v>7119</v>
      </c>
      <c r="G3515" s="4" t="s">
        <v>243</v>
      </c>
      <c r="H3515" s="13"/>
    </row>
    <row r="3516" s="1" customFormat="1" spans="1:8">
      <c r="A3516" s="4" t="s">
        <v>205</v>
      </c>
      <c r="B3516" s="4" t="s">
        <v>88</v>
      </c>
      <c r="C3516" s="4" t="s">
        <v>6542</v>
      </c>
      <c r="D3516" s="4" t="s">
        <v>7120</v>
      </c>
      <c r="E3516" s="4">
        <v>4113809</v>
      </c>
      <c r="F3516" s="4" t="s">
        <v>7121</v>
      </c>
      <c r="G3516" s="4" t="s">
        <v>243</v>
      </c>
      <c r="H3516" s="13"/>
    </row>
    <row r="3517" s="1" customFormat="1" spans="1:8">
      <c r="A3517" s="4" t="s">
        <v>205</v>
      </c>
      <c r="B3517" s="4" t="s">
        <v>88</v>
      </c>
      <c r="C3517" s="4" t="s">
        <v>6542</v>
      </c>
      <c r="D3517" s="4" t="s">
        <v>7122</v>
      </c>
      <c r="E3517" s="4">
        <v>4114005</v>
      </c>
      <c r="F3517" s="4" t="s">
        <v>7123</v>
      </c>
      <c r="G3517" s="4" t="s">
        <v>243</v>
      </c>
      <c r="H3517" s="13"/>
    </row>
    <row r="3518" s="1" customFormat="1" spans="1:8">
      <c r="A3518" s="4" t="s">
        <v>205</v>
      </c>
      <c r="B3518" s="4" t="s">
        <v>88</v>
      </c>
      <c r="C3518" s="4" t="s">
        <v>6542</v>
      </c>
      <c r="D3518" s="4" t="s">
        <v>7124</v>
      </c>
      <c r="E3518" s="4">
        <v>4114104</v>
      </c>
      <c r="F3518" s="4" t="s">
        <v>7125</v>
      </c>
      <c r="G3518" s="4" t="s">
        <v>243</v>
      </c>
      <c r="H3518" s="13"/>
    </row>
    <row r="3519" s="1" customFormat="1" spans="1:8">
      <c r="A3519" s="4" t="s">
        <v>205</v>
      </c>
      <c r="B3519" s="4" t="s">
        <v>88</v>
      </c>
      <c r="C3519" s="4" t="s">
        <v>6542</v>
      </c>
      <c r="D3519" s="4" t="s">
        <v>7126</v>
      </c>
      <c r="E3519" s="4">
        <v>4114351</v>
      </c>
      <c r="F3519" s="4" t="s">
        <v>7127</v>
      </c>
      <c r="G3519" s="4" t="s">
        <v>243</v>
      </c>
      <c r="H3519" s="13"/>
    </row>
    <row r="3520" s="1" customFormat="1" spans="1:8">
      <c r="A3520" s="4" t="s">
        <v>205</v>
      </c>
      <c r="B3520" s="4" t="s">
        <v>88</v>
      </c>
      <c r="C3520" s="4" t="s">
        <v>6542</v>
      </c>
      <c r="D3520" s="4" t="s">
        <v>7128</v>
      </c>
      <c r="E3520" s="4">
        <v>4114609</v>
      </c>
      <c r="F3520" s="4" t="s">
        <v>7129</v>
      </c>
      <c r="G3520" s="4" t="s">
        <v>243</v>
      </c>
      <c r="H3520" s="13"/>
    </row>
    <row r="3521" s="1" customFormat="1" spans="1:8">
      <c r="A3521" s="4" t="s">
        <v>205</v>
      </c>
      <c r="B3521" s="4" t="s">
        <v>88</v>
      </c>
      <c r="C3521" s="4" t="s">
        <v>6542</v>
      </c>
      <c r="D3521" s="4" t="s">
        <v>7130</v>
      </c>
      <c r="E3521" s="4">
        <v>4114708</v>
      </c>
      <c r="F3521" s="4" t="s">
        <v>7131</v>
      </c>
      <c r="G3521" s="4" t="s">
        <v>243</v>
      </c>
      <c r="H3521" s="13"/>
    </row>
    <row r="3522" s="1" customFormat="1" spans="1:8">
      <c r="A3522" s="4" t="s">
        <v>205</v>
      </c>
      <c r="B3522" s="4" t="s">
        <v>88</v>
      </c>
      <c r="C3522" s="4" t="s">
        <v>6542</v>
      </c>
      <c r="D3522" s="4" t="s">
        <v>7132</v>
      </c>
      <c r="E3522" s="4">
        <v>4115002</v>
      </c>
      <c r="F3522" s="4" t="s">
        <v>7133</v>
      </c>
      <c r="G3522" s="4" t="s">
        <v>243</v>
      </c>
      <c r="H3522" s="13"/>
    </row>
    <row r="3523" s="1" customFormat="1" spans="1:8">
      <c r="A3523" s="4" t="s">
        <v>205</v>
      </c>
      <c r="B3523" s="4" t="s">
        <v>88</v>
      </c>
      <c r="C3523" s="4" t="s">
        <v>6542</v>
      </c>
      <c r="D3523" s="4" t="s">
        <v>7134</v>
      </c>
      <c r="E3523" s="4">
        <v>4115101</v>
      </c>
      <c r="F3523" s="4" t="s">
        <v>7135</v>
      </c>
      <c r="G3523" s="4" t="s">
        <v>243</v>
      </c>
      <c r="H3523" s="13"/>
    </row>
    <row r="3524" s="1" customFormat="1" spans="1:8">
      <c r="A3524" s="4" t="s">
        <v>205</v>
      </c>
      <c r="B3524" s="4" t="s">
        <v>88</v>
      </c>
      <c r="C3524" s="4" t="s">
        <v>6542</v>
      </c>
      <c r="D3524" s="4" t="s">
        <v>7136</v>
      </c>
      <c r="E3524" s="4">
        <v>4115358</v>
      </c>
      <c r="F3524" s="4" t="s">
        <v>7137</v>
      </c>
      <c r="G3524" s="4" t="s">
        <v>243</v>
      </c>
      <c r="H3524" s="13"/>
    </row>
    <row r="3525" s="1" customFormat="1" spans="1:8">
      <c r="A3525" s="4" t="s">
        <v>205</v>
      </c>
      <c r="B3525" s="4" t="s">
        <v>88</v>
      </c>
      <c r="C3525" s="4" t="s">
        <v>6542</v>
      </c>
      <c r="D3525" s="4" t="s">
        <v>7138</v>
      </c>
      <c r="E3525" s="4">
        <v>4115408</v>
      </c>
      <c r="F3525" s="4" t="s">
        <v>7139</v>
      </c>
      <c r="G3525" s="4" t="s">
        <v>243</v>
      </c>
      <c r="H3525" s="13"/>
    </row>
    <row r="3526" s="1" customFormat="1" spans="1:8">
      <c r="A3526" s="4" t="s">
        <v>205</v>
      </c>
      <c r="B3526" s="4" t="s">
        <v>88</v>
      </c>
      <c r="C3526" s="4" t="s">
        <v>6542</v>
      </c>
      <c r="D3526" s="4" t="s">
        <v>7140</v>
      </c>
      <c r="E3526" s="4">
        <v>4115606</v>
      </c>
      <c r="F3526" s="4" t="s">
        <v>7141</v>
      </c>
      <c r="G3526" s="4" t="s">
        <v>243</v>
      </c>
      <c r="H3526" s="13"/>
    </row>
    <row r="3527" s="1" customFormat="1" spans="1:8">
      <c r="A3527" s="4" t="s">
        <v>205</v>
      </c>
      <c r="B3527" s="4" t="s">
        <v>88</v>
      </c>
      <c r="C3527" s="4" t="s">
        <v>6542</v>
      </c>
      <c r="D3527" s="4" t="s">
        <v>7142</v>
      </c>
      <c r="E3527" s="4">
        <v>4115804</v>
      </c>
      <c r="F3527" s="4" t="s">
        <v>7143</v>
      </c>
      <c r="G3527" s="4" t="s">
        <v>243</v>
      </c>
      <c r="H3527" s="13"/>
    </row>
    <row r="3528" s="1" customFormat="1" spans="1:8">
      <c r="A3528" s="4" t="s">
        <v>205</v>
      </c>
      <c r="B3528" s="4" t="s">
        <v>88</v>
      </c>
      <c r="C3528" s="4" t="s">
        <v>6542</v>
      </c>
      <c r="D3528" s="4" t="s">
        <v>7144</v>
      </c>
      <c r="E3528" s="4">
        <v>4115853</v>
      </c>
      <c r="F3528" s="4" t="s">
        <v>7145</v>
      </c>
      <c r="G3528" s="4" t="s">
        <v>243</v>
      </c>
      <c r="H3528" s="13"/>
    </row>
    <row r="3529" s="1" customFormat="1" spans="1:8">
      <c r="A3529" s="4" t="s">
        <v>205</v>
      </c>
      <c r="B3529" s="4" t="s">
        <v>88</v>
      </c>
      <c r="C3529" s="4" t="s">
        <v>6542</v>
      </c>
      <c r="D3529" s="4" t="s">
        <v>2804</v>
      </c>
      <c r="E3529" s="4">
        <v>4115903</v>
      </c>
      <c r="F3529" s="4" t="s">
        <v>7146</v>
      </c>
      <c r="G3529" s="4" t="s">
        <v>243</v>
      </c>
      <c r="H3529" s="13"/>
    </row>
    <row r="3530" s="1" customFormat="1" spans="1:8">
      <c r="A3530" s="4" t="s">
        <v>205</v>
      </c>
      <c r="B3530" s="4" t="s">
        <v>88</v>
      </c>
      <c r="C3530" s="4" t="s">
        <v>6542</v>
      </c>
      <c r="D3530" s="4" t="s">
        <v>7147</v>
      </c>
      <c r="E3530" s="4">
        <v>4116000</v>
      </c>
      <c r="F3530" s="4" t="s">
        <v>7148</v>
      </c>
      <c r="G3530" s="4" t="s">
        <v>243</v>
      </c>
      <c r="H3530" s="13"/>
    </row>
    <row r="3531" s="1" customFormat="1" spans="1:8">
      <c r="A3531" s="4" t="s">
        <v>205</v>
      </c>
      <c r="B3531" s="4" t="s">
        <v>88</v>
      </c>
      <c r="C3531" s="4" t="s">
        <v>6542</v>
      </c>
      <c r="D3531" s="4" t="s">
        <v>7149</v>
      </c>
      <c r="E3531" s="4">
        <v>4116059</v>
      </c>
      <c r="F3531" s="4" t="s">
        <v>7150</v>
      </c>
      <c r="G3531" s="4" t="s">
        <v>243</v>
      </c>
      <c r="H3531" s="13"/>
    </row>
    <row r="3532" s="1" customFormat="1" spans="1:8">
      <c r="A3532" s="4" t="s">
        <v>205</v>
      </c>
      <c r="B3532" s="4" t="s">
        <v>88</v>
      </c>
      <c r="C3532" s="4" t="s">
        <v>6542</v>
      </c>
      <c r="D3532" s="4" t="s">
        <v>7151</v>
      </c>
      <c r="E3532" s="4">
        <v>4116109</v>
      </c>
      <c r="F3532" s="4" t="s">
        <v>7152</v>
      </c>
      <c r="G3532" s="4" t="s">
        <v>243</v>
      </c>
      <c r="H3532" s="13"/>
    </row>
    <row r="3533" s="1" customFormat="1" spans="1:8">
      <c r="A3533" s="4" t="s">
        <v>205</v>
      </c>
      <c r="B3533" s="4" t="s">
        <v>88</v>
      </c>
      <c r="C3533" s="4" t="s">
        <v>6542</v>
      </c>
      <c r="D3533" s="4" t="s">
        <v>7153</v>
      </c>
      <c r="E3533" s="4">
        <v>4116406</v>
      </c>
      <c r="F3533" s="4" t="s">
        <v>7154</v>
      </c>
      <c r="G3533" s="4" t="s">
        <v>243</v>
      </c>
      <c r="H3533" s="13"/>
    </row>
    <row r="3534" s="1" customFormat="1" spans="1:8">
      <c r="A3534" s="4" t="s">
        <v>205</v>
      </c>
      <c r="B3534" s="4" t="s">
        <v>88</v>
      </c>
      <c r="C3534" s="4" t="s">
        <v>6542</v>
      </c>
      <c r="D3534" s="4" t="s">
        <v>7155</v>
      </c>
      <c r="E3534" s="4">
        <v>4116505</v>
      </c>
      <c r="F3534" s="4" t="s">
        <v>7156</v>
      </c>
      <c r="G3534" s="4" t="s">
        <v>243</v>
      </c>
      <c r="H3534" s="13"/>
    </row>
    <row r="3535" s="1" customFormat="1" spans="1:8">
      <c r="A3535" s="4" t="s">
        <v>205</v>
      </c>
      <c r="B3535" s="4" t="s">
        <v>88</v>
      </c>
      <c r="C3535" s="4" t="s">
        <v>6542</v>
      </c>
      <c r="D3535" s="4" t="s">
        <v>2220</v>
      </c>
      <c r="E3535" s="4">
        <v>4116703</v>
      </c>
      <c r="F3535" s="4" t="s">
        <v>7157</v>
      </c>
      <c r="G3535" s="4" t="s">
        <v>243</v>
      </c>
      <c r="H3535" s="13"/>
    </row>
    <row r="3536" s="1" customFormat="1" spans="1:8">
      <c r="A3536" s="4" t="s">
        <v>205</v>
      </c>
      <c r="B3536" s="4" t="s">
        <v>88</v>
      </c>
      <c r="C3536" s="4" t="s">
        <v>6542</v>
      </c>
      <c r="D3536" s="4" t="s">
        <v>7158</v>
      </c>
      <c r="E3536" s="4">
        <v>4116802</v>
      </c>
      <c r="F3536" s="4" t="s">
        <v>7159</v>
      </c>
      <c r="G3536" s="4" t="s">
        <v>243</v>
      </c>
      <c r="H3536" s="13"/>
    </row>
    <row r="3537" s="1" customFormat="1" spans="1:8">
      <c r="A3537" s="4" t="s">
        <v>205</v>
      </c>
      <c r="B3537" s="4" t="s">
        <v>88</v>
      </c>
      <c r="C3537" s="4" t="s">
        <v>6542</v>
      </c>
      <c r="D3537" s="4" t="s">
        <v>7160</v>
      </c>
      <c r="E3537" s="4">
        <v>4116901</v>
      </c>
      <c r="F3537" s="4" t="s">
        <v>7161</v>
      </c>
      <c r="G3537" s="4" t="s">
        <v>243</v>
      </c>
      <c r="H3537" s="13"/>
    </row>
    <row r="3538" s="1" customFormat="1" spans="1:8">
      <c r="A3538" s="4" t="s">
        <v>205</v>
      </c>
      <c r="B3538" s="4" t="s">
        <v>88</v>
      </c>
      <c r="C3538" s="4" t="s">
        <v>6542</v>
      </c>
      <c r="D3538" s="4" t="s">
        <v>7162</v>
      </c>
      <c r="E3538" s="4">
        <v>4116950</v>
      </c>
      <c r="F3538" s="4" t="s">
        <v>7163</v>
      </c>
      <c r="G3538" s="4" t="s">
        <v>243</v>
      </c>
      <c r="H3538" s="13"/>
    </row>
    <row r="3539" s="1" customFormat="1" spans="1:8">
      <c r="A3539" s="4" t="s">
        <v>205</v>
      </c>
      <c r="B3539" s="4" t="s">
        <v>88</v>
      </c>
      <c r="C3539" s="4" t="s">
        <v>6542</v>
      </c>
      <c r="D3539" s="4" t="s">
        <v>7164</v>
      </c>
      <c r="E3539" s="4">
        <v>4117107</v>
      </c>
      <c r="F3539" s="4" t="s">
        <v>7165</v>
      </c>
      <c r="G3539" s="4" t="s">
        <v>243</v>
      </c>
      <c r="H3539" s="13"/>
    </row>
    <row r="3540" s="1" customFormat="1" spans="1:8">
      <c r="A3540" s="4" t="s">
        <v>205</v>
      </c>
      <c r="B3540" s="4" t="s">
        <v>88</v>
      </c>
      <c r="C3540" s="4" t="s">
        <v>6542</v>
      </c>
      <c r="D3540" s="4" t="s">
        <v>4830</v>
      </c>
      <c r="E3540" s="4">
        <v>4117206</v>
      </c>
      <c r="F3540" s="4" t="s">
        <v>7166</v>
      </c>
      <c r="G3540" s="4" t="s">
        <v>243</v>
      </c>
      <c r="H3540" s="13"/>
    </row>
    <row r="3541" s="1" customFormat="1" spans="1:8">
      <c r="A3541" s="4" t="s">
        <v>205</v>
      </c>
      <c r="B3541" s="4" t="s">
        <v>88</v>
      </c>
      <c r="C3541" s="4" t="s">
        <v>6542</v>
      </c>
      <c r="D3541" s="4" t="s">
        <v>7167</v>
      </c>
      <c r="E3541" s="4">
        <v>4117255</v>
      </c>
      <c r="F3541" s="4" t="s">
        <v>7168</v>
      </c>
      <c r="G3541" s="4" t="s">
        <v>243</v>
      </c>
      <c r="H3541" s="13"/>
    </row>
    <row r="3542" s="1" customFormat="1" spans="1:8">
      <c r="A3542" s="4" t="s">
        <v>205</v>
      </c>
      <c r="B3542" s="4" t="s">
        <v>88</v>
      </c>
      <c r="C3542" s="4" t="s">
        <v>6542</v>
      </c>
      <c r="D3542" s="4" t="s">
        <v>7169</v>
      </c>
      <c r="E3542" s="4">
        <v>4117222</v>
      </c>
      <c r="F3542" s="4" t="s">
        <v>7170</v>
      </c>
      <c r="G3542" s="4" t="s">
        <v>243</v>
      </c>
      <c r="H3542" s="13"/>
    </row>
    <row r="3543" s="1" customFormat="1" spans="1:8">
      <c r="A3543" s="4" t="s">
        <v>205</v>
      </c>
      <c r="B3543" s="4" t="s">
        <v>88</v>
      </c>
      <c r="C3543" s="4" t="s">
        <v>6542</v>
      </c>
      <c r="D3543" s="4" t="s">
        <v>7171</v>
      </c>
      <c r="E3543" s="4">
        <v>4117404</v>
      </c>
      <c r="F3543" s="4" t="s">
        <v>7172</v>
      </c>
      <c r="G3543" s="4" t="s">
        <v>243</v>
      </c>
      <c r="H3543" s="13"/>
    </row>
    <row r="3544" s="1" customFormat="1" spans="1:8">
      <c r="A3544" s="4" t="s">
        <v>205</v>
      </c>
      <c r="B3544" s="4" t="s">
        <v>88</v>
      </c>
      <c r="C3544" s="4" t="s">
        <v>6542</v>
      </c>
      <c r="D3544" s="4" t="s">
        <v>7173</v>
      </c>
      <c r="E3544" s="4">
        <v>4117453</v>
      </c>
      <c r="F3544" s="4" t="s">
        <v>7174</v>
      </c>
      <c r="G3544" s="4" t="s">
        <v>243</v>
      </c>
      <c r="H3544" s="13"/>
    </row>
    <row r="3545" s="1" customFormat="1" spans="1:8">
      <c r="A3545" s="4" t="s">
        <v>205</v>
      </c>
      <c r="B3545" s="4" t="s">
        <v>88</v>
      </c>
      <c r="C3545" s="4" t="s">
        <v>6542</v>
      </c>
      <c r="D3545" s="4" t="s">
        <v>7175</v>
      </c>
      <c r="E3545" s="4">
        <v>4117909</v>
      </c>
      <c r="F3545" s="4" t="s">
        <v>7176</v>
      </c>
      <c r="G3545" s="4" t="s">
        <v>243</v>
      </c>
      <c r="H3545" s="13"/>
    </row>
    <row r="3546" s="1" customFormat="1" spans="1:8">
      <c r="A3546" s="4" t="s">
        <v>205</v>
      </c>
      <c r="B3546" s="4" t="s">
        <v>88</v>
      </c>
      <c r="C3546" s="4" t="s">
        <v>6542</v>
      </c>
      <c r="D3546" s="4" t="s">
        <v>7177</v>
      </c>
      <c r="E3546" s="4">
        <v>4118105</v>
      </c>
      <c r="F3546" s="4" t="s">
        <v>7178</v>
      </c>
      <c r="G3546" s="4" t="s">
        <v>243</v>
      </c>
      <c r="H3546" s="13"/>
    </row>
    <row r="3547" s="1" customFormat="1" spans="1:8">
      <c r="A3547" s="4" t="s">
        <v>205</v>
      </c>
      <c r="B3547" s="4" t="s">
        <v>88</v>
      </c>
      <c r="C3547" s="4" t="s">
        <v>6542</v>
      </c>
      <c r="D3547" s="4" t="s">
        <v>7179</v>
      </c>
      <c r="E3547" s="4">
        <v>4118303</v>
      </c>
      <c r="F3547" s="4" t="s">
        <v>7180</v>
      </c>
      <c r="G3547" s="4" t="s">
        <v>243</v>
      </c>
      <c r="H3547" s="13"/>
    </row>
    <row r="3548" s="1" customFormat="1" spans="1:8">
      <c r="A3548" s="4" t="s">
        <v>205</v>
      </c>
      <c r="B3548" s="4" t="s">
        <v>88</v>
      </c>
      <c r="C3548" s="4" t="s">
        <v>6542</v>
      </c>
      <c r="D3548" s="4" t="s">
        <v>7181</v>
      </c>
      <c r="E3548" s="4">
        <v>4118402</v>
      </c>
      <c r="F3548" s="4" t="s">
        <v>7182</v>
      </c>
      <c r="G3548" s="4" t="s">
        <v>243</v>
      </c>
      <c r="H3548" s="13"/>
    </row>
    <row r="3549" s="1" customFormat="1" spans="1:8">
      <c r="A3549" s="4" t="s">
        <v>205</v>
      </c>
      <c r="B3549" s="4" t="s">
        <v>88</v>
      </c>
      <c r="C3549" s="4" t="s">
        <v>6542</v>
      </c>
      <c r="D3549" s="4" t="s">
        <v>7183</v>
      </c>
      <c r="E3549" s="4">
        <v>4118006</v>
      </c>
      <c r="F3549" s="4" t="s">
        <v>7184</v>
      </c>
      <c r="G3549" s="4" t="s">
        <v>243</v>
      </c>
      <c r="H3549" s="13"/>
    </row>
    <row r="3550" s="1" customFormat="1" spans="1:8">
      <c r="A3550" s="4" t="s">
        <v>205</v>
      </c>
      <c r="B3550" s="4" t="s">
        <v>88</v>
      </c>
      <c r="C3550" s="4" t="s">
        <v>6542</v>
      </c>
      <c r="D3550" s="4" t="s">
        <v>7185</v>
      </c>
      <c r="E3550" s="4">
        <v>4118451</v>
      </c>
      <c r="F3550" s="4" t="s">
        <v>7186</v>
      </c>
      <c r="G3550" s="4" t="s">
        <v>243</v>
      </c>
      <c r="H3550" s="13"/>
    </row>
    <row r="3551" s="1" customFormat="1" spans="1:8">
      <c r="A3551" s="4" t="s">
        <v>205</v>
      </c>
      <c r="B3551" s="4" t="s">
        <v>88</v>
      </c>
      <c r="C3551" s="4" t="s">
        <v>6542</v>
      </c>
      <c r="D3551" s="4" t="s">
        <v>7187</v>
      </c>
      <c r="E3551" s="4">
        <v>4118808</v>
      </c>
      <c r="F3551" s="4" t="s">
        <v>7188</v>
      </c>
      <c r="G3551" s="4" t="s">
        <v>243</v>
      </c>
      <c r="H3551" s="13"/>
    </row>
    <row r="3552" s="1" customFormat="1" spans="1:8">
      <c r="A3552" s="4" t="s">
        <v>205</v>
      </c>
      <c r="B3552" s="4" t="s">
        <v>88</v>
      </c>
      <c r="C3552" s="4" t="s">
        <v>6542</v>
      </c>
      <c r="D3552" s="4" t="s">
        <v>7189</v>
      </c>
      <c r="E3552" s="4">
        <v>4118857</v>
      </c>
      <c r="F3552" s="4" t="s">
        <v>7190</v>
      </c>
      <c r="G3552" s="4" t="s">
        <v>243</v>
      </c>
      <c r="H3552" s="13"/>
    </row>
    <row r="3553" s="1" customFormat="1" spans="1:8">
      <c r="A3553" s="4" t="s">
        <v>205</v>
      </c>
      <c r="B3553" s="4" t="s">
        <v>88</v>
      </c>
      <c r="C3553" s="4" t="s">
        <v>6542</v>
      </c>
      <c r="D3553" s="4" t="s">
        <v>7191</v>
      </c>
      <c r="E3553" s="4">
        <v>4119251</v>
      </c>
      <c r="F3553" s="4" t="s">
        <v>7192</v>
      </c>
      <c r="G3553" s="4" t="s">
        <v>243</v>
      </c>
      <c r="H3553" s="13"/>
    </row>
    <row r="3554" s="1" customFormat="1" spans="1:8">
      <c r="A3554" s="4" t="s">
        <v>205</v>
      </c>
      <c r="B3554" s="4" t="s">
        <v>88</v>
      </c>
      <c r="C3554" s="4" t="s">
        <v>6542</v>
      </c>
      <c r="D3554" s="4" t="s">
        <v>7193</v>
      </c>
      <c r="E3554" s="4">
        <v>4119707</v>
      </c>
      <c r="F3554" s="4" t="s">
        <v>7194</v>
      </c>
      <c r="G3554" s="4" t="s">
        <v>243</v>
      </c>
      <c r="H3554" s="13"/>
    </row>
    <row r="3555" s="1" customFormat="1" spans="1:8">
      <c r="A3555" s="4" t="s">
        <v>205</v>
      </c>
      <c r="B3555" s="4" t="s">
        <v>88</v>
      </c>
      <c r="C3555" s="4" t="s">
        <v>6542</v>
      </c>
      <c r="D3555" s="4" t="s">
        <v>1201</v>
      </c>
      <c r="E3555" s="4">
        <v>4119806</v>
      </c>
      <c r="F3555" s="4" t="s">
        <v>7195</v>
      </c>
      <c r="G3555" s="4" t="s">
        <v>243</v>
      </c>
      <c r="H3555" s="13"/>
    </row>
    <row r="3556" s="1" customFormat="1" spans="1:8">
      <c r="A3556" s="4" t="s">
        <v>205</v>
      </c>
      <c r="B3556" s="4" t="s">
        <v>88</v>
      </c>
      <c r="C3556" s="4" t="s">
        <v>6542</v>
      </c>
      <c r="D3556" s="4" t="s">
        <v>7196</v>
      </c>
      <c r="E3556" s="4">
        <v>4120002</v>
      </c>
      <c r="F3556" s="4" t="s">
        <v>7197</v>
      </c>
      <c r="G3556" s="4" t="s">
        <v>243</v>
      </c>
      <c r="H3556" s="13"/>
    </row>
    <row r="3557" s="1" customFormat="1" spans="1:8">
      <c r="A3557" s="4" t="s">
        <v>205</v>
      </c>
      <c r="B3557" s="4" t="s">
        <v>88</v>
      </c>
      <c r="C3557" s="4" t="s">
        <v>6542</v>
      </c>
      <c r="D3557" s="4" t="s">
        <v>7198</v>
      </c>
      <c r="E3557" s="4">
        <v>4120200</v>
      </c>
      <c r="F3557" s="4" t="s">
        <v>7199</v>
      </c>
      <c r="G3557" s="4" t="s">
        <v>243</v>
      </c>
      <c r="H3557" s="13"/>
    </row>
    <row r="3558" s="1" customFormat="1" spans="1:8">
      <c r="A3558" s="4" t="s">
        <v>205</v>
      </c>
      <c r="B3558" s="4" t="s">
        <v>88</v>
      </c>
      <c r="C3558" s="4" t="s">
        <v>6542</v>
      </c>
      <c r="D3558" s="4" t="s">
        <v>7200</v>
      </c>
      <c r="E3558" s="4">
        <v>4120358</v>
      </c>
      <c r="F3558" s="4" t="s">
        <v>7201</v>
      </c>
      <c r="G3558" s="4" t="s">
        <v>243</v>
      </c>
      <c r="H3558" s="13"/>
    </row>
    <row r="3559" s="1" customFormat="1" spans="1:8">
      <c r="A3559" s="4" t="s">
        <v>205</v>
      </c>
      <c r="B3559" s="4" t="s">
        <v>88</v>
      </c>
      <c r="C3559" s="4" t="s">
        <v>6542</v>
      </c>
      <c r="D3559" s="4" t="s">
        <v>7202</v>
      </c>
      <c r="E3559" s="4">
        <v>4120408</v>
      </c>
      <c r="F3559" s="4" t="s">
        <v>7203</v>
      </c>
      <c r="G3559" s="4" t="s">
        <v>243</v>
      </c>
      <c r="H3559" s="13"/>
    </row>
    <row r="3560" s="1" customFormat="1" spans="1:8">
      <c r="A3560" s="4" t="s">
        <v>205</v>
      </c>
      <c r="B3560" s="4" t="s">
        <v>88</v>
      </c>
      <c r="C3560" s="4" t="s">
        <v>6542</v>
      </c>
      <c r="D3560" s="4" t="s">
        <v>7204</v>
      </c>
      <c r="E3560" s="4">
        <v>4120507</v>
      </c>
      <c r="F3560" s="4" t="s">
        <v>7205</v>
      </c>
      <c r="G3560" s="4" t="s">
        <v>243</v>
      </c>
      <c r="H3560" s="13"/>
    </row>
    <row r="3561" s="1" customFormat="1" spans="1:8">
      <c r="A3561" s="4" t="s">
        <v>205</v>
      </c>
      <c r="B3561" s="4" t="s">
        <v>88</v>
      </c>
      <c r="C3561" s="4" t="s">
        <v>6542</v>
      </c>
      <c r="D3561" s="4" t="s">
        <v>7206</v>
      </c>
      <c r="E3561" s="4">
        <v>4118907</v>
      </c>
      <c r="F3561" s="4" t="s">
        <v>7207</v>
      </c>
      <c r="G3561" s="4" t="s">
        <v>243</v>
      </c>
      <c r="H3561" s="13"/>
    </row>
    <row r="3562" s="1" customFormat="1" spans="1:8">
      <c r="A3562" s="4" t="s">
        <v>205</v>
      </c>
      <c r="B3562" s="4" t="s">
        <v>88</v>
      </c>
      <c r="C3562" s="4" t="s">
        <v>6542</v>
      </c>
      <c r="D3562" s="4" t="s">
        <v>7208</v>
      </c>
      <c r="E3562" s="4">
        <v>4119004</v>
      </c>
      <c r="F3562" s="4" t="s">
        <v>7209</v>
      </c>
      <c r="G3562" s="4" t="s">
        <v>243</v>
      </c>
      <c r="H3562" s="13"/>
    </row>
    <row r="3563" s="1" customFormat="1" spans="1:8">
      <c r="A3563" s="4" t="s">
        <v>205</v>
      </c>
      <c r="B3563" s="4" t="s">
        <v>88</v>
      </c>
      <c r="C3563" s="4" t="s">
        <v>6542</v>
      </c>
      <c r="D3563" s="4" t="s">
        <v>7210</v>
      </c>
      <c r="E3563" s="4">
        <v>4120655</v>
      </c>
      <c r="F3563" s="4" t="s">
        <v>7211</v>
      </c>
      <c r="G3563" s="4" t="s">
        <v>243</v>
      </c>
      <c r="H3563" s="13"/>
    </row>
    <row r="3564" s="1" customFormat="1" spans="1:8">
      <c r="A3564" s="4" t="s">
        <v>205</v>
      </c>
      <c r="B3564" s="4" t="s">
        <v>88</v>
      </c>
      <c r="C3564" s="4" t="s">
        <v>6542</v>
      </c>
      <c r="D3564" s="4" t="s">
        <v>7212</v>
      </c>
      <c r="E3564" s="4">
        <v>4120853</v>
      </c>
      <c r="F3564" s="4" t="s">
        <v>7213</v>
      </c>
      <c r="G3564" s="4" t="s">
        <v>243</v>
      </c>
      <c r="H3564" s="13"/>
    </row>
    <row r="3565" s="1" customFormat="1" spans="1:8">
      <c r="A3565" s="4" t="s">
        <v>205</v>
      </c>
      <c r="B3565" s="4" t="s">
        <v>88</v>
      </c>
      <c r="C3565" s="4" t="s">
        <v>6542</v>
      </c>
      <c r="D3565" s="4" t="s">
        <v>7214</v>
      </c>
      <c r="E3565" s="4">
        <v>4121000</v>
      </c>
      <c r="F3565" s="4" t="s">
        <v>7215</v>
      </c>
      <c r="G3565" s="4" t="s">
        <v>243</v>
      </c>
      <c r="H3565" s="13"/>
    </row>
    <row r="3566" s="1" customFormat="1" spans="1:8">
      <c r="A3566" s="4" t="s">
        <v>205</v>
      </c>
      <c r="B3566" s="4" t="s">
        <v>88</v>
      </c>
      <c r="C3566" s="4" t="s">
        <v>6542</v>
      </c>
      <c r="D3566" s="4" t="s">
        <v>7216</v>
      </c>
      <c r="E3566" s="4">
        <v>4121109</v>
      </c>
      <c r="F3566" s="4" t="s">
        <v>7217</v>
      </c>
      <c r="G3566" s="4" t="s">
        <v>243</v>
      </c>
      <c r="H3566" s="13"/>
    </row>
    <row r="3567" s="1" customFormat="1" spans="1:8">
      <c r="A3567" s="4" t="s">
        <v>205</v>
      </c>
      <c r="B3567" s="4" t="s">
        <v>88</v>
      </c>
      <c r="C3567" s="4" t="s">
        <v>6542</v>
      </c>
      <c r="D3567" s="4" t="s">
        <v>7218</v>
      </c>
      <c r="E3567" s="4">
        <v>4121257</v>
      </c>
      <c r="F3567" s="4" t="s">
        <v>7219</v>
      </c>
      <c r="G3567" s="4" t="s">
        <v>243</v>
      </c>
      <c r="H3567" s="13"/>
    </row>
    <row r="3568" s="1" customFormat="1" spans="1:8">
      <c r="A3568" s="4" t="s">
        <v>205</v>
      </c>
      <c r="B3568" s="4" t="s">
        <v>88</v>
      </c>
      <c r="C3568" s="4" t="s">
        <v>6542</v>
      </c>
      <c r="D3568" s="4" t="s">
        <v>7220</v>
      </c>
      <c r="E3568" s="4">
        <v>4121356</v>
      </c>
      <c r="F3568" s="4" t="s">
        <v>7221</v>
      </c>
      <c r="G3568" s="4" t="s">
        <v>243</v>
      </c>
      <c r="H3568" s="13"/>
    </row>
    <row r="3569" s="1" customFormat="1" spans="1:8">
      <c r="A3569" s="4" t="s">
        <v>205</v>
      </c>
      <c r="B3569" s="4" t="s">
        <v>88</v>
      </c>
      <c r="C3569" s="4" t="s">
        <v>6542</v>
      </c>
      <c r="D3569" s="4" t="s">
        <v>7222</v>
      </c>
      <c r="E3569" s="4">
        <v>4121406</v>
      </c>
      <c r="F3569" s="4" t="s">
        <v>7223</v>
      </c>
      <c r="G3569" s="4" t="s">
        <v>243</v>
      </c>
      <c r="H3569" s="13"/>
    </row>
    <row r="3570" s="1" customFormat="1" spans="1:8">
      <c r="A3570" s="4" t="s">
        <v>205</v>
      </c>
      <c r="B3570" s="4" t="s">
        <v>88</v>
      </c>
      <c r="C3570" s="4" t="s">
        <v>6542</v>
      </c>
      <c r="D3570" s="4" t="s">
        <v>7224</v>
      </c>
      <c r="E3570" s="4">
        <v>4121604</v>
      </c>
      <c r="F3570" s="4" t="s">
        <v>7225</v>
      </c>
      <c r="G3570" s="4" t="s">
        <v>243</v>
      </c>
      <c r="H3570" s="13"/>
    </row>
    <row r="3571" s="1" customFormat="1" spans="1:8">
      <c r="A3571" s="4" t="s">
        <v>205</v>
      </c>
      <c r="B3571" s="4" t="s">
        <v>88</v>
      </c>
      <c r="C3571" s="4" t="s">
        <v>6542</v>
      </c>
      <c r="D3571" s="4" t="s">
        <v>7226</v>
      </c>
      <c r="E3571" s="4">
        <v>4122602</v>
      </c>
      <c r="F3571" s="4" t="s">
        <v>7227</v>
      </c>
      <c r="G3571" s="4" t="s">
        <v>243</v>
      </c>
      <c r="H3571" s="13"/>
    </row>
    <row r="3572" s="1" customFormat="1" spans="1:8">
      <c r="A3572" s="4" t="s">
        <v>205</v>
      </c>
      <c r="B3572" s="4" t="s">
        <v>88</v>
      </c>
      <c r="C3572" s="4" t="s">
        <v>6542</v>
      </c>
      <c r="D3572" s="4" t="s">
        <v>7228</v>
      </c>
      <c r="E3572" s="4">
        <v>4122800</v>
      </c>
      <c r="F3572" s="4" t="s">
        <v>7229</v>
      </c>
      <c r="G3572" s="4" t="s">
        <v>243</v>
      </c>
      <c r="H3572" s="13"/>
    </row>
    <row r="3573" s="1" customFormat="1" spans="1:8">
      <c r="A3573" s="4" t="s">
        <v>205</v>
      </c>
      <c r="B3573" s="4" t="s">
        <v>88</v>
      </c>
      <c r="C3573" s="4" t="s">
        <v>6542</v>
      </c>
      <c r="D3573" s="4" t="s">
        <v>7230</v>
      </c>
      <c r="E3573" s="4">
        <v>4123006</v>
      </c>
      <c r="F3573" s="4" t="s">
        <v>7231</v>
      </c>
      <c r="G3573" s="4" t="s">
        <v>243</v>
      </c>
      <c r="H3573" s="13"/>
    </row>
    <row r="3574" s="1" customFormat="1" spans="1:8">
      <c r="A3574" s="4" t="s">
        <v>205</v>
      </c>
      <c r="B3574" s="4" t="s">
        <v>88</v>
      </c>
      <c r="C3574" s="4" t="s">
        <v>6542</v>
      </c>
      <c r="D3574" s="4" t="s">
        <v>7232</v>
      </c>
      <c r="E3574" s="4">
        <v>4123303</v>
      </c>
      <c r="F3574" s="4" t="s">
        <v>7233</v>
      </c>
      <c r="G3574" s="4" t="s">
        <v>243</v>
      </c>
      <c r="H3574" s="13"/>
    </row>
    <row r="3575" s="1" customFormat="1" spans="1:8">
      <c r="A3575" s="4" t="s">
        <v>205</v>
      </c>
      <c r="B3575" s="4" t="s">
        <v>88</v>
      </c>
      <c r="C3575" s="4" t="s">
        <v>6542</v>
      </c>
      <c r="D3575" s="4" t="s">
        <v>7234</v>
      </c>
      <c r="E3575" s="4">
        <v>4123402</v>
      </c>
      <c r="F3575" s="4" t="s">
        <v>7235</v>
      </c>
      <c r="G3575" s="4" t="s">
        <v>243</v>
      </c>
      <c r="H3575" s="13"/>
    </row>
    <row r="3576" s="1" customFormat="1" spans="1:8">
      <c r="A3576" s="4" t="s">
        <v>205</v>
      </c>
      <c r="B3576" s="4" t="s">
        <v>88</v>
      </c>
      <c r="C3576" s="4" t="s">
        <v>6542</v>
      </c>
      <c r="D3576" s="4" t="s">
        <v>2716</v>
      </c>
      <c r="E3576" s="4">
        <v>4123501</v>
      </c>
      <c r="F3576" s="4" t="s">
        <v>7236</v>
      </c>
      <c r="G3576" s="4" t="s">
        <v>243</v>
      </c>
      <c r="H3576" s="13"/>
    </row>
    <row r="3577" s="1" customFormat="1" spans="1:8">
      <c r="A3577" s="4" t="s">
        <v>205</v>
      </c>
      <c r="B3577" s="4" t="s">
        <v>88</v>
      </c>
      <c r="C3577" s="4" t="s">
        <v>6542</v>
      </c>
      <c r="D3577" s="4" t="s">
        <v>825</v>
      </c>
      <c r="E3577" s="4">
        <v>4123600</v>
      </c>
      <c r="F3577" s="4" t="s">
        <v>7237</v>
      </c>
      <c r="G3577" s="4" t="s">
        <v>243</v>
      </c>
      <c r="H3577" s="13"/>
    </row>
    <row r="3578" s="1" customFormat="1" spans="1:8">
      <c r="A3578" s="4" t="s">
        <v>205</v>
      </c>
      <c r="B3578" s="4" t="s">
        <v>88</v>
      </c>
      <c r="C3578" s="4" t="s">
        <v>6542</v>
      </c>
      <c r="D3578" s="4" t="s">
        <v>7238</v>
      </c>
      <c r="E3578" s="4">
        <v>4123709</v>
      </c>
      <c r="F3578" s="4" t="s">
        <v>7239</v>
      </c>
      <c r="G3578" s="4" t="s">
        <v>243</v>
      </c>
      <c r="H3578" s="13"/>
    </row>
    <row r="3579" s="1" customFormat="1" spans="1:8">
      <c r="A3579" s="4" t="s">
        <v>205</v>
      </c>
      <c r="B3579" s="4" t="s">
        <v>88</v>
      </c>
      <c r="C3579" s="4" t="s">
        <v>6542</v>
      </c>
      <c r="D3579" s="4" t="s">
        <v>7240</v>
      </c>
      <c r="E3579" s="4">
        <v>4123808</v>
      </c>
      <c r="F3579" s="4" t="s">
        <v>7241</v>
      </c>
      <c r="G3579" s="4" t="s">
        <v>243</v>
      </c>
      <c r="H3579" s="13"/>
    </row>
    <row r="3580" s="1" customFormat="1" spans="1:8">
      <c r="A3580" s="4" t="s">
        <v>205</v>
      </c>
      <c r="B3580" s="4" t="s">
        <v>88</v>
      </c>
      <c r="C3580" s="4" t="s">
        <v>6542</v>
      </c>
      <c r="D3580" s="4" t="s">
        <v>7242</v>
      </c>
      <c r="E3580" s="4">
        <v>4123824</v>
      </c>
      <c r="F3580" s="4" t="s">
        <v>7243</v>
      </c>
      <c r="G3580" s="4" t="s">
        <v>243</v>
      </c>
      <c r="H3580" s="13"/>
    </row>
    <row r="3581" s="1" customFormat="1" spans="1:8">
      <c r="A3581" s="4" t="s">
        <v>205</v>
      </c>
      <c r="B3581" s="4" t="s">
        <v>88</v>
      </c>
      <c r="C3581" s="4" t="s">
        <v>6542</v>
      </c>
      <c r="D3581" s="4" t="s">
        <v>7244</v>
      </c>
      <c r="E3581" s="4">
        <v>4123956</v>
      </c>
      <c r="F3581" s="4" t="s">
        <v>7245</v>
      </c>
      <c r="G3581" s="4" t="s">
        <v>243</v>
      </c>
      <c r="H3581" s="13"/>
    </row>
    <row r="3582" s="1" customFormat="1" spans="1:8">
      <c r="A3582" s="4" t="s">
        <v>205</v>
      </c>
      <c r="B3582" s="4" t="s">
        <v>88</v>
      </c>
      <c r="C3582" s="4" t="s">
        <v>6542</v>
      </c>
      <c r="D3582" s="4" t="s">
        <v>7246</v>
      </c>
      <c r="E3582" s="4">
        <v>4124020</v>
      </c>
      <c r="F3582" s="4" t="s">
        <v>7247</v>
      </c>
      <c r="G3582" s="4" t="s">
        <v>243</v>
      </c>
      <c r="H3582" s="13"/>
    </row>
    <row r="3583" s="1" customFormat="1" spans="1:8">
      <c r="A3583" s="4" t="s">
        <v>205</v>
      </c>
      <c r="B3583" s="4" t="s">
        <v>88</v>
      </c>
      <c r="C3583" s="4" t="s">
        <v>6542</v>
      </c>
      <c r="D3583" s="4" t="s">
        <v>7248</v>
      </c>
      <c r="E3583" s="4">
        <v>4124053</v>
      </c>
      <c r="F3583" s="4" t="s">
        <v>7249</v>
      </c>
      <c r="G3583" s="4" t="s">
        <v>243</v>
      </c>
      <c r="H3583" s="13"/>
    </row>
    <row r="3584" s="1" customFormat="1" spans="1:8">
      <c r="A3584" s="4" t="s">
        <v>205</v>
      </c>
      <c r="B3584" s="4" t="s">
        <v>88</v>
      </c>
      <c r="C3584" s="4" t="s">
        <v>6542</v>
      </c>
      <c r="D3584" s="4" t="s">
        <v>7250</v>
      </c>
      <c r="E3584" s="4">
        <v>4124202</v>
      </c>
      <c r="F3584" s="4" t="s">
        <v>7251</v>
      </c>
      <c r="G3584" s="4" t="s">
        <v>243</v>
      </c>
      <c r="H3584" s="13"/>
    </row>
    <row r="3585" s="1" customFormat="1" spans="1:8">
      <c r="A3585" s="4" t="s">
        <v>205</v>
      </c>
      <c r="B3585" s="4" t="s">
        <v>88</v>
      </c>
      <c r="C3585" s="4" t="s">
        <v>6542</v>
      </c>
      <c r="D3585" s="4" t="s">
        <v>7252</v>
      </c>
      <c r="E3585" s="4">
        <v>4124509</v>
      </c>
      <c r="F3585" s="4" t="s">
        <v>7253</v>
      </c>
      <c r="G3585" s="4" t="s">
        <v>243</v>
      </c>
      <c r="H3585" s="13"/>
    </row>
    <row r="3586" s="1" customFormat="1" spans="1:8">
      <c r="A3586" s="4" t="s">
        <v>205</v>
      </c>
      <c r="B3586" s="4" t="s">
        <v>88</v>
      </c>
      <c r="C3586" s="4" t="s">
        <v>6542</v>
      </c>
      <c r="D3586" s="4" t="s">
        <v>7254</v>
      </c>
      <c r="E3586" s="4">
        <v>4126355</v>
      </c>
      <c r="F3586" s="4" t="s">
        <v>7255</v>
      </c>
      <c r="G3586" s="4" t="s">
        <v>243</v>
      </c>
      <c r="H3586" s="13"/>
    </row>
    <row r="3587" s="1" customFormat="1" spans="1:8">
      <c r="A3587" s="4" t="s">
        <v>205</v>
      </c>
      <c r="B3587" s="4" t="s">
        <v>88</v>
      </c>
      <c r="C3587" s="4" t="s">
        <v>6542</v>
      </c>
      <c r="D3587" s="4" t="s">
        <v>7256</v>
      </c>
      <c r="E3587" s="4">
        <v>4124608</v>
      </c>
      <c r="F3587" s="4" t="s">
        <v>7257</v>
      </c>
      <c r="G3587" s="4" t="s">
        <v>243</v>
      </c>
      <c r="H3587" s="13"/>
    </row>
    <row r="3588" s="1" customFormat="1" spans="1:8">
      <c r="A3588" s="4" t="s">
        <v>205</v>
      </c>
      <c r="B3588" s="4" t="s">
        <v>88</v>
      </c>
      <c r="C3588" s="4" t="s">
        <v>6542</v>
      </c>
      <c r="D3588" s="4" t="s">
        <v>7258</v>
      </c>
      <c r="E3588" s="4">
        <v>4125308</v>
      </c>
      <c r="F3588" s="4" t="s">
        <v>7259</v>
      </c>
      <c r="G3588" s="4" t="s">
        <v>243</v>
      </c>
      <c r="H3588" s="13"/>
    </row>
    <row r="3589" s="1" customFormat="1" spans="1:8">
      <c r="A3589" s="4" t="s">
        <v>205</v>
      </c>
      <c r="B3589" s="4" t="s">
        <v>88</v>
      </c>
      <c r="C3589" s="4" t="s">
        <v>6542</v>
      </c>
      <c r="D3589" s="4" t="s">
        <v>7260</v>
      </c>
      <c r="E3589" s="4">
        <v>4125357</v>
      </c>
      <c r="F3589" s="4" t="s">
        <v>7261</v>
      </c>
      <c r="G3589" s="4" t="s">
        <v>243</v>
      </c>
      <c r="H3589" s="13"/>
    </row>
    <row r="3590" s="1" customFormat="1" spans="1:8">
      <c r="A3590" s="4" t="s">
        <v>205</v>
      </c>
      <c r="B3590" s="4" t="s">
        <v>88</v>
      </c>
      <c r="C3590" s="4" t="s">
        <v>6542</v>
      </c>
      <c r="D3590" s="4" t="s">
        <v>7262</v>
      </c>
      <c r="E3590" s="4">
        <v>4125209</v>
      </c>
      <c r="F3590" s="4" t="s">
        <v>7263</v>
      </c>
      <c r="G3590" s="4" t="s">
        <v>243</v>
      </c>
      <c r="H3590" s="13"/>
    </row>
    <row r="3591" s="1" customFormat="1" spans="1:8">
      <c r="A3591" s="4" t="s">
        <v>205</v>
      </c>
      <c r="B3591" s="4" t="s">
        <v>88</v>
      </c>
      <c r="C3591" s="4" t="s">
        <v>6542</v>
      </c>
      <c r="D3591" s="4" t="s">
        <v>7264</v>
      </c>
      <c r="E3591" s="4">
        <v>4125456</v>
      </c>
      <c r="F3591" s="4" t="s">
        <v>7265</v>
      </c>
      <c r="G3591" s="4" t="s">
        <v>243</v>
      </c>
      <c r="H3591" s="13"/>
    </row>
    <row r="3592" s="1" customFormat="1" spans="1:8">
      <c r="A3592" s="4" t="s">
        <v>205</v>
      </c>
      <c r="B3592" s="4" t="s">
        <v>88</v>
      </c>
      <c r="C3592" s="4" t="s">
        <v>6542</v>
      </c>
      <c r="D3592" s="4" t="s">
        <v>7266</v>
      </c>
      <c r="E3592" s="4">
        <v>4124905</v>
      </c>
      <c r="F3592" s="4" t="s">
        <v>7267</v>
      </c>
      <c r="G3592" s="4" t="s">
        <v>243</v>
      </c>
      <c r="H3592" s="13"/>
    </row>
    <row r="3593" s="1" customFormat="1" spans="1:8">
      <c r="A3593" s="4" t="s">
        <v>205</v>
      </c>
      <c r="B3593" s="4" t="s">
        <v>88</v>
      </c>
      <c r="C3593" s="4" t="s">
        <v>6542</v>
      </c>
      <c r="D3593" s="4" t="s">
        <v>7268</v>
      </c>
      <c r="E3593" s="4">
        <v>4125555</v>
      </c>
      <c r="F3593" s="4" t="s">
        <v>7269</v>
      </c>
      <c r="G3593" s="4" t="s">
        <v>243</v>
      </c>
      <c r="H3593" s="13"/>
    </row>
    <row r="3594" s="1" customFormat="1" spans="1:8">
      <c r="A3594" s="4" t="s">
        <v>205</v>
      </c>
      <c r="B3594" s="4" t="s">
        <v>88</v>
      </c>
      <c r="C3594" s="4" t="s">
        <v>6542</v>
      </c>
      <c r="D3594" s="4" t="s">
        <v>7270</v>
      </c>
      <c r="E3594" s="4">
        <v>4125704</v>
      </c>
      <c r="F3594" s="4" t="s">
        <v>7271</v>
      </c>
      <c r="G3594" s="4" t="s">
        <v>243</v>
      </c>
      <c r="H3594" s="13"/>
    </row>
    <row r="3595" s="1" customFormat="1" spans="1:8">
      <c r="A3595" s="4" t="s">
        <v>205</v>
      </c>
      <c r="B3595" s="4" t="s">
        <v>88</v>
      </c>
      <c r="C3595" s="4" t="s">
        <v>6542</v>
      </c>
      <c r="D3595" s="4" t="s">
        <v>7272</v>
      </c>
      <c r="E3595" s="4">
        <v>4125753</v>
      </c>
      <c r="F3595" s="4" t="s">
        <v>7273</v>
      </c>
      <c r="G3595" s="4" t="s">
        <v>243</v>
      </c>
      <c r="H3595" s="13"/>
    </row>
    <row r="3596" s="1" customFormat="1" spans="1:8">
      <c r="A3596" s="4" t="s">
        <v>205</v>
      </c>
      <c r="B3596" s="4" t="s">
        <v>88</v>
      </c>
      <c r="C3596" s="4" t="s">
        <v>6542</v>
      </c>
      <c r="D3596" s="4" t="s">
        <v>7274</v>
      </c>
      <c r="E3596" s="4">
        <v>4125902</v>
      </c>
      <c r="F3596" s="4" t="s">
        <v>7275</v>
      </c>
      <c r="G3596" s="4" t="s">
        <v>243</v>
      </c>
      <c r="H3596" s="13"/>
    </row>
    <row r="3597" s="1" customFormat="1" spans="1:8">
      <c r="A3597" s="4" t="s">
        <v>205</v>
      </c>
      <c r="B3597" s="4" t="s">
        <v>88</v>
      </c>
      <c r="C3597" s="4" t="s">
        <v>6542</v>
      </c>
      <c r="D3597" s="4" t="s">
        <v>7276</v>
      </c>
      <c r="E3597" s="4">
        <v>4126108</v>
      </c>
      <c r="F3597" s="4" t="s">
        <v>7277</v>
      </c>
      <c r="G3597" s="4" t="s">
        <v>243</v>
      </c>
      <c r="H3597" s="13"/>
    </row>
    <row r="3598" s="1" customFormat="1" spans="1:8">
      <c r="A3598" s="4" t="s">
        <v>205</v>
      </c>
      <c r="B3598" s="4" t="s">
        <v>88</v>
      </c>
      <c r="C3598" s="4" t="s">
        <v>6542</v>
      </c>
      <c r="D3598" s="4" t="s">
        <v>7278</v>
      </c>
      <c r="E3598" s="4">
        <v>4126702</v>
      </c>
      <c r="F3598" s="4" t="s">
        <v>7279</v>
      </c>
      <c r="G3598" s="4" t="s">
        <v>243</v>
      </c>
      <c r="H3598" s="13"/>
    </row>
    <row r="3599" s="1" customFormat="1" spans="1:8">
      <c r="A3599" s="4" t="s">
        <v>205</v>
      </c>
      <c r="B3599" s="4" t="s">
        <v>88</v>
      </c>
      <c r="C3599" s="4" t="s">
        <v>6542</v>
      </c>
      <c r="D3599" s="4" t="s">
        <v>7280</v>
      </c>
      <c r="E3599" s="4">
        <v>4126801</v>
      </c>
      <c r="F3599" s="4" t="s">
        <v>7281</v>
      </c>
      <c r="G3599" s="4" t="s">
        <v>243</v>
      </c>
      <c r="H3599" s="13"/>
    </row>
    <row r="3600" s="1" customFormat="1" spans="1:8">
      <c r="A3600" s="4" t="s">
        <v>205</v>
      </c>
      <c r="B3600" s="4" t="s">
        <v>88</v>
      </c>
      <c r="C3600" s="4" t="s">
        <v>6542</v>
      </c>
      <c r="D3600" s="4" t="s">
        <v>4340</v>
      </c>
      <c r="E3600" s="4">
        <v>4126900</v>
      </c>
      <c r="F3600" s="4" t="s">
        <v>7282</v>
      </c>
      <c r="G3600" s="4" t="s">
        <v>243</v>
      </c>
      <c r="H3600" s="13"/>
    </row>
    <row r="3601" s="1" customFormat="1" spans="1:8">
      <c r="A3601" s="4" t="s">
        <v>205</v>
      </c>
      <c r="B3601" s="4" t="s">
        <v>88</v>
      </c>
      <c r="C3601" s="4" t="s">
        <v>6542</v>
      </c>
      <c r="D3601" s="4" t="s">
        <v>7283</v>
      </c>
      <c r="E3601" s="4">
        <v>4127205</v>
      </c>
      <c r="F3601" s="4" t="s">
        <v>7284</v>
      </c>
      <c r="G3601" s="4" t="s">
        <v>243</v>
      </c>
      <c r="H3601" s="13"/>
    </row>
    <row r="3602" s="1" customFormat="1" spans="1:8">
      <c r="A3602" s="4" t="s">
        <v>205</v>
      </c>
      <c r="B3602" s="4" t="s">
        <v>88</v>
      </c>
      <c r="C3602" s="4" t="s">
        <v>6542</v>
      </c>
      <c r="D3602" s="4" t="s">
        <v>7285</v>
      </c>
      <c r="E3602" s="4">
        <v>4127304</v>
      </c>
      <c r="F3602" s="4" t="s">
        <v>7286</v>
      </c>
      <c r="G3602" s="4" t="s">
        <v>243</v>
      </c>
      <c r="H3602" s="13"/>
    </row>
    <row r="3603" s="1" customFormat="1" spans="1:8">
      <c r="A3603" s="4" t="s">
        <v>205</v>
      </c>
      <c r="B3603" s="4" t="s">
        <v>88</v>
      </c>
      <c r="C3603" s="4" t="s">
        <v>6542</v>
      </c>
      <c r="D3603" s="4" t="s">
        <v>7287</v>
      </c>
      <c r="E3603" s="4">
        <v>4127403</v>
      </c>
      <c r="F3603" s="4" t="s">
        <v>7288</v>
      </c>
      <c r="G3603" s="4" t="s">
        <v>243</v>
      </c>
      <c r="H3603" s="13"/>
    </row>
    <row r="3604" s="1" customFormat="1" spans="1:8">
      <c r="A3604" s="4" t="s">
        <v>205</v>
      </c>
      <c r="B3604" s="4" t="s">
        <v>88</v>
      </c>
      <c r="C3604" s="4" t="s">
        <v>6542</v>
      </c>
      <c r="D3604" s="4" t="s">
        <v>4348</v>
      </c>
      <c r="E3604" s="4">
        <v>4127700</v>
      </c>
      <c r="F3604" s="4" t="s">
        <v>7289</v>
      </c>
      <c r="G3604" s="4" t="s">
        <v>243</v>
      </c>
      <c r="H3604" s="13"/>
    </row>
    <row r="3605" s="1" customFormat="1" spans="1:8">
      <c r="A3605" s="4" t="s">
        <v>205</v>
      </c>
      <c r="B3605" s="4" t="s">
        <v>88</v>
      </c>
      <c r="C3605" s="4" t="s">
        <v>6542</v>
      </c>
      <c r="D3605" s="4" t="s">
        <v>7290</v>
      </c>
      <c r="E3605" s="4">
        <v>4127858</v>
      </c>
      <c r="F3605" s="4" t="s">
        <v>7291</v>
      </c>
      <c r="G3605" s="4" t="s">
        <v>243</v>
      </c>
      <c r="H3605" s="13"/>
    </row>
    <row r="3606" s="1" customFormat="1" spans="1:8">
      <c r="A3606" s="4" t="s">
        <v>205</v>
      </c>
      <c r="B3606" s="4" t="s">
        <v>88</v>
      </c>
      <c r="C3606" s="4" t="s">
        <v>6542</v>
      </c>
      <c r="D3606" s="4" t="s">
        <v>7292</v>
      </c>
      <c r="E3606" s="4">
        <v>4127908</v>
      </c>
      <c r="F3606" s="4" t="s">
        <v>7293</v>
      </c>
      <c r="G3606" s="4" t="s">
        <v>243</v>
      </c>
      <c r="H3606" s="13"/>
    </row>
    <row r="3607" s="1" customFormat="1" spans="1:8">
      <c r="A3607" s="4" t="s">
        <v>205</v>
      </c>
      <c r="B3607" s="4" t="s">
        <v>88</v>
      </c>
      <c r="C3607" s="4" t="s">
        <v>6542</v>
      </c>
      <c r="D3607" s="4" t="s">
        <v>7294</v>
      </c>
      <c r="E3607" s="4">
        <v>4127957</v>
      </c>
      <c r="F3607" s="4" t="s">
        <v>7295</v>
      </c>
      <c r="G3607" s="4" t="s">
        <v>243</v>
      </c>
      <c r="H3607" s="13"/>
    </row>
    <row r="3608" s="1" customFormat="1" spans="1:8">
      <c r="A3608" s="4" t="s">
        <v>205</v>
      </c>
      <c r="B3608" s="4" t="s">
        <v>88</v>
      </c>
      <c r="C3608" s="4" t="s">
        <v>6542</v>
      </c>
      <c r="D3608" s="4" t="s">
        <v>7296</v>
      </c>
      <c r="E3608" s="4">
        <v>4128005</v>
      </c>
      <c r="F3608" s="4" t="s">
        <v>7297</v>
      </c>
      <c r="G3608" s="4" t="s">
        <v>243</v>
      </c>
      <c r="H3608" s="13"/>
    </row>
    <row r="3609" s="1" customFormat="1" spans="1:8">
      <c r="A3609" s="4" t="s">
        <v>205</v>
      </c>
      <c r="B3609" s="4" t="s">
        <v>88</v>
      </c>
      <c r="C3609" s="4" t="s">
        <v>6542</v>
      </c>
      <c r="D3609" s="4" t="s">
        <v>7298</v>
      </c>
      <c r="E3609" s="4">
        <v>4128104</v>
      </c>
      <c r="F3609" s="4" t="s">
        <v>7299</v>
      </c>
      <c r="G3609" s="4" t="s">
        <v>243</v>
      </c>
      <c r="H3609" s="13"/>
    </row>
    <row r="3610" s="1" customFormat="1" spans="1:8">
      <c r="A3610" s="4" t="s">
        <v>205</v>
      </c>
      <c r="B3610" s="4" t="s">
        <v>88</v>
      </c>
      <c r="C3610" s="4" t="s">
        <v>6542</v>
      </c>
      <c r="D3610" s="4" t="s">
        <v>7300</v>
      </c>
      <c r="E3610" s="4">
        <v>4128302</v>
      </c>
      <c r="F3610" s="4" t="s">
        <v>7301</v>
      </c>
      <c r="G3610" s="4" t="s">
        <v>243</v>
      </c>
      <c r="H3610" s="13"/>
    </row>
    <row r="3611" s="1" customFormat="1" spans="1:8">
      <c r="A3611" s="4" t="s">
        <v>205</v>
      </c>
      <c r="B3611" s="4" t="s">
        <v>88</v>
      </c>
      <c r="C3611" s="4" t="s">
        <v>6542</v>
      </c>
      <c r="D3611" s="4" t="s">
        <v>7302</v>
      </c>
      <c r="E3611" s="4">
        <v>4128559</v>
      </c>
      <c r="F3611" s="4" t="s">
        <v>7303</v>
      </c>
      <c r="G3611" s="4" t="s">
        <v>243</v>
      </c>
      <c r="H3611" s="13"/>
    </row>
    <row r="3612" s="1" customFormat="1" spans="1:8">
      <c r="A3612" s="4" t="s">
        <v>205</v>
      </c>
      <c r="B3612" s="4" t="s">
        <v>88</v>
      </c>
      <c r="C3612" s="4" t="s">
        <v>6542</v>
      </c>
      <c r="D3612" s="4" t="s">
        <v>7304</v>
      </c>
      <c r="E3612" s="4">
        <v>4128609</v>
      </c>
      <c r="F3612" s="4" t="s">
        <v>7305</v>
      </c>
      <c r="G3612" s="4" t="s">
        <v>243</v>
      </c>
      <c r="H3612" s="13"/>
    </row>
    <row r="3613" s="1" customFormat="1" spans="1:8">
      <c r="A3613" s="4" t="s">
        <v>205</v>
      </c>
      <c r="B3613" s="4" t="s">
        <v>88</v>
      </c>
      <c r="C3613" s="4" t="s">
        <v>6542</v>
      </c>
      <c r="D3613" s="4" t="s">
        <v>7306</v>
      </c>
      <c r="E3613" s="4">
        <v>4128708</v>
      </c>
      <c r="F3613" s="4" t="s">
        <v>7307</v>
      </c>
      <c r="G3613" s="4" t="s">
        <v>243</v>
      </c>
      <c r="H3613" s="13"/>
    </row>
    <row r="3614" s="1" customFormat="1" spans="1:8">
      <c r="A3614" s="4" t="s">
        <v>205</v>
      </c>
      <c r="B3614" s="4" t="s">
        <v>88</v>
      </c>
      <c r="C3614" s="4" t="s">
        <v>6542</v>
      </c>
      <c r="D3614" s="4" t="s">
        <v>7308</v>
      </c>
      <c r="E3614" s="4">
        <v>4128807</v>
      </c>
      <c r="F3614" s="4" t="s">
        <v>7309</v>
      </c>
      <c r="G3614" s="4" t="s">
        <v>243</v>
      </c>
      <c r="H3614" s="13"/>
    </row>
    <row r="3615" s="1" customFormat="1" spans="1:8">
      <c r="A3615" s="4" t="s">
        <v>205</v>
      </c>
      <c r="B3615" s="4" t="s">
        <v>79</v>
      </c>
      <c r="C3615" s="4" t="s">
        <v>84</v>
      </c>
      <c r="D3615" s="4" t="s">
        <v>85</v>
      </c>
      <c r="E3615" s="4">
        <v>3304557</v>
      </c>
      <c r="F3615" s="4" t="s">
        <v>7310</v>
      </c>
      <c r="G3615" s="4" t="s">
        <v>207</v>
      </c>
      <c r="H3615" s="13"/>
    </row>
    <row r="3616" s="1" customFormat="1" spans="1:8">
      <c r="A3616" s="4" t="s">
        <v>205</v>
      </c>
      <c r="B3616" s="4" t="s">
        <v>79</v>
      </c>
      <c r="C3616" s="4" t="s">
        <v>84</v>
      </c>
      <c r="D3616" s="4" t="s">
        <v>7311</v>
      </c>
      <c r="E3616" s="4">
        <v>3300456</v>
      </c>
      <c r="F3616" s="4" t="s">
        <v>7312</v>
      </c>
      <c r="G3616" s="4" t="s">
        <v>210</v>
      </c>
      <c r="H3616" s="13"/>
    </row>
    <row r="3617" s="1" customFormat="1" spans="1:8">
      <c r="A3617" s="4" t="s">
        <v>205</v>
      </c>
      <c r="B3617" s="4" t="s">
        <v>79</v>
      </c>
      <c r="C3617" s="4" t="s">
        <v>84</v>
      </c>
      <c r="D3617" s="4" t="s">
        <v>7313</v>
      </c>
      <c r="E3617" s="4">
        <v>3301702</v>
      </c>
      <c r="F3617" s="4" t="s">
        <v>7314</v>
      </c>
      <c r="G3617" s="4" t="s">
        <v>210</v>
      </c>
      <c r="H3617" s="13"/>
    </row>
    <row r="3618" s="1" customFormat="1" spans="1:8">
      <c r="A3618" s="4" t="s">
        <v>205</v>
      </c>
      <c r="B3618" s="4" t="s">
        <v>79</v>
      </c>
      <c r="C3618" s="4" t="s">
        <v>84</v>
      </c>
      <c r="D3618" s="4" t="s">
        <v>3299</v>
      </c>
      <c r="E3618" s="4">
        <v>3302858</v>
      </c>
      <c r="F3618" s="4" t="s">
        <v>7315</v>
      </c>
      <c r="G3618" s="4" t="s">
        <v>210</v>
      </c>
      <c r="H3618" s="13"/>
    </row>
    <row r="3619" s="1" customFormat="1" spans="1:8">
      <c r="A3619" s="4" t="s">
        <v>205</v>
      </c>
      <c r="B3619" s="4" t="s">
        <v>79</v>
      </c>
      <c r="C3619" s="4" t="s">
        <v>84</v>
      </c>
      <c r="D3619" s="4" t="s">
        <v>7316</v>
      </c>
      <c r="E3619" s="4">
        <v>3303203</v>
      </c>
      <c r="F3619" s="4" t="s">
        <v>7317</v>
      </c>
      <c r="G3619" s="4" t="s">
        <v>210</v>
      </c>
      <c r="H3619" s="13"/>
    </row>
    <row r="3620" s="1" customFormat="1" spans="1:8">
      <c r="A3620" s="4" t="s">
        <v>205</v>
      </c>
      <c r="B3620" s="4" t="s">
        <v>79</v>
      </c>
      <c r="C3620" s="4" t="s">
        <v>84</v>
      </c>
      <c r="D3620" s="4" t="s">
        <v>7318</v>
      </c>
      <c r="E3620" s="4">
        <v>3303302</v>
      </c>
      <c r="F3620" s="4" t="s">
        <v>7319</v>
      </c>
      <c r="G3620" s="4" t="s">
        <v>210</v>
      </c>
      <c r="H3620" s="13"/>
    </row>
    <row r="3621" s="1" customFormat="1" spans="1:8">
      <c r="A3621" s="4" t="s">
        <v>205</v>
      </c>
      <c r="B3621" s="4" t="s">
        <v>79</v>
      </c>
      <c r="C3621" s="4" t="s">
        <v>84</v>
      </c>
      <c r="D3621" s="4" t="s">
        <v>7320</v>
      </c>
      <c r="E3621" s="4">
        <v>3303500</v>
      </c>
      <c r="F3621" s="4" t="s">
        <v>7321</v>
      </c>
      <c r="G3621" s="4" t="s">
        <v>210</v>
      </c>
      <c r="H3621" s="13"/>
    </row>
    <row r="3622" s="1" customFormat="1" spans="1:8">
      <c r="A3622" s="4" t="s">
        <v>205</v>
      </c>
      <c r="B3622" s="4" t="s">
        <v>79</v>
      </c>
      <c r="C3622" s="4" t="s">
        <v>84</v>
      </c>
      <c r="D3622" s="4" t="s">
        <v>7322</v>
      </c>
      <c r="E3622" s="4">
        <v>3304904</v>
      </c>
      <c r="F3622" s="4" t="s">
        <v>7323</v>
      </c>
      <c r="G3622" s="4" t="s">
        <v>210</v>
      </c>
      <c r="H3622" s="13"/>
    </row>
    <row r="3623" s="1" customFormat="1" spans="1:8">
      <c r="A3623" s="4" t="s">
        <v>205</v>
      </c>
      <c r="B3623" s="4" t="s">
        <v>79</v>
      </c>
      <c r="C3623" s="4" t="s">
        <v>84</v>
      </c>
      <c r="D3623" s="4" t="s">
        <v>7324</v>
      </c>
      <c r="E3623" s="4">
        <v>3305109</v>
      </c>
      <c r="F3623" s="4" t="s">
        <v>7325</v>
      </c>
      <c r="G3623" s="4" t="s">
        <v>210</v>
      </c>
      <c r="H3623" s="13"/>
    </row>
    <row r="3624" s="1" customFormat="1" spans="1:8">
      <c r="A3624" s="4" t="s">
        <v>205</v>
      </c>
      <c r="B3624" s="4" t="s">
        <v>79</v>
      </c>
      <c r="C3624" s="4" t="s">
        <v>84</v>
      </c>
      <c r="D3624" s="4" t="s">
        <v>7326</v>
      </c>
      <c r="E3624" s="4">
        <v>3300209</v>
      </c>
      <c r="F3624" s="4" t="s">
        <v>7327</v>
      </c>
      <c r="G3624" s="4" t="s">
        <v>215</v>
      </c>
      <c r="H3624" s="13"/>
    </row>
    <row r="3625" s="1" customFormat="1" spans="1:8">
      <c r="A3625" s="4" t="s">
        <v>205</v>
      </c>
      <c r="B3625" s="4" t="s">
        <v>79</v>
      </c>
      <c r="C3625" s="4" t="s">
        <v>84</v>
      </c>
      <c r="D3625" s="4" t="s">
        <v>7328</v>
      </c>
      <c r="E3625" s="4">
        <v>3300225</v>
      </c>
      <c r="F3625" s="4" t="s">
        <v>7329</v>
      </c>
      <c r="G3625" s="4" t="s">
        <v>215</v>
      </c>
      <c r="H3625" s="13"/>
    </row>
    <row r="3626" s="1" customFormat="1" spans="1:8">
      <c r="A3626" s="4" t="s">
        <v>205</v>
      </c>
      <c r="B3626" s="4" t="s">
        <v>79</v>
      </c>
      <c r="C3626" s="4" t="s">
        <v>84</v>
      </c>
      <c r="D3626" s="4" t="s">
        <v>7330</v>
      </c>
      <c r="E3626" s="4">
        <v>3300308</v>
      </c>
      <c r="F3626" s="4" t="s">
        <v>7331</v>
      </c>
      <c r="G3626" s="4" t="s">
        <v>215</v>
      </c>
      <c r="H3626" s="13"/>
    </row>
    <row r="3627" s="1" customFormat="1" spans="1:8">
      <c r="A3627" s="4" t="s">
        <v>205</v>
      </c>
      <c r="B3627" s="4" t="s">
        <v>79</v>
      </c>
      <c r="C3627" s="4" t="s">
        <v>84</v>
      </c>
      <c r="D3627" s="4" t="s">
        <v>7332</v>
      </c>
      <c r="E3627" s="4">
        <v>3300803</v>
      </c>
      <c r="F3627" s="4" t="s">
        <v>7333</v>
      </c>
      <c r="G3627" s="4" t="s">
        <v>215</v>
      </c>
      <c r="H3627" s="13"/>
    </row>
    <row r="3628" s="1" customFormat="1" spans="1:8">
      <c r="A3628" s="4" t="s">
        <v>205</v>
      </c>
      <c r="B3628" s="4" t="s">
        <v>79</v>
      </c>
      <c r="C3628" s="4" t="s">
        <v>84</v>
      </c>
      <c r="D3628" s="4" t="s">
        <v>7334</v>
      </c>
      <c r="E3628" s="4">
        <v>3301801</v>
      </c>
      <c r="F3628" s="4" t="s">
        <v>7335</v>
      </c>
      <c r="G3628" s="4" t="s">
        <v>215</v>
      </c>
      <c r="H3628" s="13"/>
    </row>
    <row r="3629" s="1" customFormat="1" spans="1:8">
      <c r="A3629" s="4" t="s">
        <v>205</v>
      </c>
      <c r="B3629" s="4" t="s">
        <v>79</v>
      </c>
      <c r="C3629" s="4" t="s">
        <v>84</v>
      </c>
      <c r="D3629" s="4" t="s">
        <v>7336</v>
      </c>
      <c r="E3629" s="4">
        <v>3301850</v>
      </c>
      <c r="F3629" s="4" t="s">
        <v>7337</v>
      </c>
      <c r="G3629" s="4" t="s">
        <v>215</v>
      </c>
      <c r="H3629" s="13"/>
    </row>
    <row r="3630" s="1" customFormat="1" spans="1:8">
      <c r="A3630" s="4" t="s">
        <v>205</v>
      </c>
      <c r="B3630" s="4" t="s">
        <v>79</v>
      </c>
      <c r="C3630" s="4" t="s">
        <v>84</v>
      </c>
      <c r="D3630" s="4" t="s">
        <v>7338</v>
      </c>
      <c r="E3630" s="4">
        <v>3301876</v>
      </c>
      <c r="F3630" s="4" t="s">
        <v>7339</v>
      </c>
      <c r="G3630" s="4" t="s">
        <v>215</v>
      </c>
      <c r="H3630" s="13"/>
    </row>
    <row r="3631" s="1" customFormat="1" spans="1:8">
      <c r="A3631" s="4" t="s">
        <v>205</v>
      </c>
      <c r="B3631" s="4" t="s">
        <v>79</v>
      </c>
      <c r="C3631" s="4" t="s">
        <v>84</v>
      </c>
      <c r="D3631" s="4" t="s">
        <v>7340</v>
      </c>
      <c r="E3631" s="4">
        <v>3301900</v>
      </c>
      <c r="F3631" s="4" t="s">
        <v>7341</v>
      </c>
      <c r="G3631" s="4" t="s">
        <v>215</v>
      </c>
      <c r="H3631" s="13"/>
    </row>
    <row r="3632" s="1" customFormat="1" spans="1:8">
      <c r="A3632" s="4" t="s">
        <v>205</v>
      </c>
      <c r="B3632" s="4" t="s">
        <v>79</v>
      </c>
      <c r="C3632" s="4" t="s">
        <v>84</v>
      </c>
      <c r="D3632" s="4" t="s">
        <v>7342</v>
      </c>
      <c r="E3632" s="4">
        <v>3302007</v>
      </c>
      <c r="F3632" s="4" t="s">
        <v>7343</v>
      </c>
      <c r="G3632" s="4" t="s">
        <v>215</v>
      </c>
      <c r="H3632" s="13"/>
    </row>
    <row r="3633" s="1" customFormat="1" spans="1:8">
      <c r="A3633" s="4" t="s">
        <v>205</v>
      </c>
      <c r="B3633" s="4" t="s">
        <v>79</v>
      </c>
      <c r="C3633" s="4" t="s">
        <v>84</v>
      </c>
      <c r="D3633" s="4" t="s">
        <v>7344</v>
      </c>
      <c r="E3633" s="4">
        <v>3302270</v>
      </c>
      <c r="F3633" s="4" t="s">
        <v>7345</v>
      </c>
      <c r="G3633" s="4" t="s">
        <v>215</v>
      </c>
      <c r="H3633" s="13"/>
    </row>
    <row r="3634" s="1" customFormat="1" spans="1:8">
      <c r="A3634" s="4" t="s">
        <v>205</v>
      </c>
      <c r="B3634" s="4" t="s">
        <v>79</v>
      </c>
      <c r="C3634" s="4" t="s">
        <v>84</v>
      </c>
      <c r="D3634" s="4" t="s">
        <v>7346</v>
      </c>
      <c r="E3634" s="4">
        <v>3302502</v>
      </c>
      <c r="F3634" s="4" t="s">
        <v>7347</v>
      </c>
      <c r="G3634" s="4" t="s">
        <v>215</v>
      </c>
      <c r="H3634" s="13"/>
    </row>
    <row r="3635" s="1" customFormat="1" spans="1:8">
      <c r="A3635" s="4" t="s">
        <v>205</v>
      </c>
      <c r="B3635" s="4" t="s">
        <v>79</v>
      </c>
      <c r="C3635" s="4" t="s">
        <v>84</v>
      </c>
      <c r="D3635" s="4" t="s">
        <v>7348</v>
      </c>
      <c r="E3635" s="4">
        <v>3302601</v>
      </c>
      <c r="F3635" s="4" t="s">
        <v>7349</v>
      </c>
      <c r="G3635" s="4" t="s">
        <v>215</v>
      </c>
      <c r="H3635" s="13"/>
    </row>
    <row r="3636" s="1" customFormat="1" spans="1:8">
      <c r="A3636" s="4" t="s">
        <v>205</v>
      </c>
      <c r="B3636" s="4" t="s">
        <v>79</v>
      </c>
      <c r="C3636" s="4" t="s">
        <v>84</v>
      </c>
      <c r="D3636" s="4" t="s">
        <v>7350</v>
      </c>
      <c r="E3636" s="4">
        <v>3302700</v>
      </c>
      <c r="F3636" s="4" t="s">
        <v>7351</v>
      </c>
      <c r="G3636" s="4" t="s">
        <v>215</v>
      </c>
      <c r="H3636" s="13"/>
    </row>
    <row r="3637" s="1" customFormat="1" spans="1:8">
      <c r="A3637" s="4" t="s">
        <v>205</v>
      </c>
      <c r="B3637" s="4" t="s">
        <v>79</v>
      </c>
      <c r="C3637" s="4" t="s">
        <v>84</v>
      </c>
      <c r="D3637" s="4" t="s">
        <v>7352</v>
      </c>
      <c r="E3637" s="4">
        <v>3302809</v>
      </c>
      <c r="F3637" s="4" t="s">
        <v>7353</v>
      </c>
      <c r="G3637" s="4" t="s">
        <v>215</v>
      </c>
      <c r="H3637" s="13"/>
    </row>
    <row r="3638" s="1" customFormat="1" spans="1:8">
      <c r="A3638" s="4" t="s">
        <v>205</v>
      </c>
      <c r="B3638" s="4" t="s">
        <v>79</v>
      </c>
      <c r="C3638" s="4" t="s">
        <v>84</v>
      </c>
      <c r="D3638" s="4" t="s">
        <v>7354</v>
      </c>
      <c r="E3638" s="4">
        <v>3302908</v>
      </c>
      <c r="F3638" s="4" t="s">
        <v>7355</v>
      </c>
      <c r="G3638" s="4" t="s">
        <v>215</v>
      </c>
      <c r="H3638" s="13"/>
    </row>
    <row r="3639" s="1" customFormat="1" spans="1:8">
      <c r="A3639" s="4" t="s">
        <v>205</v>
      </c>
      <c r="B3639" s="4" t="s">
        <v>79</v>
      </c>
      <c r="C3639" s="4" t="s">
        <v>84</v>
      </c>
      <c r="D3639" s="4" t="s">
        <v>7356</v>
      </c>
      <c r="E3639" s="4">
        <v>3303609</v>
      </c>
      <c r="F3639" s="4" t="s">
        <v>7357</v>
      </c>
      <c r="G3639" s="4" t="s">
        <v>215</v>
      </c>
      <c r="H3639" s="13"/>
    </row>
    <row r="3640" s="1" customFormat="1" spans="1:8">
      <c r="A3640" s="4" t="s">
        <v>205</v>
      </c>
      <c r="B3640" s="4" t="s">
        <v>79</v>
      </c>
      <c r="C3640" s="4" t="s">
        <v>84</v>
      </c>
      <c r="D3640" s="4" t="s">
        <v>7358</v>
      </c>
      <c r="E3640" s="4">
        <v>3303856</v>
      </c>
      <c r="F3640" s="4" t="s">
        <v>7359</v>
      </c>
      <c r="G3640" s="4" t="s">
        <v>215</v>
      </c>
      <c r="H3640" s="13"/>
    </row>
    <row r="3641" s="1" customFormat="1" spans="1:8">
      <c r="A3641" s="4" t="s">
        <v>205</v>
      </c>
      <c r="B3641" s="4" t="s">
        <v>79</v>
      </c>
      <c r="C3641" s="4" t="s">
        <v>84</v>
      </c>
      <c r="D3641" s="4" t="s">
        <v>7360</v>
      </c>
      <c r="E3641" s="4">
        <v>3303906</v>
      </c>
      <c r="F3641" s="4" t="s">
        <v>7361</v>
      </c>
      <c r="G3641" s="4" t="s">
        <v>215</v>
      </c>
      <c r="H3641" s="13"/>
    </row>
    <row r="3642" s="1" customFormat="1" spans="1:8">
      <c r="A3642" s="4" t="s">
        <v>205</v>
      </c>
      <c r="B3642" s="4" t="s">
        <v>79</v>
      </c>
      <c r="C3642" s="4" t="s">
        <v>84</v>
      </c>
      <c r="D3642" s="4" t="s">
        <v>7362</v>
      </c>
      <c r="E3642" s="4">
        <v>3304003</v>
      </c>
      <c r="F3642" s="4" t="s">
        <v>7363</v>
      </c>
      <c r="G3642" s="4" t="s">
        <v>215</v>
      </c>
      <c r="H3642" s="13"/>
    </row>
    <row r="3643" s="1" customFormat="1" spans="1:8">
      <c r="A3643" s="4" t="s">
        <v>205</v>
      </c>
      <c r="B3643" s="4" t="s">
        <v>79</v>
      </c>
      <c r="C3643" s="4" t="s">
        <v>84</v>
      </c>
      <c r="D3643" s="4" t="s">
        <v>7364</v>
      </c>
      <c r="E3643" s="4">
        <v>3304144</v>
      </c>
      <c r="F3643" s="4" t="s">
        <v>7365</v>
      </c>
      <c r="G3643" s="4" t="s">
        <v>215</v>
      </c>
      <c r="H3643" s="13"/>
    </row>
    <row r="3644" s="1" customFormat="1" spans="1:8">
      <c r="A3644" s="4" t="s">
        <v>205</v>
      </c>
      <c r="B3644" s="4" t="s">
        <v>79</v>
      </c>
      <c r="C3644" s="4" t="s">
        <v>84</v>
      </c>
      <c r="D3644" s="4" t="s">
        <v>7366</v>
      </c>
      <c r="E3644" s="4">
        <v>3304300</v>
      </c>
      <c r="F3644" s="4" t="s">
        <v>7367</v>
      </c>
      <c r="G3644" s="4" t="s">
        <v>215</v>
      </c>
      <c r="H3644" s="13"/>
    </row>
    <row r="3645" s="1" customFormat="1" spans="1:8">
      <c r="A3645" s="4" t="s">
        <v>205</v>
      </c>
      <c r="B3645" s="4" t="s">
        <v>79</v>
      </c>
      <c r="C3645" s="4" t="s">
        <v>84</v>
      </c>
      <c r="D3645" s="4" t="s">
        <v>7368</v>
      </c>
      <c r="E3645" s="4">
        <v>3305505</v>
      </c>
      <c r="F3645" s="4" t="s">
        <v>7369</v>
      </c>
      <c r="G3645" s="4" t="s">
        <v>215</v>
      </c>
      <c r="H3645" s="13"/>
    </row>
    <row r="3646" s="1" customFormat="1" spans="1:8">
      <c r="A3646" s="4" t="s">
        <v>205</v>
      </c>
      <c r="B3646" s="4" t="s">
        <v>79</v>
      </c>
      <c r="C3646" s="4" t="s">
        <v>84</v>
      </c>
      <c r="D3646" s="4" t="s">
        <v>7370</v>
      </c>
      <c r="E3646" s="4">
        <v>3305554</v>
      </c>
      <c r="F3646" s="4" t="s">
        <v>7371</v>
      </c>
      <c r="G3646" s="4" t="s">
        <v>215</v>
      </c>
      <c r="H3646" s="13"/>
    </row>
    <row r="3647" s="1" customFormat="1" spans="1:8">
      <c r="A3647" s="4" t="s">
        <v>205</v>
      </c>
      <c r="B3647" s="4" t="s">
        <v>79</v>
      </c>
      <c r="C3647" s="4" t="s">
        <v>84</v>
      </c>
      <c r="D3647" s="4" t="s">
        <v>7372</v>
      </c>
      <c r="E3647" s="4">
        <v>3305604</v>
      </c>
      <c r="F3647" s="4" t="s">
        <v>7373</v>
      </c>
      <c r="G3647" s="4" t="s">
        <v>215</v>
      </c>
      <c r="H3647" s="13"/>
    </row>
    <row r="3648" s="1" customFormat="1" spans="1:8">
      <c r="A3648" s="4" t="s">
        <v>205</v>
      </c>
      <c r="B3648" s="4" t="s">
        <v>79</v>
      </c>
      <c r="C3648" s="4" t="s">
        <v>84</v>
      </c>
      <c r="D3648" s="4" t="s">
        <v>7374</v>
      </c>
      <c r="E3648" s="4">
        <v>3305752</v>
      </c>
      <c r="F3648" s="4" t="s">
        <v>7375</v>
      </c>
      <c r="G3648" s="4" t="s">
        <v>215</v>
      </c>
      <c r="H3648" s="13"/>
    </row>
    <row r="3649" s="1" customFormat="1" spans="1:8">
      <c r="A3649" s="4" t="s">
        <v>205</v>
      </c>
      <c r="B3649" s="4" t="s">
        <v>79</v>
      </c>
      <c r="C3649" s="4" t="s">
        <v>84</v>
      </c>
      <c r="D3649" s="4" t="s">
        <v>7376</v>
      </c>
      <c r="E3649" s="4">
        <v>3305802</v>
      </c>
      <c r="F3649" s="4" t="s">
        <v>7377</v>
      </c>
      <c r="G3649" s="4" t="s">
        <v>215</v>
      </c>
      <c r="H3649" s="13"/>
    </row>
    <row r="3650" s="1" customFormat="1" spans="1:8">
      <c r="A3650" s="4" t="s">
        <v>205</v>
      </c>
      <c r="B3650" s="4" t="s">
        <v>79</v>
      </c>
      <c r="C3650" s="4" t="s">
        <v>84</v>
      </c>
      <c r="D3650" s="4" t="s">
        <v>7378</v>
      </c>
      <c r="E3650" s="4">
        <v>3306206</v>
      </c>
      <c r="F3650" s="4" t="s">
        <v>7379</v>
      </c>
      <c r="G3650" s="4" t="s">
        <v>215</v>
      </c>
      <c r="H3650" s="13"/>
    </row>
    <row r="3651" s="1" customFormat="1" spans="1:8">
      <c r="A3651" s="4" t="s">
        <v>205</v>
      </c>
      <c r="B3651" s="4" t="s">
        <v>79</v>
      </c>
      <c r="C3651" s="4" t="s">
        <v>84</v>
      </c>
      <c r="D3651" s="4" t="s">
        <v>7380</v>
      </c>
      <c r="E3651" s="4">
        <v>3300100</v>
      </c>
      <c r="F3651" s="4" t="s">
        <v>7381</v>
      </c>
      <c r="G3651" s="4" t="s">
        <v>232</v>
      </c>
      <c r="H3651" s="13"/>
    </row>
    <row r="3652" s="1" customFormat="1" spans="1:8">
      <c r="A3652" s="4" t="s">
        <v>205</v>
      </c>
      <c r="B3652" s="4" t="s">
        <v>79</v>
      </c>
      <c r="C3652" s="4" t="s">
        <v>84</v>
      </c>
      <c r="D3652" s="4" t="s">
        <v>7382</v>
      </c>
      <c r="E3652" s="4">
        <v>3300233</v>
      </c>
      <c r="F3652" s="4" t="s">
        <v>7383</v>
      </c>
      <c r="G3652" s="4" t="s">
        <v>232</v>
      </c>
      <c r="H3652" s="13"/>
    </row>
    <row r="3653" s="1" customFormat="1" spans="1:8">
      <c r="A3653" s="4" t="s">
        <v>205</v>
      </c>
      <c r="B3653" s="4" t="s">
        <v>79</v>
      </c>
      <c r="C3653" s="4" t="s">
        <v>84</v>
      </c>
      <c r="D3653" s="4" t="s">
        <v>7384</v>
      </c>
      <c r="E3653" s="4">
        <v>3300258</v>
      </c>
      <c r="F3653" s="4" t="s">
        <v>7385</v>
      </c>
      <c r="G3653" s="4" t="s">
        <v>232</v>
      </c>
      <c r="H3653" s="13"/>
    </row>
    <row r="3654" s="1" customFormat="1" spans="1:8">
      <c r="A3654" s="4" t="s">
        <v>205</v>
      </c>
      <c r="B3654" s="4" t="s">
        <v>79</v>
      </c>
      <c r="C3654" s="4" t="s">
        <v>84</v>
      </c>
      <c r="D3654" s="4" t="s">
        <v>7386</v>
      </c>
      <c r="E3654" s="4">
        <v>3300407</v>
      </c>
      <c r="F3654" s="4" t="s">
        <v>7387</v>
      </c>
      <c r="G3654" s="4" t="s">
        <v>232</v>
      </c>
      <c r="H3654" s="13"/>
    </row>
    <row r="3655" s="1" customFormat="1" spans="1:8">
      <c r="A3655" s="4" t="s">
        <v>205</v>
      </c>
      <c r="B3655" s="4" t="s">
        <v>79</v>
      </c>
      <c r="C3655" s="4" t="s">
        <v>84</v>
      </c>
      <c r="D3655" s="4" t="s">
        <v>2792</v>
      </c>
      <c r="E3655" s="4">
        <v>3300506</v>
      </c>
      <c r="F3655" s="4" t="s">
        <v>7388</v>
      </c>
      <c r="G3655" s="4" t="s">
        <v>232</v>
      </c>
      <c r="H3655" s="13"/>
    </row>
    <row r="3656" s="1" customFormat="1" spans="1:8">
      <c r="A3656" s="4" t="s">
        <v>205</v>
      </c>
      <c r="B3656" s="4" t="s">
        <v>79</v>
      </c>
      <c r="C3656" s="4" t="s">
        <v>84</v>
      </c>
      <c r="D3656" s="4" t="s">
        <v>7389</v>
      </c>
      <c r="E3656" s="4">
        <v>3300704</v>
      </c>
      <c r="F3656" s="4" t="s">
        <v>7390</v>
      </c>
      <c r="G3656" s="4" t="s">
        <v>232</v>
      </c>
      <c r="H3656" s="13"/>
    </row>
    <row r="3657" s="1" customFormat="1" spans="1:8">
      <c r="A3657" s="4" t="s">
        <v>205</v>
      </c>
      <c r="B3657" s="4" t="s">
        <v>79</v>
      </c>
      <c r="C3657" s="4" t="s">
        <v>84</v>
      </c>
      <c r="D3657" s="4" t="s">
        <v>3708</v>
      </c>
      <c r="E3657" s="4">
        <v>3301108</v>
      </c>
      <c r="F3657" s="4" t="s">
        <v>7391</v>
      </c>
      <c r="G3657" s="4" t="s">
        <v>232</v>
      </c>
      <c r="H3657" s="13"/>
    </row>
    <row r="3658" s="1" customFormat="1" spans="1:8">
      <c r="A3658" s="4" t="s">
        <v>205</v>
      </c>
      <c r="B3658" s="4" t="s">
        <v>79</v>
      </c>
      <c r="C3658" s="4" t="s">
        <v>84</v>
      </c>
      <c r="D3658" s="4" t="s">
        <v>7392</v>
      </c>
      <c r="E3658" s="4">
        <v>3300936</v>
      </c>
      <c r="F3658" s="4" t="s">
        <v>7393</v>
      </c>
      <c r="G3658" s="4" t="s">
        <v>232</v>
      </c>
      <c r="H3658" s="13"/>
    </row>
    <row r="3659" s="1" customFormat="1" spans="1:8">
      <c r="A3659" s="4" t="s">
        <v>205</v>
      </c>
      <c r="B3659" s="4" t="s">
        <v>79</v>
      </c>
      <c r="C3659" s="4" t="s">
        <v>84</v>
      </c>
      <c r="D3659" s="4" t="s">
        <v>7394</v>
      </c>
      <c r="E3659" s="4">
        <v>3301207</v>
      </c>
      <c r="F3659" s="4" t="s">
        <v>7395</v>
      </c>
      <c r="G3659" s="4" t="s">
        <v>232</v>
      </c>
      <c r="H3659" s="13"/>
    </row>
    <row r="3660" s="1" customFormat="1" spans="1:8">
      <c r="A3660" s="4" t="s">
        <v>205</v>
      </c>
      <c r="B3660" s="4" t="s">
        <v>79</v>
      </c>
      <c r="C3660" s="4" t="s">
        <v>84</v>
      </c>
      <c r="D3660" s="4" t="s">
        <v>7396</v>
      </c>
      <c r="E3660" s="4">
        <v>3301306</v>
      </c>
      <c r="F3660" s="4" t="s">
        <v>7397</v>
      </c>
      <c r="G3660" s="4" t="s">
        <v>232</v>
      </c>
      <c r="H3660" s="13"/>
    </row>
    <row r="3661" s="1" customFormat="1" spans="1:8">
      <c r="A3661" s="4" t="s">
        <v>205</v>
      </c>
      <c r="B3661" s="4" t="s">
        <v>79</v>
      </c>
      <c r="C3661" s="4" t="s">
        <v>84</v>
      </c>
      <c r="D3661" s="4" t="s">
        <v>7398</v>
      </c>
      <c r="E3661" s="4">
        <v>3300951</v>
      </c>
      <c r="F3661" s="4" t="s">
        <v>7399</v>
      </c>
      <c r="G3661" s="4" t="s">
        <v>232</v>
      </c>
      <c r="H3661" s="13"/>
    </row>
    <row r="3662" s="1" customFormat="1" spans="1:8">
      <c r="A3662" s="4" t="s">
        <v>205</v>
      </c>
      <c r="B3662" s="4" t="s">
        <v>79</v>
      </c>
      <c r="C3662" s="4" t="s">
        <v>84</v>
      </c>
      <c r="D3662" s="4" t="s">
        <v>7400</v>
      </c>
      <c r="E3662" s="4">
        <v>3301405</v>
      </c>
      <c r="F3662" s="4" t="s">
        <v>7401</v>
      </c>
      <c r="G3662" s="4" t="s">
        <v>232</v>
      </c>
      <c r="H3662" s="13"/>
    </row>
    <row r="3663" s="1" customFormat="1" spans="1:8">
      <c r="A3663" s="4" t="s">
        <v>205</v>
      </c>
      <c r="B3663" s="4" t="s">
        <v>79</v>
      </c>
      <c r="C3663" s="4" t="s">
        <v>84</v>
      </c>
      <c r="D3663" s="4" t="s">
        <v>7402</v>
      </c>
      <c r="E3663" s="4">
        <v>3301504</v>
      </c>
      <c r="F3663" s="4" t="s">
        <v>7403</v>
      </c>
      <c r="G3663" s="4" t="s">
        <v>232</v>
      </c>
      <c r="H3663" s="13"/>
    </row>
    <row r="3664" s="1" customFormat="1" spans="1:8">
      <c r="A3664" s="4" t="s">
        <v>205</v>
      </c>
      <c r="B3664" s="4" t="s">
        <v>79</v>
      </c>
      <c r="C3664" s="4" t="s">
        <v>84</v>
      </c>
      <c r="D3664" s="4" t="s">
        <v>7404</v>
      </c>
      <c r="E3664" s="4">
        <v>3301603</v>
      </c>
      <c r="F3664" s="4" t="s">
        <v>7405</v>
      </c>
      <c r="G3664" s="4" t="s">
        <v>232</v>
      </c>
      <c r="H3664" s="13"/>
    </row>
    <row r="3665" s="1" customFormat="1" spans="1:8">
      <c r="A3665" s="4" t="s">
        <v>205</v>
      </c>
      <c r="B3665" s="4" t="s">
        <v>79</v>
      </c>
      <c r="C3665" s="4" t="s">
        <v>84</v>
      </c>
      <c r="D3665" s="4" t="s">
        <v>7406</v>
      </c>
      <c r="E3665" s="4">
        <v>3302254</v>
      </c>
      <c r="F3665" s="4" t="s">
        <v>7407</v>
      </c>
      <c r="G3665" s="4" t="s">
        <v>232</v>
      </c>
      <c r="H3665" s="13"/>
    </row>
    <row r="3666" s="1" customFormat="1" spans="1:8">
      <c r="A3666" s="4" t="s">
        <v>205</v>
      </c>
      <c r="B3666" s="4" t="s">
        <v>79</v>
      </c>
      <c r="C3666" s="4" t="s">
        <v>84</v>
      </c>
      <c r="D3666" s="4" t="s">
        <v>7408</v>
      </c>
      <c r="E3666" s="4">
        <v>3302403</v>
      </c>
      <c r="F3666" s="4" t="s">
        <v>7409</v>
      </c>
      <c r="G3666" s="4" t="s">
        <v>232</v>
      </c>
      <c r="H3666" s="13"/>
    </row>
    <row r="3667" s="1" customFormat="1" spans="1:8">
      <c r="A3667" s="4" t="s">
        <v>205</v>
      </c>
      <c r="B3667" s="4" t="s">
        <v>79</v>
      </c>
      <c r="C3667" s="4" t="s">
        <v>84</v>
      </c>
      <c r="D3667" s="4" t="s">
        <v>7410</v>
      </c>
      <c r="E3667" s="4">
        <v>3302452</v>
      </c>
      <c r="F3667" s="4" t="s">
        <v>7411</v>
      </c>
      <c r="G3667" s="4" t="s">
        <v>232</v>
      </c>
      <c r="H3667" s="13"/>
    </row>
    <row r="3668" s="1" customFormat="1" spans="1:8">
      <c r="A3668" s="4" t="s">
        <v>205</v>
      </c>
      <c r="B3668" s="4" t="s">
        <v>79</v>
      </c>
      <c r="C3668" s="4" t="s">
        <v>84</v>
      </c>
      <c r="D3668" s="4" t="s">
        <v>7412</v>
      </c>
      <c r="E3668" s="4">
        <v>3303401</v>
      </c>
      <c r="F3668" s="4" t="s">
        <v>7413</v>
      </c>
      <c r="G3668" s="4" t="s">
        <v>232</v>
      </c>
      <c r="H3668" s="13"/>
    </row>
    <row r="3669" s="1" customFormat="1" spans="1:8">
      <c r="A3669" s="4" t="s">
        <v>205</v>
      </c>
      <c r="B3669" s="4" t="s">
        <v>79</v>
      </c>
      <c r="C3669" s="4" t="s">
        <v>84</v>
      </c>
      <c r="D3669" s="4" t="s">
        <v>7414</v>
      </c>
      <c r="E3669" s="4">
        <v>3303807</v>
      </c>
      <c r="F3669" s="4" t="s">
        <v>7415</v>
      </c>
      <c r="G3669" s="4" t="s">
        <v>232</v>
      </c>
      <c r="H3669" s="13"/>
    </row>
    <row r="3670" s="1" customFormat="1" spans="1:8">
      <c r="A3670" s="4" t="s">
        <v>205</v>
      </c>
      <c r="B3670" s="4" t="s">
        <v>79</v>
      </c>
      <c r="C3670" s="4" t="s">
        <v>84</v>
      </c>
      <c r="D3670" s="4" t="s">
        <v>7416</v>
      </c>
      <c r="E3670" s="4">
        <v>3303708</v>
      </c>
      <c r="F3670" s="4" t="s">
        <v>7417</v>
      </c>
      <c r="G3670" s="4" t="s">
        <v>232</v>
      </c>
      <c r="H3670" s="13"/>
    </row>
    <row r="3671" s="1" customFormat="1" spans="1:8">
      <c r="A3671" s="4" t="s">
        <v>205</v>
      </c>
      <c r="B3671" s="4" t="s">
        <v>79</v>
      </c>
      <c r="C3671" s="4" t="s">
        <v>84</v>
      </c>
      <c r="D3671" s="4" t="s">
        <v>7418</v>
      </c>
      <c r="E3671" s="4">
        <v>3303955</v>
      </c>
      <c r="F3671" s="4" t="s">
        <v>7419</v>
      </c>
      <c r="G3671" s="4" t="s">
        <v>232</v>
      </c>
      <c r="H3671" s="13"/>
    </row>
    <row r="3672" s="1" customFormat="1" spans="1:8">
      <c r="A3672" s="4" t="s">
        <v>205</v>
      </c>
      <c r="B3672" s="4" t="s">
        <v>79</v>
      </c>
      <c r="C3672" s="4" t="s">
        <v>84</v>
      </c>
      <c r="D3672" s="4" t="s">
        <v>7420</v>
      </c>
      <c r="E3672" s="4">
        <v>3304110</v>
      </c>
      <c r="F3672" s="4" t="s">
        <v>7421</v>
      </c>
      <c r="G3672" s="4" t="s">
        <v>232</v>
      </c>
      <c r="H3672" s="13"/>
    </row>
    <row r="3673" s="1" customFormat="1" spans="1:8">
      <c r="A3673" s="4" t="s">
        <v>205</v>
      </c>
      <c r="B3673" s="4" t="s">
        <v>79</v>
      </c>
      <c r="C3673" s="4" t="s">
        <v>84</v>
      </c>
      <c r="D3673" s="4" t="s">
        <v>7422</v>
      </c>
      <c r="E3673" s="4">
        <v>3304128</v>
      </c>
      <c r="F3673" s="4" t="s">
        <v>7423</v>
      </c>
      <c r="G3673" s="4" t="s">
        <v>232</v>
      </c>
      <c r="H3673" s="13"/>
    </row>
    <row r="3674" s="1" customFormat="1" spans="1:8">
      <c r="A3674" s="4" t="s">
        <v>205</v>
      </c>
      <c r="B3674" s="4" t="s">
        <v>79</v>
      </c>
      <c r="C3674" s="4" t="s">
        <v>84</v>
      </c>
      <c r="D3674" s="4" t="s">
        <v>7424</v>
      </c>
      <c r="E3674" s="4">
        <v>3304151</v>
      </c>
      <c r="F3674" s="4" t="s">
        <v>7425</v>
      </c>
      <c r="G3674" s="4" t="s">
        <v>232</v>
      </c>
      <c r="H3674" s="13"/>
    </row>
    <row r="3675" s="1" customFormat="1" spans="1:8">
      <c r="A3675" s="4" t="s">
        <v>205</v>
      </c>
      <c r="B3675" s="4" t="s">
        <v>79</v>
      </c>
      <c r="C3675" s="4" t="s">
        <v>84</v>
      </c>
      <c r="D3675" s="4" t="s">
        <v>7426</v>
      </c>
      <c r="E3675" s="4">
        <v>3304201</v>
      </c>
      <c r="F3675" s="4" t="s">
        <v>7427</v>
      </c>
      <c r="G3675" s="4" t="s">
        <v>232</v>
      </c>
      <c r="H3675" s="13"/>
    </row>
    <row r="3676" s="1" customFormat="1" spans="1:8">
      <c r="A3676" s="4" t="s">
        <v>205</v>
      </c>
      <c r="B3676" s="4" t="s">
        <v>79</v>
      </c>
      <c r="C3676" s="4" t="s">
        <v>84</v>
      </c>
      <c r="D3676" s="4" t="s">
        <v>7428</v>
      </c>
      <c r="E3676" s="4">
        <v>3304409</v>
      </c>
      <c r="F3676" s="4" t="s">
        <v>7429</v>
      </c>
      <c r="G3676" s="4" t="s">
        <v>232</v>
      </c>
      <c r="H3676" s="13"/>
    </row>
    <row r="3677" s="1" customFormat="1" spans="1:8">
      <c r="A3677" s="4" t="s">
        <v>205</v>
      </c>
      <c r="B3677" s="4" t="s">
        <v>79</v>
      </c>
      <c r="C3677" s="4" t="s">
        <v>84</v>
      </c>
      <c r="D3677" s="4" t="s">
        <v>7430</v>
      </c>
      <c r="E3677" s="4">
        <v>3304508</v>
      </c>
      <c r="F3677" s="4" t="s">
        <v>7431</v>
      </c>
      <c r="G3677" s="4" t="s">
        <v>232</v>
      </c>
      <c r="H3677" s="13"/>
    </row>
    <row r="3678" s="1" customFormat="1" spans="1:8">
      <c r="A3678" s="4" t="s">
        <v>205</v>
      </c>
      <c r="B3678" s="4" t="s">
        <v>79</v>
      </c>
      <c r="C3678" s="4" t="s">
        <v>84</v>
      </c>
      <c r="D3678" s="4" t="s">
        <v>7432</v>
      </c>
      <c r="E3678" s="4">
        <v>3304524</v>
      </c>
      <c r="F3678" s="4" t="s">
        <v>7433</v>
      </c>
      <c r="G3678" s="4" t="s">
        <v>232</v>
      </c>
      <c r="H3678" s="13"/>
    </row>
    <row r="3679" s="1" customFormat="1" spans="1:8">
      <c r="A3679" s="4" t="s">
        <v>205</v>
      </c>
      <c r="B3679" s="4" t="s">
        <v>79</v>
      </c>
      <c r="C3679" s="4" t="s">
        <v>84</v>
      </c>
      <c r="D3679" s="4" t="s">
        <v>7434</v>
      </c>
      <c r="E3679" s="4">
        <v>3304607</v>
      </c>
      <c r="F3679" s="4" t="s">
        <v>7435</v>
      </c>
      <c r="G3679" s="4" t="s">
        <v>232</v>
      </c>
      <c r="H3679" s="13"/>
    </row>
    <row r="3680" s="1" customFormat="1" spans="1:8">
      <c r="A3680" s="4" t="s">
        <v>205</v>
      </c>
      <c r="B3680" s="4" t="s">
        <v>79</v>
      </c>
      <c r="C3680" s="4" t="s">
        <v>84</v>
      </c>
      <c r="D3680" s="4" t="s">
        <v>5314</v>
      </c>
      <c r="E3680" s="4">
        <v>3305406</v>
      </c>
      <c r="F3680" s="4" t="s">
        <v>7436</v>
      </c>
      <c r="G3680" s="4" t="s">
        <v>232</v>
      </c>
      <c r="H3680" s="13"/>
    </row>
    <row r="3681" s="1" customFormat="1" spans="1:8">
      <c r="A3681" s="4" t="s">
        <v>205</v>
      </c>
      <c r="B3681" s="4" t="s">
        <v>79</v>
      </c>
      <c r="C3681" s="4" t="s">
        <v>84</v>
      </c>
      <c r="D3681" s="4" t="s">
        <v>7437</v>
      </c>
      <c r="E3681" s="4">
        <v>3305703</v>
      </c>
      <c r="F3681" s="4" t="s">
        <v>7438</v>
      </c>
      <c r="G3681" s="4" t="s">
        <v>232</v>
      </c>
      <c r="H3681" s="13"/>
    </row>
    <row r="3682" s="1" customFormat="1" spans="1:8">
      <c r="A3682" s="4" t="s">
        <v>205</v>
      </c>
      <c r="B3682" s="4" t="s">
        <v>79</v>
      </c>
      <c r="C3682" s="4" t="s">
        <v>84</v>
      </c>
      <c r="D3682" s="4" t="s">
        <v>7439</v>
      </c>
      <c r="E3682" s="4">
        <v>3305158</v>
      </c>
      <c r="F3682" s="4" t="s">
        <v>7440</v>
      </c>
      <c r="G3682" s="4" t="s">
        <v>232</v>
      </c>
      <c r="H3682" s="13"/>
    </row>
    <row r="3683" s="1" customFormat="1" spans="1:8">
      <c r="A3683" s="4" t="s">
        <v>205</v>
      </c>
      <c r="B3683" s="4" t="s">
        <v>79</v>
      </c>
      <c r="C3683" s="4" t="s">
        <v>84</v>
      </c>
      <c r="D3683" s="4" t="s">
        <v>7441</v>
      </c>
      <c r="E3683" s="4">
        <v>3305208</v>
      </c>
      <c r="F3683" s="4" t="s">
        <v>7442</v>
      </c>
      <c r="G3683" s="4" t="s">
        <v>232</v>
      </c>
      <c r="H3683" s="13"/>
    </row>
    <row r="3684" s="1" customFormat="1" spans="1:8">
      <c r="A3684" s="4" t="s">
        <v>205</v>
      </c>
      <c r="B3684" s="4" t="s">
        <v>79</v>
      </c>
      <c r="C3684" s="4" t="s">
        <v>84</v>
      </c>
      <c r="D3684" s="4" t="s">
        <v>7443</v>
      </c>
      <c r="E3684" s="4">
        <v>3305307</v>
      </c>
      <c r="F3684" s="4" t="s">
        <v>7444</v>
      </c>
      <c r="G3684" s="4" t="s">
        <v>232</v>
      </c>
      <c r="H3684" s="13"/>
    </row>
    <row r="3685" s="1" customFormat="1" spans="1:8">
      <c r="A3685" s="4" t="s">
        <v>205</v>
      </c>
      <c r="B3685" s="4" t="s">
        <v>79</v>
      </c>
      <c r="C3685" s="4" t="s">
        <v>84</v>
      </c>
      <c r="D3685" s="4" t="s">
        <v>7445</v>
      </c>
      <c r="E3685" s="4">
        <v>3305901</v>
      </c>
      <c r="F3685" s="4" t="s">
        <v>7446</v>
      </c>
      <c r="G3685" s="4" t="s">
        <v>232</v>
      </c>
      <c r="H3685" s="13"/>
    </row>
    <row r="3686" s="1" customFormat="1" spans="1:8">
      <c r="A3686" s="4" t="s">
        <v>205</v>
      </c>
      <c r="B3686" s="4" t="s">
        <v>79</v>
      </c>
      <c r="C3686" s="4" t="s">
        <v>84</v>
      </c>
      <c r="D3686" s="4" t="s">
        <v>7447</v>
      </c>
      <c r="E3686" s="4">
        <v>3306008</v>
      </c>
      <c r="F3686" s="4" t="s">
        <v>7448</v>
      </c>
      <c r="G3686" s="4" t="s">
        <v>232</v>
      </c>
      <c r="H3686" s="13"/>
    </row>
    <row r="3687" s="1" customFormat="1" spans="1:8">
      <c r="A3687" s="4" t="s">
        <v>205</v>
      </c>
      <c r="B3687" s="4" t="s">
        <v>79</v>
      </c>
      <c r="C3687" s="4" t="s">
        <v>84</v>
      </c>
      <c r="D3687" s="4" t="s">
        <v>883</v>
      </c>
      <c r="E3687" s="4">
        <v>3306107</v>
      </c>
      <c r="F3687" s="4" t="s">
        <v>7449</v>
      </c>
      <c r="G3687" s="4" t="s">
        <v>232</v>
      </c>
      <c r="H3687" s="13"/>
    </row>
    <row r="3688" s="1" customFormat="1" spans="1:8">
      <c r="A3688" s="4" t="s">
        <v>205</v>
      </c>
      <c r="B3688" s="4" t="s">
        <v>79</v>
      </c>
      <c r="C3688" s="4" t="s">
        <v>84</v>
      </c>
      <c r="D3688" s="4" t="s">
        <v>7450</v>
      </c>
      <c r="E3688" s="4">
        <v>3306305</v>
      </c>
      <c r="F3688" s="4" t="s">
        <v>7451</v>
      </c>
      <c r="G3688" s="4" t="s">
        <v>232</v>
      </c>
      <c r="H3688" s="13"/>
    </row>
    <row r="3689" s="1" customFormat="1" spans="1:8">
      <c r="A3689" s="4" t="s">
        <v>205</v>
      </c>
      <c r="B3689" s="4" t="s">
        <v>79</v>
      </c>
      <c r="C3689" s="4" t="s">
        <v>84</v>
      </c>
      <c r="D3689" s="4" t="s">
        <v>7452</v>
      </c>
      <c r="E3689" s="4">
        <v>3300159</v>
      </c>
      <c r="F3689" s="4" t="s">
        <v>7453</v>
      </c>
      <c r="G3689" s="4" t="s">
        <v>243</v>
      </c>
      <c r="H3689" s="13"/>
    </row>
    <row r="3690" s="1" customFormat="1" spans="1:8">
      <c r="A3690" s="4" t="s">
        <v>205</v>
      </c>
      <c r="B3690" s="4" t="s">
        <v>79</v>
      </c>
      <c r="C3690" s="4" t="s">
        <v>84</v>
      </c>
      <c r="D3690" s="4" t="s">
        <v>7454</v>
      </c>
      <c r="E3690" s="4">
        <v>3300605</v>
      </c>
      <c r="F3690" s="4" t="s">
        <v>7455</v>
      </c>
      <c r="G3690" s="4" t="s">
        <v>243</v>
      </c>
      <c r="H3690" s="13"/>
    </row>
    <row r="3691" s="1" customFormat="1" spans="1:8">
      <c r="A3691" s="4" t="s">
        <v>205</v>
      </c>
      <c r="B3691" s="4" t="s">
        <v>79</v>
      </c>
      <c r="C3691" s="4" t="s">
        <v>84</v>
      </c>
      <c r="D3691" s="4" t="s">
        <v>7456</v>
      </c>
      <c r="E3691" s="4">
        <v>3300902</v>
      </c>
      <c r="F3691" s="4" t="s">
        <v>7457</v>
      </c>
      <c r="G3691" s="4" t="s">
        <v>243</v>
      </c>
      <c r="H3691" s="13"/>
    </row>
    <row r="3692" s="1" customFormat="1" spans="1:8">
      <c r="A3692" s="4" t="s">
        <v>205</v>
      </c>
      <c r="B3692" s="4" t="s">
        <v>79</v>
      </c>
      <c r="C3692" s="4" t="s">
        <v>84</v>
      </c>
      <c r="D3692" s="4" t="s">
        <v>7458</v>
      </c>
      <c r="E3692" s="4">
        <v>3301009</v>
      </c>
      <c r="F3692" s="4" t="s">
        <v>7459</v>
      </c>
      <c r="G3692" s="4" t="s">
        <v>243</v>
      </c>
      <c r="H3692" s="13"/>
    </row>
    <row r="3693" s="1" customFormat="1" spans="1:8">
      <c r="A3693" s="4" t="s">
        <v>205</v>
      </c>
      <c r="B3693" s="4" t="s">
        <v>79</v>
      </c>
      <c r="C3693" s="4" t="s">
        <v>84</v>
      </c>
      <c r="D3693" s="4" t="s">
        <v>7460</v>
      </c>
      <c r="E3693" s="4">
        <v>3301157</v>
      </c>
      <c r="F3693" s="4" t="s">
        <v>7461</v>
      </c>
      <c r="G3693" s="4" t="s">
        <v>243</v>
      </c>
      <c r="H3693" s="13"/>
    </row>
    <row r="3694" s="1" customFormat="1" spans="1:8">
      <c r="A3694" s="4" t="s">
        <v>205</v>
      </c>
      <c r="B3694" s="4" t="s">
        <v>79</v>
      </c>
      <c r="C3694" s="4" t="s">
        <v>84</v>
      </c>
      <c r="D3694" s="4" t="s">
        <v>7462</v>
      </c>
      <c r="E3694" s="4">
        <v>3302056</v>
      </c>
      <c r="F3694" s="4" t="s">
        <v>7463</v>
      </c>
      <c r="G3694" s="4" t="s">
        <v>243</v>
      </c>
      <c r="H3694" s="13"/>
    </row>
    <row r="3695" s="1" customFormat="1" spans="1:8">
      <c r="A3695" s="4" t="s">
        <v>205</v>
      </c>
      <c r="B3695" s="4" t="s">
        <v>79</v>
      </c>
      <c r="C3695" s="4" t="s">
        <v>84</v>
      </c>
      <c r="D3695" s="4" t="s">
        <v>7464</v>
      </c>
      <c r="E3695" s="4">
        <v>3302106</v>
      </c>
      <c r="F3695" s="4" t="s">
        <v>7465</v>
      </c>
      <c r="G3695" s="4" t="s">
        <v>243</v>
      </c>
      <c r="H3695" s="13"/>
    </row>
    <row r="3696" s="1" customFormat="1" spans="1:8">
      <c r="A3696" s="4" t="s">
        <v>205</v>
      </c>
      <c r="B3696" s="4" t="s">
        <v>79</v>
      </c>
      <c r="C3696" s="4" t="s">
        <v>84</v>
      </c>
      <c r="D3696" s="4" t="s">
        <v>7466</v>
      </c>
      <c r="E3696" s="4">
        <v>3302205</v>
      </c>
      <c r="F3696" s="4" t="s">
        <v>7467</v>
      </c>
      <c r="G3696" s="4" t="s">
        <v>243</v>
      </c>
      <c r="H3696" s="13"/>
    </row>
    <row r="3697" s="1" customFormat="1" spans="1:8">
      <c r="A3697" s="4" t="s">
        <v>205</v>
      </c>
      <c r="B3697" s="4" t="s">
        <v>79</v>
      </c>
      <c r="C3697" s="4" t="s">
        <v>84</v>
      </c>
      <c r="D3697" s="4" t="s">
        <v>7468</v>
      </c>
      <c r="E3697" s="4">
        <v>3302304</v>
      </c>
      <c r="F3697" s="4" t="s">
        <v>7469</v>
      </c>
      <c r="G3697" s="4" t="s">
        <v>243</v>
      </c>
      <c r="H3697" s="13"/>
    </row>
    <row r="3698" s="1" customFormat="1" spans="1:8">
      <c r="A3698" s="4" t="s">
        <v>205</v>
      </c>
      <c r="B3698" s="4" t="s">
        <v>79</v>
      </c>
      <c r="C3698" s="4" t="s">
        <v>84</v>
      </c>
      <c r="D3698" s="4" t="s">
        <v>7470</v>
      </c>
      <c r="E3698" s="4">
        <v>3303005</v>
      </c>
      <c r="F3698" s="4" t="s">
        <v>7471</v>
      </c>
      <c r="G3698" s="4" t="s">
        <v>243</v>
      </c>
      <c r="H3698" s="13"/>
    </row>
    <row r="3699" s="1" customFormat="1" spans="1:8">
      <c r="A3699" s="4" t="s">
        <v>205</v>
      </c>
      <c r="B3699" s="4" t="s">
        <v>79</v>
      </c>
      <c r="C3699" s="4" t="s">
        <v>84</v>
      </c>
      <c r="D3699" s="4" t="s">
        <v>7472</v>
      </c>
      <c r="E3699" s="4">
        <v>3303104</v>
      </c>
      <c r="F3699" s="4" t="s">
        <v>7473</v>
      </c>
      <c r="G3699" s="4" t="s">
        <v>243</v>
      </c>
      <c r="H3699" s="13"/>
    </row>
    <row r="3700" s="1" customFormat="1" spans="1:8">
      <c r="A3700" s="4" t="s">
        <v>205</v>
      </c>
      <c r="B3700" s="4" t="s">
        <v>79</v>
      </c>
      <c r="C3700" s="4" t="s">
        <v>84</v>
      </c>
      <c r="D3700" s="4" t="s">
        <v>7474</v>
      </c>
      <c r="E3700" s="4">
        <v>3304102</v>
      </c>
      <c r="F3700" s="4" t="s">
        <v>7475</v>
      </c>
      <c r="G3700" s="4" t="s">
        <v>243</v>
      </c>
      <c r="H3700" s="13"/>
    </row>
    <row r="3701" s="1" customFormat="1" spans="1:8">
      <c r="A3701" s="4" t="s">
        <v>205</v>
      </c>
      <c r="B3701" s="4" t="s">
        <v>79</v>
      </c>
      <c r="C3701" s="4" t="s">
        <v>84</v>
      </c>
      <c r="D3701" s="4" t="s">
        <v>7476</v>
      </c>
      <c r="E3701" s="4">
        <v>3304706</v>
      </c>
      <c r="F3701" s="4" t="s">
        <v>7477</v>
      </c>
      <c r="G3701" s="4" t="s">
        <v>243</v>
      </c>
      <c r="H3701" s="13"/>
    </row>
    <row r="3702" s="1" customFormat="1" spans="1:8">
      <c r="A3702" s="4" t="s">
        <v>205</v>
      </c>
      <c r="B3702" s="4" t="s">
        <v>79</v>
      </c>
      <c r="C3702" s="4" t="s">
        <v>84</v>
      </c>
      <c r="D3702" s="4" t="s">
        <v>7478</v>
      </c>
      <c r="E3702" s="4">
        <v>3304805</v>
      </c>
      <c r="F3702" s="4" t="s">
        <v>7479</v>
      </c>
      <c r="G3702" s="4" t="s">
        <v>243</v>
      </c>
      <c r="H3702" s="13"/>
    </row>
    <row r="3703" s="1" customFormat="1" spans="1:8">
      <c r="A3703" s="4" t="s">
        <v>205</v>
      </c>
      <c r="B3703" s="4" t="s">
        <v>79</v>
      </c>
      <c r="C3703" s="4" t="s">
        <v>84</v>
      </c>
      <c r="D3703" s="4" t="s">
        <v>7480</v>
      </c>
      <c r="E3703" s="4">
        <v>3304755</v>
      </c>
      <c r="F3703" s="4" t="s">
        <v>7481</v>
      </c>
      <c r="G3703" s="4" t="s">
        <v>243</v>
      </c>
      <c r="H3703" s="13"/>
    </row>
    <row r="3704" s="1" customFormat="1" spans="1:8">
      <c r="A3704" s="4" t="s">
        <v>205</v>
      </c>
      <c r="B3704" s="4" t="s">
        <v>79</v>
      </c>
      <c r="C3704" s="4" t="s">
        <v>84</v>
      </c>
      <c r="D3704" s="4" t="s">
        <v>7482</v>
      </c>
      <c r="E3704" s="4">
        <v>3305133</v>
      </c>
      <c r="F3704" s="4" t="s">
        <v>7483</v>
      </c>
      <c r="G3704" s="4" t="s">
        <v>243</v>
      </c>
      <c r="H3704" s="13"/>
    </row>
    <row r="3705" s="1" customFormat="1" spans="1:8">
      <c r="A3705" s="4" t="s">
        <v>205</v>
      </c>
      <c r="B3705" s="4" t="s">
        <v>79</v>
      </c>
      <c r="C3705" s="4" t="s">
        <v>84</v>
      </c>
      <c r="D3705" s="4" t="s">
        <v>7484</v>
      </c>
      <c r="E3705" s="4">
        <v>3305000</v>
      </c>
      <c r="F3705" s="4" t="s">
        <v>7485</v>
      </c>
      <c r="G3705" s="4" t="s">
        <v>243</v>
      </c>
      <c r="H3705" s="13"/>
    </row>
    <row r="3706" s="1" customFormat="1" spans="1:8">
      <c r="A3706" s="4" t="s">
        <v>205</v>
      </c>
      <c r="B3706" s="4" t="s">
        <v>79</v>
      </c>
      <c r="C3706" s="4" t="s">
        <v>84</v>
      </c>
      <c r="D3706" s="4" t="s">
        <v>7486</v>
      </c>
      <c r="E3706" s="4">
        <v>3306156</v>
      </c>
      <c r="F3706" s="4" t="s">
        <v>7487</v>
      </c>
      <c r="G3706" s="4" t="s">
        <v>243</v>
      </c>
      <c r="H3706" s="13"/>
    </row>
    <row r="3707" s="1" customFormat="1" spans="1:8">
      <c r="A3707" s="4" t="s">
        <v>205</v>
      </c>
      <c r="B3707" s="4" t="s">
        <v>57</v>
      </c>
      <c r="C3707" s="4" t="s">
        <v>75</v>
      </c>
      <c r="D3707" s="4" t="s">
        <v>76</v>
      </c>
      <c r="E3707" s="4">
        <v>2408102</v>
      </c>
      <c r="F3707" s="4" t="s">
        <v>7488</v>
      </c>
      <c r="G3707" s="4" t="s">
        <v>207</v>
      </c>
      <c r="H3707" s="4"/>
    </row>
    <row r="3708" s="1" customFormat="1" spans="1:8">
      <c r="A3708" s="4" t="s">
        <v>205</v>
      </c>
      <c r="B3708" s="4" t="s">
        <v>57</v>
      </c>
      <c r="C3708" s="4" t="s">
        <v>75</v>
      </c>
      <c r="D3708" s="4" t="s">
        <v>7489</v>
      </c>
      <c r="E3708" s="4">
        <v>2402600</v>
      </c>
      <c r="F3708" s="4" t="s">
        <v>7490</v>
      </c>
      <c r="G3708" s="4" t="s">
        <v>210</v>
      </c>
      <c r="H3708" s="4"/>
    </row>
    <row r="3709" s="1" customFormat="1" spans="1:8">
      <c r="A3709" s="4" t="s">
        <v>205</v>
      </c>
      <c r="B3709" s="4" t="s">
        <v>57</v>
      </c>
      <c r="C3709" s="4" t="s">
        <v>75</v>
      </c>
      <c r="D3709" s="4" t="s">
        <v>7491</v>
      </c>
      <c r="E3709" s="4">
        <v>2403608</v>
      </c>
      <c r="F3709" s="4" t="s">
        <v>7492</v>
      </c>
      <c r="G3709" s="4" t="s">
        <v>210</v>
      </c>
      <c r="H3709" s="4"/>
    </row>
    <row r="3710" s="1" customFormat="1" spans="1:8">
      <c r="A3710" s="4" t="s">
        <v>205</v>
      </c>
      <c r="B3710" s="4" t="s">
        <v>57</v>
      </c>
      <c r="C3710" s="4" t="s">
        <v>75</v>
      </c>
      <c r="D3710" s="4" t="s">
        <v>7493</v>
      </c>
      <c r="E3710" s="4">
        <v>2407104</v>
      </c>
      <c r="F3710" s="4" t="s">
        <v>7494</v>
      </c>
      <c r="G3710" s="4" t="s">
        <v>210</v>
      </c>
      <c r="H3710" s="4"/>
    </row>
    <row r="3711" s="1" customFormat="1" spans="1:8">
      <c r="A3711" s="4" t="s">
        <v>205</v>
      </c>
      <c r="B3711" s="4" t="s">
        <v>57</v>
      </c>
      <c r="C3711" s="4" t="s">
        <v>75</v>
      </c>
      <c r="D3711" s="4" t="s">
        <v>5140</v>
      </c>
      <c r="E3711" s="4">
        <v>2407807</v>
      </c>
      <c r="F3711" s="4" t="s">
        <v>7495</v>
      </c>
      <c r="G3711" s="4" t="s">
        <v>210</v>
      </c>
      <c r="H3711" s="4"/>
    </row>
    <row r="3712" s="1" customFormat="1" spans="1:8">
      <c r="A3712" s="4" t="s">
        <v>205</v>
      </c>
      <c r="B3712" s="4" t="s">
        <v>57</v>
      </c>
      <c r="C3712" s="4" t="s">
        <v>75</v>
      </c>
      <c r="D3712" s="4" t="s">
        <v>6093</v>
      </c>
      <c r="E3712" s="4">
        <v>2403251</v>
      </c>
      <c r="F3712" s="4" t="s">
        <v>7496</v>
      </c>
      <c r="G3712" s="4" t="s">
        <v>210</v>
      </c>
      <c r="H3712" s="4"/>
    </row>
    <row r="3713" s="1" customFormat="1" spans="1:8">
      <c r="A3713" s="4" t="s">
        <v>205</v>
      </c>
      <c r="B3713" s="4" t="s">
        <v>57</v>
      </c>
      <c r="C3713" s="4" t="s">
        <v>75</v>
      </c>
      <c r="D3713" s="4" t="s">
        <v>1549</v>
      </c>
      <c r="E3713" s="4">
        <v>2412005</v>
      </c>
      <c r="F3713" s="4" t="s">
        <v>7497</v>
      </c>
      <c r="G3713" s="4" t="s">
        <v>210</v>
      </c>
      <c r="H3713" s="4"/>
    </row>
    <row r="3714" s="1" customFormat="1" spans="1:8">
      <c r="A3714" s="4" t="s">
        <v>205</v>
      </c>
      <c r="B3714" s="4" t="s">
        <v>57</v>
      </c>
      <c r="C3714" s="4" t="s">
        <v>75</v>
      </c>
      <c r="D3714" s="4" t="s">
        <v>7498</v>
      </c>
      <c r="E3714" s="4">
        <v>2412203</v>
      </c>
      <c r="F3714" s="4" t="s">
        <v>7499</v>
      </c>
      <c r="G3714" s="4" t="s">
        <v>210</v>
      </c>
      <c r="H3714" s="4"/>
    </row>
    <row r="3715" s="1" customFormat="1" spans="1:8">
      <c r="A3715" s="4" t="s">
        <v>205</v>
      </c>
      <c r="B3715" s="4" t="s">
        <v>57</v>
      </c>
      <c r="C3715" s="4" t="s">
        <v>75</v>
      </c>
      <c r="D3715" s="4" t="s">
        <v>7500</v>
      </c>
      <c r="E3715" s="4">
        <v>2401206</v>
      </c>
      <c r="F3715" s="4" t="s">
        <v>7501</v>
      </c>
      <c r="G3715" s="4" t="s">
        <v>215</v>
      </c>
      <c r="H3715" s="4"/>
    </row>
    <row r="3716" s="1" customFormat="1" spans="1:8">
      <c r="A3716" s="4" t="s">
        <v>205</v>
      </c>
      <c r="B3716" s="4" t="s">
        <v>57</v>
      </c>
      <c r="C3716" s="4" t="s">
        <v>75</v>
      </c>
      <c r="D3716" s="4" t="s">
        <v>7502</v>
      </c>
      <c r="E3716" s="4">
        <v>2401503</v>
      </c>
      <c r="F3716" s="4" t="s">
        <v>7503</v>
      </c>
      <c r="G3716" s="4" t="s">
        <v>215</v>
      </c>
      <c r="H3716" s="4"/>
    </row>
    <row r="3717" s="1" customFormat="1" spans="1:8">
      <c r="A3717" s="4" t="s">
        <v>205</v>
      </c>
      <c r="B3717" s="4" t="s">
        <v>57</v>
      </c>
      <c r="C3717" s="4" t="s">
        <v>75</v>
      </c>
      <c r="D3717" s="4" t="s">
        <v>7504</v>
      </c>
      <c r="E3717" s="4">
        <v>2401404</v>
      </c>
      <c r="F3717" s="4" t="s">
        <v>7505</v>
      </c>
      <c r="G3717" s="4" t="s">
        <v>215</v>
      </c>
      <c r="H3717" s="4"/>
    </row>
    <row r="3718" s="1" customFormat="1" spans="1:8">
      <c r="A3718" s="4" t="s">
        <v>205</v>
      </c>
      <c r="B3718" s="4" t="s">
        <v>57</v>
      </c>
      <c r="C3718" s="4" t="s">
        <v>75</v>
      </c>
      <c r="D3718" s="4" t="s">
        <v>7506</v>
      </c>
      <c r="E3718" s="4">
        <v>2401602</v>
      </c>
      <c r="F3718" s="4" t="s">
        <v>7507</v>
      </c>
      <c r="G3718" s="4" t="s">
        <v>215</v>
      </c>
      <c r="H3718" s="4"/>
    </row>
    <row r="3719" s="1" customFormat="1" spans="1:8">
      <c r="A3719" s="4" t="s">
        <v>205</v>
      </c>
      <c r="B3719" s="4" t="s">
        <v>57</v>
      </c>
      <c r="C3719" s="4" t="s">
        <v>75</v>
      </c>
      <c r="D3719" s="4" t="s">
        <v>5627</v>
      </c>
      <c r="E3719" s="4">
        <v>2401701</v>
      </c>
      <c r="F3719" s="4" t="s">
        <v>7508</v>
      </c>
      <c r="G3719" s="4" t="s">
        <v>215</v>
      </c>
      <c r="H3719" s="4"/>
    </row>
    <row r="3720" s="1" customFormat="1" spans="1:8">
      <c r="A3720" s="4" t="s">
        <v>205</v>
      </c>
      <c r="B3720" s="4" t="s">
        <v>57</v>
      </c>
      <c r="C3720" s="4" t="s">
        <v>75</v>
      </c>
      <c r="D3720" s="4" t="s">
        <v>5996</v>
      </c>
      <c r="E3720" s="4">
        <v>2401800</v>
      </c>
      <c r="F3720" s="4" t="s">
        <v>7509</v>
      </c>
      <c r="G3720" s="4" t="s">
        <v>215</v>
      </c>
      <c r="H3720" s="4"/>
    </row>
    <row r="3721" s="1" customFormat="1" spans="1:8">
      <c r="A3721" s="4" t="s">
        <v>205</v>
      </c>
      <c r="B3721" s="4" t="s">
        <v>57</v>
      </c>
      <c r="C3721" s="4" t="s">
        <v>75</v>
      </c>
      <c r="D3721" s="4" t="s">
        <v>7510</v>
      </c>
      <c r="E3721" s="4">
        <v>2401859</v>
      </c>
      <c r="F3721" s="4" t="s">
        <v>7511</v>
      </c>
      <c r="G3721" s="4" t="s">
        <v>215</v>
      </c>
      <c r="H3721" s="4"/>
    </row>
    <row r="3722" s="1" customFormat="1" spans="1:8">
      <c r="A3722" s="4" t="s">
        <v>205</v>
      </c>
      <c r="B3722" s="4" t="s">
        <v>57</v>
      </c>
      <c r="C3722" s="4" t="s">
        <v>75</v>
      </c>
      <c r="D3722" s="4" t="s">
        <v>7512</v>
      </c>
      <c r="E3722" s="4">
        <v>2401909</v>
      </c>
      <c r="F3722" s="4" t="s">
        <v>7513</v>
      </c>
      <c r="G3722" s="4" t="s">
        <v>215</v>
      </c>
      <c r="H3722" s="4"/>
    </row>
    <row r="3723" s="1" customFormat="1" spans="1:8">
      <c r="A3723" s="4" t="s">
        <v>205</v>
      </c>
      <c r="B3723" s="4" t="s">
        <v>57</v>
      </c>
      <c r="C3723" s="4" t="s">
        <v>75</v>
      </c>
      <c r="D3723" s="4" t="s">
        <v>7514</v>
      </c>
      <c r="E3723" s="4">
        <v>2402105</v>
      </c>
      <c r="F3723" s="4" t="s">
        <v>7515</v>
      </c>
      <c r="G3723" s="4" t="s">
        <v>215</v>
      </c>
      <c r="H3723" s="4"/>
    </row>
    <row r="3724" s="1" customFormat="1" spans="1:8">
      <c r="A3724" s="4" t="s">
        <v>205</v>
      </c>
      <c r="B3724" s="4" t="s">
        <v>57</v>
      </c>
      <c r="C3724" s="4" t="s">
        <v>75</v>
      </c>
      <c r="D3724" s="4" t="s">
        <v>7516</v>
      </c>
      <c r="E3724" s="4">
        <v>2402204</v>
      </c>
      <c r="F3724" s="4" t="s">
        <v>7517</v>
      </c>
      <c r="G3724" s="4" t="s">
        <v>215</v>
      </c>
      <c r="H3724" s="4"/>
    </row>
    <row r="3725" s="1" customFormat="1" spans="1:8">
      <c r="A3725" s="4" t="s">
        <v>205</v>
      </c>
      <c r="B3725" s="4" t="s">
        <v>57</v>
      </c>
      <c r="C3725" s="4" t="s">
        <v>75</v>
      </c>
      <c r="D3725" s="4" t="s">
        <v>7518</v>
      </c>
      <c r="E3725" s="4">
        <v>2403509</v>
      </c>
      <c r="F3725" s="4" t="s">
        <v>7519</v>
      </c>
      <c r="G3725" s="4" t="s">
        <v>215</v>
      </c>
      <c r="H3725" s="4"/>
    </row>
    <row r="3726" s="1" customFormat="1" spans="1:8">
      <c r="A3726" s="4" t="s">
        <v>205</v>
      </c>
      <c r="B3726" s="4" t="s">
        <v>57</v>
      </c>
      <c r="C3726" s="4" t="s">
        <v>75</v>
      </c>
      <c r="D3726" s="4" t="s">
        <v>7520</v>
      </c>
      <c r="E3726" s="4">
        <v>2403756</v>
      </c>
      <c r="F3726" s="4" t="s">
        <v>7521</v>
      </c>
      <c r="G3726" s="4" t="s">
        <v>215</v>
      </c>
      <c r="H3726" s="4"/>
    </row>
    <row r="3727" s="1" customFormat="1" spans="1:8">
      <c r="A3727" s="4" t="s">
        <v>205</v>
      </c>
      <c r="B3727" s="4" t="s">
        <v>57</v>
      </c>
      <c r="C3727" s="4" t="s">
        <v>75</v>
      </c>
      <c r="D3727" s="4" t="s">
        <v>7522</v>
      </c>
      <c r="E3727" s="4">
        <v>2404200</v>
      </c>
      <c r="F3727" s="4" t="s">
        <v>7523</v>
      </c>
      <c r="G3727" s="4" t="s">
        <v>215</v>
      </c>
      <c r="H3727" s="4"/>
    </row>
    <row r="3728" s="1" customFormat="1" spans="1:8">
      <c r="A3728" s="4" t="s">
        <v>205</v>
      </c>
      <c r="B3728" s="4" t="s">
        <v>57</v>
      </c>
      <c r="C3728" s="4" t="s">
        <v>75</v>
      </c>
      <c r="D3728" s="4" t="s">
        <v>7524</v>
      </c>
      <c r="E3728" s="4">
        <v>2404606</v>
      </c>
      <c r="F3728" s="4" t="s">
        <v>7525</v>
      </c>
      <c r="G3728" s="4" t="s">
        <v>215</v>
      </c>
      <c r="H3728" s="4"/>
    </row>
    <row r="3729" s="1" customFormat="1" spans="1:8">
      <c r="A3729" s="4" t="s">
        <v>205</v>
      </c>
      <c r="B3729" s="4" t="s">
        <v>57</v>
      </c>
      <c r="C3729" s="4" t="s">
        <v>75</v>
      </c>
      <c r="D3729" s="4" t="s">
        <v>745</v>
      </c>
      <c r="E3729" s="4">
        <v>2405108</v>
      </c>
      <c r="F3729" s="4" t="s">
        <v>7526</v>
      </c>
      <c r="G3729" s="4" t="s">
        <v>215</v>
      </c>
      <c r="H3729" s="4"/>
    </row>
    <row r="3730" s="1" customFormat="1" spans="1:8">
      <c r="A3730" s="4" t="s">
        <v>205</v>
      </c>
      <c r="B3730" s="4" t="s">
        <v>57</v>
      </c>
      <c r="C3730" s="4" t="s">
        <v>75</v>
      </c>
      <c r="D3730" s="4" t="s">
        <v>7527</v>
      </c>
      <c r="E3730" s="4">
        <v>2405306</v>
      </c>
      <c r="F3730" s="4" t="s">
        <v>7528</v>
      </c>
      <c r="G3730" s="4" t="s">
        <v>215</v>
      </c>
      <c r="H3730" s="4"/>
    </row>
    <row r="3731" s="1" customFormat="1" spans="1:8">
      <c r="A3731" s="4" t="s">
        <v>205</v>
      </c>
      <c r="B3731" s="4" t="s">
        <v>57</v>
      </c>
      <c r="C3731" s="4" t="s">
        <v>75</v>
      </c>
      <c r="D3731" s="4" t="s">
        <v>7529</v>
      </c>
      <c r="E3731" s="4">
        <v>2405405</v>
      </c>
      <c r="F3731" s="4" t="s">
        <v>7530</v>
      </c>
      <c r="G3731" s="4" t="s">
        <v>215</v>
      </c>
      <c r="H3731" s="4"/>
    </row>
    <row r="3732" s="1" customFormat="1" spans="1:8">
      <c r="A3732" s="4" t="s">
        <v>205</v>
      </c>
      <c r="B3732" s="4" t="s">
        <v>57</v>
      </c>
      <c r="C3732" s="4" t="s">
        <v>75</v>
      </c>
      <c r="D3732" s="4" t="s">
        <v>7531</v>
      </c>
      <c r="E3732" s="4">
        <v>2405504</v>
      </c>
      <c r="F3732" s="4" t="s">
        <v>7532</v>
      </c>
      <c r="G3732" s="4" t="s">
        <v>215</v>
      </c>
      <c r="H3732" s="4"/>
    </row>
    <row r="3733" s="1" customFormat="1" spans="1:8">
      <c r="A3733" s="4" t="s">
        <v>205</v>
      </c>
      <c r="B3733" s="4" t="s">
        <v>57</v>
      </c>
      <c r="C3733" s="4" t="s">
        <v>75</v>
      </c>
      <c r="D3733" s="4" t="s">
        <v>7533</v>
      </c>
      <c r="E3733" s="4">
        <v>2405801</v>
      </c>
      <c r="F3733" s="4" t="s">
        <v>7534</v>
      </c>
      <c r="G3733" s="4" t="s">
        <v>215</v>
      </c>
      <c r="H3733" s="4"/>
    </row>
    <row r="3734" s="1" customFormat="1" spans="1:8">
      <c r="A3734" s="4" t="s">
        <v>205</v>
      </c>
      <c r="B3734" s="4" t="s">
        <v>57</v>
      </c>
      <c r="C3734" s="4" t="s">
        <v>75</v>
      </c>
      <c r="D3734" s="4" t="s">
        <v>365</v>
      </c>
      <c r="E3734" s="4">
        <v>2406155</v>
      </c>
      <c r="F3734" s="4" t="s">
        <v>7535</v>
      </c>
      <c r="G3734" s="4" t="s">
        <v>215</v>
      </c>
      <c r="H3734" s="4"/>
    </row>
    <row r="3735" s="1" customFormat="1" spans="1:8">
      <c r="A3735" s="4" t="s">
        <v>205</v>
      </c>
      <c r="B3735" s="4" t="s">
        <v>57</v>
      </c>
      <c r="C3735" s="4" t="s">
        <v>75</v>
      </c>
      <c r="D3735" s="4" t="s">
        <v>7536</v>
      </c>
      <c r="E3735" s="4">
        <v>2406205</v>
      </c>
      <c r="F3735" s="4" t="s">
        <v>7537</v>
      </c>
      <c r="G3735" s="4" t="s">
        <v>215</v>
      </c>
      <c r="H3735" s="4"/>
    </row>
    <row r="3736" s="1" customFormat="1" spans="1:8">
      <c r="A3736" s="4" t="s">
        <v>205</v>
      </c>
      <c r="B3736" s="4" t="s">
        <v>57</v>
      </c>
      <c r="C3736" s="4" t="s">
        <v>75</v>
      </c>
      <c r="D3736" s="4" t="s">
        <v>7538</v>
      </c>
      <c r="E3736" s="4">
        <v>2406304</v>
      </c>
      <c r="F3736" s="4" t="s">
        <v>7539</v>
      </c>
      <c r="G3736" s="4" t="s">
        <v>215</v>
      </c>
      <c r="H3736" s="4"/>
    </row>
    <row r="3737" s="1" customFormat="1" spans="1:8">
      <c r="A3737" s="4" t="s">
        <v>205</v>
      </c>
      <c r="B3737" s="4" t="s">
        <v>57</v>
      </c>
      <c r="C3737" s="4" t="s">
        <v>75</v>
      </c>
      <c r="D3737" s="4" t="s">
        <v>7540</v>
      </c>
      <c r="E3737" s="4">
        <v>2406403</v>
      </c>
      <c r="F3737" s="4" t="s">
        <v>7541</v>
      </c>
      <c r="G3737" s="4" t="s">
        <v>215</v>
      </c>
      <c r="H3737" s="4"/>
    </row>
    <row r="3738" s="1" customFormat="1" spans="1:8">
      <c r="A3738" s="4" t="s">
        <v>205</v>
      </c>
      <c r="B3738" s="4" t="s">
        <v>57</v>
      </c>
      <c r="C3738" s="4" t="s">
        <v>75</v>
      </c>
      <c r="D3738" s="4" t="s">
        <v>7542</v>
      </c>
      <c r="E3738" s="4">
        <v>2406601</v>
      </c>
      <c r="F3738" s="4" t="s">
        <v>7543</v>
      </c>
      <c r="G3738" s="4" t="s">
        <v>215</v>
      </c>
      <c r="H3738" s="4"/>
    </row>
    <row r="3739" s="1" customFormat="1" spans="1:8">
      <c r="A3739" s="4" t="s">
        <v>205</v>
      </c>
      <c r="B3739" s="4" t="s">
        <v>57</v>
      </c>
      <c r="C3739" s="4" t="s">
        <v>75</v>
      </c>
      <c r="D3739" s="4" t="s">
        <v>7544</v>
      </c>
      <c r="E3739" s="4">
        <v>2406700</v>
      </c>
      <c r="F3739" s="4" t="s">
        <v>7545</v>
      </c>
      <c r="G3739" s="4" t="s">
        <v>215</v>
      </c>
      <c r="H3739" s="4"/>
    </row>
    <row r="3740" s="1" customFormat="1" spans="1:8">
      <c r="A3740" s="4" t="s">
        <v>205</v>
      </c>
      <c r="B3740" s="4" t="s">
        <v>57</v>
      </c>
      <c r="C3740" s="4" t="s">
        <v>75</v>
      </c>
      <c r="D3740" s="4" t="s">
        <v>7546</v>
      </c>
      <c r="E3740" s="4">
        <v>2406809</v>
      </c>
      <c r="F3740" s="4" t="s">
        <v>7547</v>
      </c>
      <c r="G3740" s="4" t="s">
        <v>215</v>
      </c>
      <c r="H3740" s="4"/>
    </row>
    <row r="3741" s="1" customFormat="1" spans="1:8">
      <c r="A3741" s="4" t="s">
        <v>205</v>
      </c>
      <c r="B3741" s="4" t="s">
        <v>57</v>
      </c>
      <c r="C3741" s="4" t="s">
        <v>75</v>
      </c>
      <c r="D3741" s="4" t="s">
        <v>7548</v>
      </c>
      <c r="E3741" s="4">
        <v>2407500</v>
      </c>
      <c r="F3741" s="4" t="s">
        <v>7549</v>
      </c>
      <c r="G3741" s="4" t="s">
        <v>215</v>
      </c>
      <c r="H3741" s="4"/>
    </row>
    <row r="3742" s="1" customFormat="1" spans="1:8">
      <c r="A3742" s="4" t="s">
        <v>205</v>
      </c>
      <c r="B3742" s="4" t="s">
        <v>57</v>
      </c>
      <c r="C3742" s="4" t="s">
        <v>75</v>
      </c>
      <c r="D3742" s="4" t="s">
        <v>7550</v>
      </c>
      <c r="E3742" s="4">
        <v>2407708</v>
      </c>
      <c r="F3742" s="4" t="s">
        <v>7551</v>
      </c>
      <c r="G3742" s="4" t="s">
        <v>215</v>
      </c>
      <c r="H3742" s="4"/>
    </row>
    <row r="3743" s="1" customFormat="1" spans="1:8">
      <c r="A3743" s="4" t="s">
        <v>205</v>
      </c>
      <c r="B3743" s="4" t="s">
        <v>57</v>
      </c>
      <c r="C3743" s="4" t="s">
        <v>75</v>
      </c>
      <c r="D3743" s="4" t="s">
        <v>7552</v>
      </c>
      <c r="E3743" s="4">
        <v>2407906</v>
      </c>
      <c r="F3743" s="4" t="s">
        <v>7553</v>
      </c>
      <c r="G3743" s="4" t="s">
        <v>215</v>
      </c>
      <c r="H3743" s="4"/>
    </row>
    <row r="3744" s="1" customFormat="1" spans="1:8">
      <c r="A3744" s="4" t="s">
        <v>205</v>
      </c>
      <c r="B3744" s="4" t="s">
        <v>57</v>
      </c>
      <c r="C3744" s="4" t="s">
        <v>75</v>
      </c>
      <c r="D3744" s="4" t="s">
        <v>7554</v>
      </c>
      <c r="E3744" s="4">
        <v>2408300</v>
      </c>
      <c r="F3744" s="4" t="s">
        <v>7555</v>
      </c>
      <c r="G3744" s="4" t="s">
        <v>215</v>
      </c>
      <c r="H3744" s="4"/>
    </row>
    <row r="3745" s="1" customFormat="1" spans="1:8">
      <c r="A3745" s="4" t="s">
        <v>205</v>
      </c>
      <c r="B3745" s="4" t="s">
        <v>57</v>
      </c>
      <c r="C3745" s="4" t="s">
        <v>75</v>
      </c>
      <c r="D3745" s="4" t="s">
        <v>7556</v>
      </c>
      <c r="E3745" s="4">
        <v>2408201</v>
      </c>
      <c r="F3745" s="4" t="s">
        <v>7557</v>
      </c>
      <c r="G3745" s="4" t="s">
        <v>215</v>
      </c>
      <c r="H3745" s="4"/>
    </row>
    <row r="3746" s="1" customFormat="1" spans="1:8">
      <c r="A3746" s="4" t="s">
        <v>205</v>
      </c>
      <c r="B3746" s="4" t="s">
        <v>57</v>
      </c>
      <c r="C3746" s="4" t="s">
        <v>75</v>
      </c>
      <c r="D3746" s="4" t="s">
        <v>7558</v>
      </c>
      <c r="E3746" s="4">
        <v>2408805</v>
      </c>
      <c r="F3746" s="4" t="s">
        <v>7559</v>
      </c>
      <c r="G3746" s="4" t="s">
        <v>215</v>
      </c>
      <c r="H3746" s="4"/>
    </row>
    <row r="3747" s="1" customFormat="1" spans="1:8">
      <c r="A3747" s="4" t="s">
        <v>205</v>
      </c>
      <c r="B3747" s="4" t="s">
        <v>57</v>
      </c>
      <c r="C3747" s="4" t="s">
        <v>75</v>
      </c>
      <c r="D3747" s="4" t="s">
        <v>7560</v>
      </c>
      <c r="E3747" s="4">
        <v>2409100</v>
      </c>
      <c r="F3747" s="4" t="s">
        <v>7561</v>
      </c>
      <c r="G3747" s="4" t="s">
        <v>215</v>
      </c>
      <c r="H3747" s="4"/>
    </row>
    <row r="3748" s="1" customFormat="1" spans="1:8">
      <c r="A3748" s="4" t="s">
        <v>205</v>
      </c>
      <c r="B3748" s="4" t="s">
        <v>57</v>
      </c>
      <c r="C3748" s="4" t="s">
        <v>75</v>
      </c>
      <c r="D3748" s="4" t="s">
        <v>5556</v>
      </c>
      <c r="E3748" s="4">
        <v>2409209</v>
      </c>
      <c r="F3748" s="4" t="s">
        <v>7562</v>
      </c>
      <c r="G3748" s="4" t="s">
        <v>215</v>
      </c>
      <c r="H3748" s="4"/>
    </row>
    <row r="3749" s="1" customFormat="1" spans="1:8">
      <c r="A3749" s="4" t="s">
        <v>205</v>
      </c>
      <c r="B3749" s="4" t="s">
        <v>57</v>
      </c>
      <c r="C3749" s="4" t="s">
        <v>75</v>
      </c>
      <c r="D3749" s="4" t="s">
        <v>7563</v>
      </c>
      <c r="E3749" s="4">
        <v>2409506</v>
      </c>
      <c r="F3749" s="4" t="s">
        <v>7564</v>
      </c>
      <c r="G3749" s="4" t="s">
        <v>215</v>
      </c>
      <c r="H3749" s="4"/>
    </row>
    <row r="3750" s="1" customFormat="1" spans="1:8">
      <c r="A3750" s="4" t="s">
        <v>205</v>
      </c>
      <c r="B3750" s="4" t="s">
        <v>57</v>
      </c>
      <c r="C3750" s="4" t="s">
        <v>75</v>
      </c>
      <c r="D3750" s="4" t="s">
        <v>4832</v>
      </c>
      <c r="E3750" s="4">
        <v>2409605</v>
      </c>
      <c r="F3750" s="4" t="s">
        <v>7565</v>
      </c>
      <c r="G3750" s="4" t="s">
        <v>215</v>
      </c>
      <c r="H3750" s="4"/>
    </row>
    <row r="3751" s="1" customFormat="1" spans="1:8">
      <c r="A3751" s="4" t="s">
        <v>205</v>
      </c>
      <c r="B3751" s="4" t="s">
        <v>57</v>
      </c>
      <c r="C3751" s="4" t="s">
        <v>75</v>
      </c>
      <c r="D3751" s="4" t="s">
        <v>7566</v>
      </c>
      <c r="E3751" s="4">
        <v>2409803</v>
      </c>
      <c r="F3751" s="4" t="s">
        <v>7567</v>
      </c>
      <c r="G3751" s="4" t="s">
        <v>215</v>
      </c>
      <c r="H3751" s="4"/>
    </row>
    <row r="3752" s="1" customFormat="1" spans="1:8">
      <c r="A3752" s="4" t="s">
        <v>205</v>
      </c>
      <c r="B3752" s="4" t="s">
        <v>57</v>
      </c>
      <c r="C3752" s="4" t="s">
        <v>75</v>
      </c>
      <c r="D3752" s="4" t="s">
        <v>7568</v>
      </c>
      <c r="E3752" s="4">
        <v>2410108</v>
      </c>
      <c r="F3752" s="4" t="s">
        <v>7569</v>
      </c>
      <c r="G3752" s="4" t="s">
        <v>215</v>
      </c>
      <c r="H3752" s="4"/>
    </row>
    <row r="3753" s="1" customFormat="1" spans="1:8">
      <c r="A3753" s="4" t="s">
        <v>205</v>
      </c>
      <c r="B3753" s="4" t="s">
        <v>57</v>
      </c>
      <c r="C3753" s="4" t="s">
        <v>75</v>
      </c>
      <c r="D3753" s="4" t="s">
        <v>7570</v>
      </c>
      <c r="E3753" s="4">
        <v>2410405</v>
      </c>
      <c r="F3753" s="4" t="s">
        <v>7571</v>
      </c>
      <c r="G3753" s="4" t="s">
        <v>215</v>
      </c>
      <c r="H3753" s="4"/>
    </row>
    <row r="3754" s="1" customFormat="1" spans="1:8">
      <c r="A3754" s="4" t="s">
        <v>205</v>
      </c>
      <c r="B3754" s="4" t="s">
        <v>57</v>
      </c>
      <c r="C3754" s="4" t="s">
        <v>75</v>
      </c>
      <c r="D3754" s="4" t="s">
        <v>7572</v>
      </c>
      <c r="E3754" s="4">
        <v>2410900</v>
      </c>
      <c r="F3754" s="4" t="s">
        <v>7573</v>
      </c>
      <c r="G3754" s="4" t="s">
        <v>215</v>
      </c>
      <c r="H3754" s="4"/>
    </row>
    <row r="3755" s="1" customFormat="1" spans="1:8">
      <c r="A3755" s="4" t="s">
        <v>205</v>
      </c>
      <c r="B3755" s="4" t="s">
        <v>57</v>
      </c>
      <c r="C3755" s="4" t="s">
        <v>75</v>
      </c>
      <c r="D3755" s="4" t="s">
        <v>7574</v>
      </c>
      <c r="E3755" s="4">
        <v>2408953</v>
      </c>
      <c r="F3755" s="4" t="s">
        <v>7575</v>
      </c>
      <c r="G3755" s="4" t="s">
        <v>215</v>
      </c>
      <c r="H3755" s="4"/>
    </row>
    <row r="3756" s="1" customFormat="1" spans="1:8">
      <c r="A3756" s="4" t="s">
        <v>205</v>
      </c>
      <c r="B3756" s="4" t="s">
        <v>57</v>
      </c>
      <c r="C3756" s="4" t="s">
        <v>75</v>
      </c>
      <c r="D3756" s="4" t="s">
        <v>1225</v>
      </c>
      <c r="E3756" s="4">
        <v>2411106</v>
      </c>
      <c r="F3756" s="4" t="s">
        <v>7576</v>
      </c>
      <c r="G3756" s="4" t="s">
        <v>215</v>
      </c>
      <c r="H3756" s="4"/>
    </row>
    <row r="3757" s="1" customFormat="1" spans="1:8">
      <c r="A3757" s="4" t="s">
        <v>205</v>
      </c>
      <c r="B3757" s="4" t="s">
        <v>57</v>
      </c>
      <c r="C3757" s="4" t="s">
        <v>75</v>
      </c>
      <c r="D3757" s="4" t="s">
        <v>5710</v>
      </c>
      <c r="E3757" s="4">
        <v>2411205</v>
      </c>
      <c r="F3757" s="4" t="s">
        <v>7577</v>
      </c>
      <c r="G3757" s="4" t="s">
        <v>215</v>
      </c>
      <c r="H3757" s="4"/>
    </row>
    <row r="3758" s="1" customFormat="1" spans="1:8">
      <c r="A3758" s="4" t="s">
        <v>205</v>
      </c>
      <c r="B3758" s="4" t="s">
        <v>57</v>
      </c>
      <c r="C3758" s="4" t="s">
        <v>75</v>
      </c>
      <c r="D3758" s="4" t="s">
        <v>1840</v>
      </c>
      <c r="E3758" s="4">
        <v>2409332</v>
      </c>
      <c r="F3758" s="4" t="s">
        <v>7578</v>
      </c>
      <c r="G3758" s="4" t="s">
        <v>215</v>
      </c>
      <c r="H3758" s="4"/>
    </row>
    <row r="3759" s="1" customFormat="1" spans="1:8">
      <c r="A3759" s="4" t="s">
        <v>205</v>
      </c>
      <c r="B3759" s="4" t="s">
        <v>57</v>
      </c>
      <c r="C3759" s="4" t="s">
        <v>75</v>
      </c>
      <c r="D3759" s="4" t="s">
        <v>7579</v>
      </c>
      <c r="E3759" s="4">
        <v>2411502</v>
      </c>
      <c r="F3759" s="4" t="s">
        <v>7580</v>
      </c>
      <c r="G3759" s="4" t="s">
        <v>215</v>
      </c>
      <c r="H3759" s="4"/>
    </row>
    <row r="3760" s="1" customFormat="1" spans="1:8">
      <c r="A3760" s="4" t="s">
        <v>205</v>
      </c>
      <c r="B3760" s="4" t="s">
        <v>57</v>
      </c>
      <c r="C3760" s="4" t="s">
        <v>75</v>
      </c>
      <c r="D3760" s="4" t="s">
        <v>7581</v>
      </c>
      <c r="E3760" s="4">
        <v>2413102</v>
      </c>
      <c r="F3760" s="4" t="s">
        <v>7582</v>
      </c>
      <c r="G3760" s="4" t="s">
        <v>215</v>
      </c>
      <c r="H3760" s="4"/>
    </row>
    <row r="3761" s="1" customFormat="1" spans="1:8">
      <c r="A3761" s="4" t="s">
        <v>205</v>
      </c>
      <c r="B3761" s="4" t="s">
        <v>57</v>
      </c>
      <c r="C3761" s="4" t="s">
        <v>75</v>
      </c>
      <c r="D3761" s="4" t="s">
        <v>7583</v>
      </c>
      <c r="E3761" s="4">
        <v>2413201</v>
      </c>
      <c r="F3761" s="4" t="s">
        <v>7584</v>
      </c>
      <c r="G3761" s="4" t="s">
        <v>215</v>
      </c>
      <c r="H3761" s="4"/>
    </row>
    <row r="3762" s="1" customFormat="1" spans="1:8">
      <c r="A3762" s="4" t="s">
        <v>205</v>
      </c>
      <c r="B3762" s="4" t="s">
        <v>57</v>
      </c>
      <c r="C3762" s="4" t="s">
        <v>75</v>
      </c>
      <c r="D3762" s="4" t="s">
        <v>7585</v>
      </c>
      <c r="E3762" s="4">
        <v>2410306</v>
      </c>
      <c r="F3762" s="4" t="s">
        <v>7586</v>
      </c>
      <c r="G3762" s="4" t="s">
        <v>215</v>
      </c>
      <c r="H3762" s="4"/>
    </row>
    <row r="3763" s="1" customFormat="1" spans="1:8">
      <c r="A3763" s="4" t="s">
        <v>205</v>
      </c>
      <c r="B3763" s="4" t="s">
        <v>57</v>
      </c>
      <c r="C3763" s="4" t="s">
        <v>75</v>
      </c>
      <c r="D3763" s="4" t="s">
        <v>7587</v>
      </c>
      <c r="E3763" s="4">
        <v>2413300</v>
      </c>
      <c r="F3763" s="4" t="s">
        <v>7588</v>
      </c>
      <c r="G3763" s="4" t="s">
        <v>215</v>
      </c>
      <c r="H3763" s="4"/>
    </row>
    <row r="3764" s="1" customFormat="1" spans="1:8">
      <c r="A3764" s="4" t="s">
        <v>205</v>
      </c>
      <c r="B3764" s="4" t="s">
        <v>57</v>
      </c>
      <c r="C3764" s="4" t="s">
        <v>75</v>
      </c>
      <c r="D3764" s="4" t="s">
        <v>845</v>
      </c>
      <c r="E3764" s="4">
        <v>2413508</v>
      </c>
      <c r="F3764" s="4" t="s">
        <v>7589</v>
      </c>
      <c r="G3764" s="4" t="s">
        <v>215</v>
      </c>
      <c r="H3764" s="4"/>
    </row>
    <row r="3765" s="1" customFormat="1" spans="1:8">
      <c r="A3765" s="4" t="s">
        <v>205</v>
      </c>
      <c r="B3765" s="4" t="s">
        <v>57</v>
      </c>
      <c r="C3765" s="4" t="s">
        <v>75</v>
      </c>
      <c r="D3765" s="4" t="s">
        <v>7590</v>
      </c>
      <c r="E3765" s="4">
        <v>2411601</v>
      </c>
      <c r="F3765" s="4" t="s">
        <v>7591</v>
      </c>
      <c r="G3765" s="4" t="s">
        <v>215</v>
      </c>
      <c r="H3765" s="4"/>
    </row>
    <row r="3766" s="1" customFormat="1" spans="1:8">
      <c r="A3766" s="4" t="s">
        <v>205</v>
      </c>
      <c r="B3766" s="4" t="s">
        <v>57</v>
      </c>
      <c r="C3766" s="4" t="s">
        <v>75</v>
      </c>
      <c r="D3766" s="4" t="s">
        <v>7592</v>
      </c>
      <c r="E3766" s="4">
        <v>2411700</v>
      </c>
      <c r="F3766" s="4" t="s">
        <v>7593</v>
      </c>
      <c r="G3766" s="4" t="s">
        <v>215</v>
      </c>
      <c r="H3766" s="4"/>
    </row>
    <row r="3767" s="1" customFormat="1" spans="1:8">
      <c r="A3767" s="4" t="s">
        <v>205</v>
      </c>
      <c r="B3767" s="4" t="s">
        <v>57</v>
      </c>
      <c r="C3767" s="4" t="s">
        <v>75</v>
      </c>
      <c r="D3767" s="4" t="s">
        <v>7594</v>
      </c>
      <c r="E3767" s="4">
        <v>2412302</v>
      </c>
      <c r="F3767" s="4" t="s">
        <v>7595</v>
      </c>
      <c r="G3767" s="4" t="s">
        <v>215</v>
      </c>
      <c r="H3767" s="4"/>
    </row>
    <row r="3768" s="1" customFormat="1" spans="1:8">
      <c r="A3768" s="4" t="s">
        <v>205</v>
      </c>
      <c r="B3768" s="4" t="s">
        <v>57</v>
      </c>
      <c r="C3768" s="4" t="s">
        <v>75</v>
      </c>
      <c r="D3768" s="4" t="s">
        <v>7596</v>
      </c>
      <c r="E3768" s="4">
        <v>2412559</v>
      </c>
      <c r="F3768" s="4" t="s">
        <v>7597</v>
      </c>
      <c r="G3768" s="4" t="s">
        <v>215</v>
      </c>
      <c r="H3768" s="4"/>
    </row>
    <row r="3769" s="1" customFormat="1" spans="1:8">
      <c r="A3769" s="4" t="s">
        <v>205</v>
      </c>
      <c r="B3769" s="4" t="s">
        <v>57</v>
      </c>
      <c r="C3769" s="4" t="s">
        <v>75</v>
      </c>
      <c r="D3769" s="4" t="s">
        <v>7598</v>
      </c>
      <c r="E3769" s="4">
        <v>2412609</v>
      </c>
      <c r="F3769" s="4" t="s">
        <v>7599</v>
      </c>
      <c r="G3769" s="4" t="s">
        <v>215</v>
      </c>
      <c r="H3769" s="4"/>
    </row>
    <row r="3770" s="1" customFormat="1" spans="1:8">
      <c r="A3770" s="4" t="s">
        <v>205</v>
      </c>
      <c r="B3770" s="4" t="s">
        <v>57</v>
      </c>
      <c r="C3770" s="4" t="s">
        <v>75</v>
      </c>
      <c r="D3770" s="4" t="s">
        <v>7600</v>
      </c>
      <c r="E3770" s="4">
        <v>2412708</v>
      </c>
      <c r="F3770" s="4" t="s">
        <v>7601</v>
      </c>
      <c r="G3770" s="4" t="s">
        <v>215</v>
      </c>
      <c r="H3770" s="4"/>
    </row>
    <row r="3771" s="1" customFormat="1" spans="1:8">
      <c r="A3771" s="4" t="s">
        <v>205</v>
      </c>
      <c r="B3771" s="4" t="s">
        <v>57</v>
      </c>
      <c r="C3771" s="4" t="s">
        <v>75</v>
      </c>
      <c r="D3771" s="4" t="s">
        <v>7276</v>
      </c>
      <c r="E3771" s="4">
        <v>2412906</v>
      </c>
      <c r="F3771" s="4" t="s">
        <v>7602</v>
      </c>
      <c r="G3771" s="4" t="s">
        <v>215</v>
      </c>
      <c r="H3771" s="4"/>
    </row>
    <row r="3772" s="1" customFormat="1" spans="1:8">
      <c r="A3772" s="4" t="s">
        <v>205</v>
      </c>
      <c r="B3772" s="4" t="s">
        <v>57</v>
      </c>
      <c r="C3772" s="4" t="s">
        <v>75</v>
      </c>
      <c r="D3772" s="4" t="s">
        <v>2907</v>
      </c>
      <c r="E3772" s="4">
        <v>2413706</v>
      </c>
      <c r="F3772" s="4" t="s">
        <v>7603</v>
      </c>
      <c r="G3772" s="4" t="s">
        <v>215</v>
      </c>
      <c r="H3772" s="4"/>
    </row>
    <row r="3773" s="1" customFormat="1" spans="1:8">
      <c r="A3773" s="4" t="s">
        <v>205</v>
      </c>
      <c r="B3773" s="4" t="s">
        <v>57</v>
      </c>
      <c r="C3773" s="4" t="s">
        <v>75</v>
      </c>
      <c r="D3773" s="4" t="s">
        <v>7604</v>
      </c>
      <c r="E3773" s="4">
        <v>2413904</v>
      </c>
      <c r="F3773" s="4" t="s">
        <v>7605</v>
      </c>
      <c r="G3773" s="4" t="s">
        <v>215</v>
      </c>
      <c r="H3773" s="4"/>
    </row>
    <row r="3774" s="1" customFormat="1" spans="1:8">
      <c r="A3774" s="4" t="s">
        <v>205</v>
      </c>
      <c r="B3774" s="4" t="s">
        <v>57</v>
      </c>
      <c r="C3774" s="4" t="s">
        <v>75</v>
      </c>
      <c r="D3774" s="4" t="s">
        <v>7606</v>
      </c>
      <c r="E3774" s="4">
        <v>2414001</v>
      </c>
      <c r="F3774" s="4" t="s">
        <v>7607</v>
      </c>
      <c r="G3774" s="4" t="s">
        <v>215</v>
      </c>
      <c r="H3774" s="4"/>
    </row>
    <row r="3775" s="1" customFormat="1" spans="1:8">
      <c r="A3775" s="4" t="s">
        <v>205</v>
      </c>
      <c r="B3775" s="4" t="s">
        <v>57</v>
      </c>
      <c r="C3775" s="4" t="s">
        <v>75</v>
      </c>
      <c r="D3775" s="4" t="s">
        <v>7608</v>
      </c>
      <c r="E3775" s="4">
        <v>2414209</v>
      </c>
      <c r="F3775" s="4" t="s">
        <v>7609</v>
      </c>
      <c r="G3775" s="4" t="s">
        <v>215</v>
      </c>
      <c r="H3775" s="4"/>
    </row>
    <row r="3776" s="1" customFormat="1" spans="1:8">
      <c r="A3776" s="4" t="s">
        <v>205</v>
      </c>
      <c r="B3776" s="4" t="s">
        <v>57</v>
      </c>
      <c r="C3776" s="4" t="s">
        <v>75</v>
      </c>
      <c r="D3776" s="4" t="s">
        <v>7610</v>
      </c>
      <c r="E3776" s="4">
        <v>2414407</v>
      </c>
      <c r="F3776" s="4" t="s">
        <v>7611</v>
      </c>
      <c r="G3776" s="4" t="s">
        <v>215</v>
      </c>
      <c r="H3776" s="4"/>
    </row>
    <row r="3777" s="1" customFormat="1" spans="1:8">
      <c r="A3777" s="4" t="s">
        <v>205</v>
      </c>
      <c r="B3777" s="4" t="s">
        <v>57</v>
      </c>
      <c r="C3777" s="4" t="s">
        <v>75</v>
      </c>
      <c r="D3777" s="4" t="s">
        <v>887</v>
      </c>
      <c r="E3777" s="4">
        <v>2414803</v>
      </c>
      <c r="F3777" s="4" t="s">
        <v>7612</v>
      </c>
      <c r="G3777" s="4" t="s">
        <v>215</v>
      </c>
      <c r="H3777" s="4"/>
    </row>
    <row r="3778" s="1" customFormat="1" spans="1:8">
      <c r="A3778" s="4" t="s">
        <v>205</v>
      </c>
      <c r="B3778" s="4" t="s">
        <v>57</v>
      </c>
      <c r="C3778" s="4" t="s">
        <v>75</v>
      </c>
      <c r="D3778" s="4" t="s">
        <v>7613</v>
      </c>
      <c r="E3778" s="4">
        <v>2415008</v>
      </c>
      <c r="F3778" s="4" t="s">
        <v>7614</v>
      </c>
      <c r="G3778" s="4" t="s">
        <v>215</v>
      </c>
      <c r="H3778" s="4"/>
    </row>
    <row r="3779" s="1" customFormat="1" spans="1:8">
      <c r="A3779" s="4" t="s">
        <v>205</v>
      </c>
      <c r="B3779" s="4" t="s">
        <v>57</v>
      </c>
      <c r="C3779" s="4" t="s">
        <v>75</v>
      </c>
      <c r="D3779" s="4" t="s">
        <v>5613</v>
      </c>
      <c r="E3779" s="4">
        <v>2414704</v>
      </c>
      <c r="F3779" s="4" t="s">
        <v>7615</v>
      </c>
      <c r="G3779" s="4" t="s">
        <v>215</v>
      </c>
      <c r="H3779" s="4"/>
    </row>
    <row r="3780" s="1" customFormat="1" spans="1:8">
      <c r="A3780" s="4" t="s">
        <v>205</v>
      </c>
      <c r="B3780" s="4" t="s">
        <v>57</v>
      </c>
      <c r="C3780" s="4" t="s">
        <v>75</v>
      </c>
      <c r="D3780" s="4" t="s">
        <v>7616</v>
      </c>
      <c r="E3780" s="4">
        <v>2400109</v>
      </c>
      <c r="F3780" s="4" t="s">
        <v>7617</v>
      </c>
      <c r="G3780" s="4" t="s">
        <v>232</v>
      </c>
      <c r="H3780" s="4"/>
    </row>
    <row r="3781" s="1" customFormat="1" spans="1:8">
      <c r="A3781" s="4" t="s">
        <v>205</v>
      </c>
      <c r="B3781" s="4" t="s">
        <v>57</v>
      </c>
      <c r="C3781" s="4" t="s">
        <v>75</v>
      </c>
      <c r="D3781" s="4" t="s">
        <v>7618</v>
      </c>
      <c r="E3781" s="4">
        <v>2400307</v>
      </c>
      <c r="F3781" s="4" t="s">
        <v>7619</v>
      </c>
      <c r="G3781" s="4" t="s">
        <v>232</v>
      </c>
      <c r="H3781" s="4"/>
    </row>
    <row r="3782" s="1" customFormat="1" spans="1:8">
      <c r="A3782" s="4" t="s">
        <v>205</v>
      </c>
      <c r="B3782" s="4" t="s">
        <v>57</v>
      </c>
      <c r="C3782" s="4" t="s">
        <v>75</v>
      </c>
      <c r="D3782" s="4" t="s">
        <v>7620</v>
      </c>
      <c r="E3782" s="4">
        <v>2400703</v>
      </c>
      <c r="F3782" s="4" t="s">
        <v>7621</v>
      </c>
      <c r="G3782" s="4" t="s">
        <v>232</v>
      </c>
      <c r="H3782" s="4"/>
    </row>
    <row r="3783" s="1" customFormat="1" spans="1:8">
      <c r="A3783" s="4" t="s">
        <v>205</v>
      </c>
      <c r="B3783" s="4" t="s">
        <v>57</v>
      </c>
      <c r="C3783" s="4" t="s">
        <v>75</v>
      </c>
      <c r="D3783" s="4" t="s">
        <v>7622</v>
      </c>
      <c r="E3783" s="4">
        <v>2400802</v>
      </c>
      <c r="F3783" s="4" t="s">
        <v>7623</v>
      </c>
      <c r="G3783" s="4" t="s">
        <v>232</v>
      </c>
      <c r="H3783" s="4"/>
    </row>
    <row r="3784" s="1" customFormat="1" spans="1:8">
      <c r="A3784" s="4" t="s">
        <v>205</v>
      </c>
      <c r="B3784" s="4" t="s">
        <v>57</v>
      </c>
      <c r="C3784" s="4" t="s">
        <v>75</v>
      </c>
      <c r="D3784" s="7" t="s">
        <v>7624</v>
      </c>
      <c r="E3784" s="4">
        <v>2400208</v>
      </c>
      <c r="F3784" s="4" t="s">
        <v>7625</v>
      </c>
      <c r="G3784" s="4" t="s">
        <v>232</v>
      </c>
      <c r="H3784" s="4"/>
    </row>
    <row r="3785" s="1" customFormat="1" spans="1:8">
      <c r="A3785" s="4" t="s">
        <v>205</v>
      </c>
      <c r="B3785" s="4" t="s">
        <v>57</v>
      </c>
      <c r="C3785" s="4" t="s">
        <v>75</v>
      </c>
      <c r="D3785" s="4" t="s">
        <v>7626</v>
      </c>
      <c r="E3785" s="4">
        <v>2401651</v>
      </c>
      <c r="F3785" s="4" t="s">
        <v>7627</v>
      </c>
      <c r="G3785" s="4" t="s">
        <v>232</v>
      </c>
      <c r="H3785" s="4"/>
    </row>
    <row r="3786" s="1" customFormat="1" spans="1:8">
      <c r="A3786" s="4" t="s">
        <v>205</v>
      </c>
      <c r="B3786" s="4" t="s">
        <v>57</v>
      </c>
      <c r="C3786" s="4" t="s">
        <v>75</v>
      </c>
      <c r="D3786" s="4" t="s">
        <v>7628</v>
      </c>
      <c r="E3786" s="4">
        <v>2402006</v>
      </c>
      <c r="F3786" s="4" t="s">
        <v>7629</v>
      </c>
      <c r="G3786" s="4" t="s">
        <v>232</v>
      </c>
      <c r="H3786" s="4"/>
    </row>
    <row r="3787" s="1" customFormat="1" spans="1:8">
      <c r="A3787" s="4" t="s">
        <v>205</v>
      </c>
      <c r="B3787" s="4" t="s">
        <v>57</v>
      </c>
      <c r="C3787" s="4" t="s">
        <v>75</v>
      </c>
      <c r="D3787" s="7" t="s">
        <v>100</v>
      </c>
      <c r="E3787" s="4">
        <v>2401305</v>
      </c>
      <c r="F3787" s="4" t="s">
        <v>7630</v>
      </c>
      <c r="G3787" s="4" t="s">
        <v>232</v>
      </c>
      <c r="H3787" s="4"/>
    </row>
    <row r="3788" s="1" customFormat="1" spans="1:8">
      <c r="A3788" s="4" t="s">
        <v>205</v>
      </c>
      <c r="B3788" s="4" t="s">
        <v>57</v>
      </c>
      <c r="C3788" s="4" t="s">
        <v>75</v>
      </c>
      <c r="D3788" s="4" t="s">
        <v>7631</v>
      </c>
      <c r="E3788" s="4">
        <v>2402501</v>
      </c>
      <c r="F3788" s="4" t="s">
        <v>7632</v>
      </c>
      <c r="G3788" s="4" t="s">
        <v>232</v>
      </c>
      <c r="H3788" s="4"/>
    </row>
    <row r="3789" s="1" customFormat="1" spans="1:8">
      <c r="A3789" s="4" t="s">
        <v>205</v>
      </c>
      <c r="B3789" s="4" t="s">
        <v>57</v>
      </c>
      <c r="C3789" s="4" t="s">
        <v>75</v>
      </c>
      <c r="D3789" s="4" t="s">
        <v>7633</v>
      </c>
      <c r="E3789" s="4">
        <v>2402402</v>
      </c>
      <c r="F3789" s="4" t="s">
        <v>7634</v>
      </c>
      <c r="G3789" s="4" t="s">
        <v>232</v>
      </c>
      <c r="H3789" s="4"/>
    </row>
    <row r="3790" s="1" customFormat="1" spans="1:8">
      <c r="A3790" s="4" t="s">
        <v>205</v>
      </c>
      <c r="B3790" s="4" t="s">
        <v>57</v>
      </c>
      <c r="C3790" s="4" t="s">
        <v>75</v>
      </c>
      <c r="D3790" s="4" t="s">
        <v>7635</v>
      </c>
      <c r="E3790" s="4">
        <v>2402709</v>
      </c>
      <c r="F3790" s="4" t="s">
        <v>7636</v>
      </c>
      <c r="G3790" s="4" t="s">
        <v>232</v>
      </c>
      <c r="H3790" s="4"/>
    </row>
    <row r="3791" s="1" customFormat="1" spans="1:8">
      <c r="A3791" s="4" t="s">
        <v>205</v>
      </c>
      <c r="B3791" s="4" t="s">
        <v>57</v>
      </c>
      <c r="C3791" s="4" t="s">
        <v>75</v>
      </c>
      <c r="D3791" s="4" t="s">
        <v>7637</v>
      </c>
      <c r="E3791" s="4">
        <v>2402808</v>
      </c>
      <c r="F3791" s="4" t="s">
        <v>7638</v>
      </c>
      <c r="G3791" s="4" t="s">
        <v>232</v>
      </c>
      <c r="H3791" s="4"/>
    </row>
    <row r="3792" s="1" customFormat="1" spans="1:8">
      <c r="A3792" s="4" t="s">
        <v>205</v>
      </c>
      <c r="B3792" s="4" t="s">
        <v>57</v>
      </c>
      <c r="C3792" s="4" t="s">
        <v>75</v>
      </c>
      <c r="D3792" s="4" t="s">
        <v>7639</v>
      </c>
      <c r="E3792" s="4">
        <v>2403004</v>
      </c>
      <c r="F3792" s="4" t="s">
        <v>7640</v>
      </c>
      <c r="G3792" s="4" t="s">
        <v>232</v>
      </c>
      <c r="H3792" s="4"/>
    </row>
    <row r="3793" s="1" customFormat="1" spans="1:8">
      <c r="A3793" s="4" t="s">
        <v>205</v>
      </c>
      <c r="B3793" s="4" t="s">
        <v>57</v>
      </c>
      <c r="C3793" s="4" t="s">
        <v>75</v>
      </c>
      <c r="D3793" s="4" t="s">
        <v>7641</v>
      </c>
      <c r="E3793" s="4">
        <v>2403103</v>
      </c>
      <c r="F3793" s="4" t="s">
        <v>7642</v>
      </c>
      <c r="G3793" s="4" t="s">
        <v>232</v>
      </c>
      <c r="H3793" s="4"/>
    </row>
    <row r="3794" s="1" customFormat="1" spans="1:8">
      <c r="A3794" s="4" t="s">
        <v>205</v>
      </c>
      <c r="B3794" s="4" t="s">
        <v>57</v>
      </c>
      <c r="C3794" s="4" t="s">
        <v>75</v>
      </c>
      <c r="D3794" s="4" t="s">
        <v>7643</v>
      </c>
      <c r="E3794" s="4">
        <v>2403400</v>
      </c>
      <c r="F3794" s="4" t="s">
        <v>7644</v>
      </c>
      <c r="G3794" s="4" t="s">
        <v>232</v>
      </c>
      <c r="H3794" s="4"/>
    </row>
    <row r="3795" s="1" customFormat="1" spans="1:8">
      <c r="A3795" s="4" t="s">
        <v>205</v>
      </c>
      <c r="B3795" s="4" t="s">
        <v>57</v>
      </c>
      <c r="C3795" s="4" t="s">
        <v>75</v>
      </c>
      <c r="D3795" s="4" t="s">
        <v>7645</v>
      </c>
      <c r="E3795" s="4">
        <v>2403806</v>
      </c>
      <c r="F3795" s="4" t="s">
        <v>7646</v>
      </c>
      <c r="G3795" s="4" t="s">
        <v>232</v>
      </c>
      <c r="H3795" s="4"/>
    </row>
    <row r="3796" s="1" customFormat="1" spans="1:8">
      <c r="A3796" s="4" t="s">
        <v>205</v>
      </c>
      <c r="B3796" s="4" t="s">
        <v>57</v>
      </c>
      <c r="C3796" s="4" t="s">
        <v>75</v>
      </c>
      <c r="D3796" s="4" t="s">
        <v>7647</v>
      </c>
      <c r="E3796" s="4">
        <v>2404101</v>
      </c>
      <c r="F3796" s="4" t="s">
        <v>7648</v>
      </c>
      <c r="G3796" s="4" t="s">
        <v>232</v>
      </c>
      <c r="H3796" s="4"/>
    </row>
    <row r="3797" s="1" customFormat="1" spans="1:8">
      <c r="A3797" s="4" t="s">
        <v>205</v>
      </c>
      <c r="B3797" s="4" t="s">
        <v>57</v>
      </c>
      <c r="C3797" s="4" t="s">
        <v>75</v>
      </c>
      <c r="D3797" s="4" t="s">
        <v>7649</v>
      </c>
      <c r="E3797" s="4">
        <v>2404507</v>
      </c>
      <c r="F3797" s="4" t="s">
        <v>7650</v>
      </c>
      <c r="G3797" s="4" t="s">
        <v>232</v>
      </c>
      <c r="H3797" s="4"/>
    </row>
    <row r="3798" s="1" customFormat="1" spans="1:8">
      <c r="A3798" s="4" t="s">
        <v>205</v>
      </c>
      <c r="B3798" s="4" t="s">
        <v>57</v>
      </c>
      <c r="C3798" s="4" t="s">
        <v>75</v>
      </c>
      <c r="D3798" s="4" t="s">
        <v>7651</v>
      </c>
      <c r="E3798" s="4">
        <v>2404705</v>
      </c>
      <c r="F3798" s="4" t="s">
        <v>7652</v>
      </c>
      <c r="G3798" s="4" t="s">
        <v>232</v>
      </c>
      <c r="H3798" s="4"/>
    </row>
    <row r="3799" s="1" customFormat="1" spans="1:8">
      <c r="A3799" s="4" t="s">
        <v>205</v>
      </c>
      <c r="B3799" s="4" t="s">
        <v>57</v>
      </c>
      <c r="C3799" s="4" t="s">
        <v>75</v>
      </c>
      <c r="D3799" s="4" t="s">
        <v>2408</v>
      </c>
      <c r="E3799" s="4">
        <v>2404853</v>
      </c>
      <c r="F3799" s="4" t="s">
        <v>7653</v>
      </c>
      <c r="G3799" s="4" t="s">
        <v>232</v>
      </c>
      <c r="H3799" s="4"/>
    </row>
    <row r="3800" s="1" customFormat="1" spans="1:8">
      <c r="A3800" s="4" t="s">
        <v>205</v>
      </c>
      <c r="B3800" s="4" t="s">
        <v>57</v>
      </c>
      <c r="C3800" s="4" t="s">
        <v>75</v>
      </c>
      <c r="D3800" s="4" t="s">
        <v>7654</v>
      </c>
      <c r="E3800" s="4">
        <v>2405207</v>
      </c>
      <c r="F3800" s="4" t="s">
        <v>7655</v>
      </c>
      <c r="G3800" s="4" t="s">
        <v>232</v>
      </c>
      <c r="H3800" s="4"/>
    </row>
    <row r="3801" s="1" customFormat="1" spans="1:8">
      <c r="A3801" s="4" t="s">
        <v>205</v>
      </c>
      <c r="B3801" s="4" t="s">
        <v>57</v>
      </c>
      <c r="C3801" s="4" t="s">
        <v>75</v>
      </c>
      <c r="D3801" s="4" t="s">
        <v>7656</v>
      </c>
      <c r="E3801" s="4">
        <v>2405702</v>
      </c>
      <c r="F3801" s="4" t="s">
        <v>7657</v>
      </c>
      <c r="G3801" s="4" t="s">
        <v>232</v>
      </c>
      <c r="H3801" s="4"/>
    </row>
    <row r="3802" s="1" customFormat="1" spans="1:8">
      <c r="A3802" s="4" t="s">
        <v>205</v>
      </c>
      <c r="B3802" s="4" t="s">
        <v>57</v>
      </c>
      <c r="C3802" s="4" t="s">
        <v>75</v>
      </c>
      <c r="D3802" s="4" t="s">
        <v>7658</v>
      </c>
      <c r="E3802" s="4">
        <v>2405009</v>
      </c>
      <c r="F3802" s="4" t="s">
        <v>7659</v>
      </c>
      <c r="G3802" s="4" t="s">
        <v>232</v>
      </c>
      <c r="H3802" s="4"/>
    </row>
    <row r="3803" s="1" customFormat="1" spans="1:8">
      <c r="A3803" s="4" t="s">
        <v>205</v>
      </c>
      <c r="B3803" s="4" t="s">
        <v>57</v>
      </c>
      <c r="C3803" s="4" t="s">
        <v>75</v>
      </c>
      <c r="D3803" s="4" t="s">
        <v>7660</v>
      </c>
      <c r="E3803" s="4">
        <v>2406106</v>
      </c>
      <c r="F3803" s="4" t="s">
        <v>7661</v>
      </c>
      <c r="G3803" s="4" t="s">
        <v>232</v>
      </c>
      <c r="H3803" s="4"/>
    </row>
    <row r="3804" s="1" customFormat="1" spans="1:8">
      <c r="A3804" s="4" t="s">
        <v>205</v>
      </c>
      <c r="B3804" s="4" t="s">
        <v>57</v>
      </c>
      <c r="C3804" s="4" t="s">
        <v>75</v>
      </c>
      <c r="D3804" s="4" t="s">
        <v>7662</v>
      </c>
      <c r="E3804" s="4">
        <v>2406502</v>
      </c>
      <c r="F3804" s="4" t="s">
        <v>7663</v>
      </c>
      <c r="G3804" s="4" t="s">
        <v>232</v>
      </c>
      <c r="H3804" s="4"/>
    </row>
    <row r="3805" s="1" customFormat="1" spans="1:8">
      <c r="A3805" s="4" t="s">
        <v>205</v>
      </c>
      <c r="B3805" s="4" t="s">
        <v>57</v>
      </c>
      <c r="C3805" s="4" t="s">
        <v>75</v>
      </c>
      <c r="D3805" s="4" t="s">
        <v>7664</v>
      </c>
      <c r="E3805" s="4">
        <v>2407203</v>
      </c>
      <c r="F3805" s="4" t="s">
        <v>7665</v>
      </c>
      <c r="G3805" s="4" t="s">
        <v>232</v>
      </c>
      <c r="H3805" s="4"/>
    </row>
    <row r="3806" s="1" customFormat="1" spans="1:8">
      <c r="A3806" s="4" t="s">
        <v>205</v>
      </c>
      <c r="B3806" s="4" t="s">
        <v>57</v>
      </c>
      <c r="C3806" s="4" t="s">
        <v>75</v>
      </c>
      <c r="D3806" s="4" t="s">
        <v>7666</v>
      </c>
      <c r="E3806" s="4">
        <v>2408003</v>
      </c>
      <c r="F3806" s="4" t="s">
        <v>7667</v>
      </c>
      <c r="G3806" s="4" t="s">
        <v>232</v>
      </c>
      <c r="H3806" s="4"/>
    </row>
    <row r="3807" s="1" customFormat="1" spans="1:8">
      <c r="A3807" s="4" t="s">
        <v>205</v>
      </c>
      <c r="B3807" s="4" t="s">
        <v>57</v>
      </c>
      <c r="C3807" s="4" t="s">
        <v>75</v>
      </c>
      <c r="D3807" s="4" t="s">
        <v>433</v>
      </c>
      <c r="E3807" s="4">
        <v>2408508</v>
      </c>
      <c r="F3807" s="4" t="s">
        <v>7668</v>
      </c>
      <c r="G3807" s="4" t="s">
        <v>232</v>
      </c>
      <c r="H3807" s="4"/>
    </row>
    <row r="3808" s="1" customFormat="1" spans="1:8">
      <c r="A3808" s="4" t="s">
        <v>205</v>
      </c>
      <c r="B3808" s="4" t="s">
        <v>57</v>
      </c>
      <c r="C3808" s="4" t="s">
        <v>75</v>
      </c>
      <c r="D3808" s="4" t="s">
        <v>7669</v>
      </c>
      <c r="E3808" s="4">
        <v>2408706</v>
      </c>
      <c r="F3808" s="4" t="s">
        <v>7670</v>
      </c>
      <c r="G3808" s="4" t="s">
        <v>232</v>
      </c>
      <c r="H3808" s="4"/>
    </row>
    <row r="3809" s="1" customFormat="1" spans="1:8">
      <c r="A3809" s="4" t="s">
        <v>205</v>
      </c>
      <c r="B3809" s="4" t="s">
        <v>57</v>
      </c>
      <c r="C3809" s="4" t="s">
        <v>75</v>
      </c>
      <c r="D3809" s="4" t="s">
        <v>7671</v>
      </c>
      <c r="E3809" s="4">
        <v>2408904</v>
      </c>
      <c r="F3809" s="4" t="s">
        <v>7672</v>
      </c>
      <c r="G3809" s="4" t="s">
        <v>232</v>
      </c>
      <c r="H3809" s="4"/>
    </row>
    <row r="3810" s="1" customFormat="1" spans="1:8">
      <c r="A3810" s="4" t="s">
        <v>205</v>
      </c>
      <c r="B3810" s="4" t="s">
        <v>57</v>
      </c>
      <c r="C3810" s="4" t="s">
        <v>75</v>
      </c>
      <c r="D3810" s="4" t="s">
        <v>7673</v>
      </c>
      <c r="E3810" s="4">
        <v>2409704</v>
      </c>
      <c r="F3810" s="4" t="s">
        <v>7674</v>
      </c>
      <c r="G3810" s="4" t="s">
        <v>232</v>
      </c>
      <c r="H3810" s="4"/>
    </row>
    <row r="3811" s="1" customFormat="1" spans="1:8">
      <c r="A3811" s="4" t="s">
        <v>205</v>
      </c>
      <c r="B3811" s="4" t="s">
        <v>57</v>
      </c>
      <c r="C3811" s="4" t="s">
        <v>75</v>
      </c>
      <c r="D3811" s="4" t="s">
        <v>7675</v>
      </c>
      <c r="E3811" s="4">
        <v>2409902</v>
      </c>
      <c r="F3811" s="4" t="s">
        <v>7676</v>
      </c>
      <c r="G3811" s="4" t="s">
        <v>232</v>
      </c>
      <c r="H3811" s="4"/>
    </row>
    <row r="3812" s="1" customFormat="1" spans="1:8">
      <c r="A3812" s="4" t="s">
        <v>205</v>
      </c>
      <c r="B3812" s="4" t="s">
        <v>57</v>
      </c>
      <c r="C3812" s="4" t="s">
        <v>75</v>
      </c>
      <c r="D3812" s="4" t="s">
        <v>7677</v>
      </c>
      <c r="E3812" s="4">
        <v>2410256</v>
      </c>
      <c r="F3812" s="4" t="s">
        <v>7678</v>
      </c>
      <c r="G3812" s="4" t="s">
        <v>232</v>
      </c>
      <c r="H3812" s="4"/>
    </row>
    <row r="3813" s="1" customFormat="1" spans="1:8">
      <c r="A3813" s="4" t="s">
        <v>205</v>
      </c>
      <c r="B3813" s="4" t="s">
        <v>57</v>
      </c>
      <c r="C3813" s="4" t="s">
        <v>75</v>
      </c>
      <c r="D3813" s="4" t="s">
        <v>7679</v>
      </c>
      <c r="E3813" s="4">
        <v>2411403</v>
      </c>
      <c r="F3813" s="4" t="s">
        <v>7680</v>
      </c>
      <c r="G3813" s="4" t="s">
        <v>232</v>
      </c>
      <c r="H3813" s="4"/>
    </row>
    <row r="3814" s="1" customFormat="1" spans="1:8">
      <c r="A3814" s="4" t="s">
        <v>205</v>
      </c>
      <c r="B3814" s="4" t="s">
        <v>57</v>
      </c>
      <c r="C3814" s="4" t="s">
        <v>75</v>
      </c>
      <c r="D3814" s="4" t="s">
        <v>7681</v>
      </c>
      <c r="E3814" s="4">
        <v>2411429</v>
      </c>
      <c r="F3814" s="4" t="s">
        <v>7682</v>
      </c>
      <c r="G3814" s="4" t="s">
        <v>232</v>
      </c>
      <c r="H3814" s="4"/>
    </row>
    <row r="3815" s="1" customFormat="1" spans="1:8">
      <c r="A3815" s="4" t="s">
        <v>205</v>
      </c>
      <c r="B3815" s="4" t="s">
        <v>57</v>
      </c>
      <c r="C3815" s="4" t="s">
        <v>75</v>
      </c>
      <c r="D3815" s="4" t="s">
        <v>7683</v>
      </c>
      <c r="E3815" s="4">
        <v>2411809</v>
      </c>
      <c r="F3815" s="4" t="s">
        <v>7684</v>
      </c>
      <c r="G3815" s="4" t="s">
        <v>232</v>
      </c>
      <c r="H3815" s="4"/>
    </row>
    <row r="3816" s="1" customFormat="1" spans="1:8">
      <c r="A3816" s="4" t="s">
        <v>205</v>
      </c>
      <c r="B3816" s="4" t="s">
        <v>57</v>
      </c>
      <c r="C3816" s="4" t="s">
        <v>75</v>
      </c>
      <c r="D3816" s="4" t="s">
        <v>7685</v>
      </c>
      <c r="E3816" s="4">
        <v>2412401</v>
      </c>
      <c r="F3816" s="4" t="s">
        <v>7686</v>
      </c>
      <c r="G3816" s="4" t="s">
        <v>232</v>
      </c>
      <c r="H3816" s="4"/>
    </row>
    <row r="3817" s="1" customFormat="1" spans="1:8">
      <c r="A3817" s="4" t="s">
        <v>205</v>
      </c>
      <c r="B3817" s="4" t="s">
        <v>57</v>
      </c>
      <c r="C3817" s="4" t="s">
        <v>75</v>
      </c>
      <c r="D3817" s="4" t="s">
        <v>7687</v>
      </c>
      <c r="E3817" s="4">
        <v>2412807</v>
      </c>
      <c r="F3817" s="4" t="s">
        <v>7688</v>
      </c>
      <c r="G3817" s="4" t="s">
        <v>232</v>
      </c>
      <c r="H3817" s="4"/>
    </row>
    <row r="3818" s="1" customFormat="1" spans="1:8">
      <c r="A3818" s="4" t="s">
        <v>205</v>
      </c>
      <c r="B3818" s="4" t="s">
        <v>57</v>
      </c>
      <c r="C3818" s="4" t="s">
        <v>75</v>
      </c>
      <c r="D3818" s="4" t="s">
        <v>7689</v>
      </c>
      <c r="E3818" s="4">
        <v>2413003</v>
      </c>
      <c r="F3818" s="4" t="s">
        <v>7690</v>
      </c>
      <c r="G3818" s="4" t="s">
        <v>232</v>
      </c>
      <c r="H3818" s="4"/>
    </row>
    <row r="3819" s="1" customFormat="1" spans="1:8">
      <c r="A3819" s="4" t="s">
        <v>205</v>
      </c>
      <c r="B3819" s="4" t="s">
        <v>57</v>
      </c>
      <c r="C3819" s="4" t="s">
        <v>75</v>
      </c>
      <c r="D3819" s="4" t="s">
        <v>7691</v>
      </c>
      <c r="E3819" s="4">
        <v>2414159</v>
      </c>
      <c r="F3819" s="4" t="s">
        <v>7692</v>
      </c>
      <c r="G3819" s="4" t="s">
        <v>232</v>
      </c>
      <c r="H3819" s="4"/>
    </row>
    <row r="3820" s="1" customFormat="1" spans="1:8">
      <c r="A3820" s="4" t="s">
        <v>205</v>
      </c>
      <c r="B3820" s="4" t="s">
        <v>57</v>
      </c>
      <c r="C3820" s="4" t="s">
        <v>75</v>
      </c>
      <c r="D3820" s="4" t="s">
        <v>7693</v>
      </c>
      <c r="E3820" s="4">
        <v>2414308</v>
      </c>
      <c r="F3820" s="4" t="s">
        <v>7694</v>
      </c>
      <c r="G3820" s="4" t="s">
        <v>232</v>
      </c>
      <c r="H3820" s="4"/>
    </row>
    <row r="3821" s="1" customFormat="1" spans="1:8">
      <c r="A3821" s="4" t="s">
        <v>205</v>
      </c>
      <c r="B3821" s="4" t="s">
        <v>57</v>
      </c>
      <c r="C3821" s="4" t="s">
        <v>75</v>
      </c>
      <c r="D3821" s="4" t="s">
        <v>7695</v>
      </c>
      <c r="E3821" s="4">
        <v>2414456</v>
      </c>
      <c r="F3821" s="4" t="s">
        <v>7696</v>
      </c>
      <c r="G3821" s="4" t="s">
        <v>232</v>
      </c>
      <c r="H3821" s="4"/>
    </row>
    <row r="3822" s="1" customFormat="1" spans="1:8">
      <c r="A3822" s="4" t="s">
        <v>205</v>
      </c>
      <c r="B3822" s="4" t="s">
        <v>57</v>
      </c>
      <c r="C3822" s="4" t="s">
        <v>75</v>
      </c>
      <c r="D3822" s="4" t="s">
        <v>7697</v>
      </c>
      <c r="E3822" s="4">
        <v>2414605</v>
      </c>
      <c r="F3822" s="4" t="s">
        <v>7698</v>
      </c>
      <c r="G3822" s="4" t="s">
        <v>232</v>
      </c>
      <c r="H3822" s="4"/>
    </row>
    <row r="3823" s="1" customFormat="1" spans="1:8">
      <c r="A3823" s="4" t="s">
        <v>205</v>
      </c>
      <c r="B3823" s="4" t="s">
        <v>57</v>
      </c>
      <c r="C3823" s="4" t="s">
        <v>75</v>
      </c>
      <c r="D3823" s="4" t="s">
        <v>7699</v>
      </c>
      <c r="E3823" s="4">
        <v>2400505</v>
      </c>
      <c r="F3823" s="4" t="s">
        <v>7700</v>
      </c>
      <c r="G3823" s="4" t="s">
        <v>243</v>
      </c>
      <c r="H3823" s="4"/>
    </row>
    <row r="3824" s="1" customFormat="1" spans="1:8">
      <c r="A3824" s="4" t="s">
        <v>205</v>
      </c>
      <c r="B3824" s="4" t="s">
        <v>57</v>
      </c>
      <c r="C3824" s="4" t="s">
        <v>75</v>
      </c>
      <c r="D3824" s="4" t="s">
        <v>7701</v>
      </c>
      <c r="E3824" s="4">
        <v>2400604</v>
      </c>
      <c r="F3824" s="4" t="s">
        <v>7702</v>
      </c>
      <c r="G3824" s="4" t="s">
        <v>243</v>
      </c>
      <c r="H3824" s="4"/>
    </row>
    <row r="3825" s="1" customFormat="1" spans="1:8">
      <c r="A3825" s="4" t="s">
        <v>205</v>
      </c>
      <c r="B3825" s="4" t="s">
        <v>57</v>
      </c>
      <c r="C3825" s="4" t="s">
        <v>75</v>
      </c>
      <c r="D3825" s="4" t="s">
        <v>7703</v>
      </c>
      <c r="E3825" s="4">
        <v>2400901</v>
      </c>
      <c r="F3825" s="4" t="s">
        <v>7704</v>
      </c>
      <c r="G3825" s="4" t="s">
        <v>243</v>
      </c>
      <c r="H3825" s="4"/>
    </row>
    <row r="3826" s="1" customFormat="1" spans="1:8">
      <c r="A3826" s="4" t="s">
        <v>205</v>
      </c>
      <c r="B3826" s="4" t="s">
        <v>57</v>
      </c>
      <c r="C3826" s="4" t="s">
        <v>75</v>
      </c>
      <c r="D3826" s="4" t="s">
        <v>7705</v>
      </c>
      <c r="E3826" s="4">
        <v>2401008</v>
      </c>
      <c r="F3826" s="4" t="s">
        <v>7706</v>
      </c>
      <c r="G3826" s="4" t="s">
        <v>243</v>
      </c>
      <c r="H3826" s="4"/>
    </row>
    <row r="3827" s="1" customFormat="1" spans="1:8">
      <c r="A3827" s="4" t="s">
        <v>205</v>
      </c>
      <c r="B3827" s="4" t="s">
        <v>57</v>
      </c>
      <c r="C3827" s="4" t="s">
        <v>75</v>
      </c>
      <c r="D3827" s="4" t="s">
        <v>7707</v>
      </c>
      <c r="E3827" s="4">
        <v>2401107</v>
      </c>
      <c r="F3827" s="4" t="s">
        <v>7708</v>
      </c>
      <c r="G3827" s="4" t="s">
        <v>243</v>
      </c>
      <c r="H3827" s="4"/>
    </row>
    <row r="3828" s="1" customFormat="1" spans="1:8">
      <c r="A3828" s="4" t="s">
        <v>205</v>
      </c>
      <c r="B3828" s="4" t="s">
        <v>57</v>
      </c>
      <c r="C3828" s="4" t="s">
        <v>75</v>
      </c>
      <c r="D3828" s="4" t="s">
        <v>5500</v>
      </c>
      <c r="E3828" s="4">
        <v>2401453</v>
      </c>
      <c r="F3828" s="4" t="s">
        <v>7709</v>
      </c>
      <c r="G3828" s="4" t="s">
        <v>243</v>
      </c>
      <c r="H3828" s="4"/>
    </row>
    <row r="3829" s="1" customFormat="1" spans="1:8">
      <c r="A3829" s="4" t="s">
        <v>205</v>
      </c>
      <c r="B3829" s="4" t="s">
        <v>57</v>
      </c>
      <c r="C3829" s="4" t="s">
        <v>75</v>
      </c>
      <c r="D3829" s="4" t="s">
        <v>5516</v>
      </c>
      <c r="E3829" s="4">
        <v>2402303</v>
      </c>
      <c r="F3829" s="4" t="s">
        <v>7710</v>
      </c>
      <c r="G3829" s="4" t="s">
        <v>243</v>
      </c>
      <c r="H3829" s="4"/>
    </row>
    <row r="3830" s="1" customFormat="1" spans="1:8">
      <c r="A3830" s="4" t="s">
        <v>205</v>
      </c>
      <c r="B3830" s="4" t="s">
        <v>57</v>
      </c>
      <c r="C3830" s="4" t="s">
        <v>75</v>
      </c>
      <c r="D3830" s="4" t="s">
        <v>7711</v>
      </c>
      <c r="E3830" s="4">
        <v>2402907</v>
      </c>
      <c r="F3830" s="4" t="s">
        <v>7712</v>
      </c>
      <c r="G3830" s="4" t="s">
        <v>243</v>
      </c>
      <c r="H3830" s="4"/>
    </row>
    <row r="3831" s="1" customFormat="1" spans="1:8">
      <c r="A3831" s="4" t="s">
        <v>205</v>
      </c>
      <c r="B3831" s="4" t="s">
        <v>57</v>
      </c>
      <c r="C3831" s="4" t="s">
        <v>75</v>
      </c>
      <c r="D3831" s="4" t="s">
        <v>7713</v>
      </c>
      <c r="E3831" s="4">
        <v>2403202</v>
      </c>
      <c r="F3831" s="4" t="s">
        <v>7714</v>
      </c>
      <c r="G3831" s="4" t="s">
        <v>243</v>
      </c>
      <c r="H3831" s="4"/>
    </row>
    <row r="3832" s="1" customFormat="1" spans="1:8">
      <c r="A3832" s="4" t="s">
        <v>205</v>
      </c>
      <c r="B3832" s="4" t="s">
        <v>57</v>
      </c>
      <c r="C3832" s="4" t="s">
        <v>75</v>
      </c>
      <c r="D3832" s="4" t="s">
        <v>7715</v>
      </c>
      <c r="E3832" s="4">
        <v>2403301</v>
      </c>
      <c r="F3832" s="4" t="s">
        <v>7716</v>
      </c>
      <c r="G3832" s="4" t="s">
        <v>243</v>
      </c>
      <c r="H3832" s="4"/>
    </row>
    <row r="3833" s="1" customFormat="1" spans="1:8">
      <c r="A3833" s="4" t="s">
        <v>205</v>
      </c>
      <c r="B3833" s="4" t="s">
        <v>57</v>
      </c>
      <c r="C3833" s="4" t="s">
        <v>75</v>
      </c>
      <c r="D3833" s="4" t="s">
        <v>7717</v>
      </c>
      <c r="E3833" s="4">
        <v>2403707</v>
      </c>
      <c r="F3833" s="4" t="s">
        <v>7718</v>
      </c>
      <c r="G3833" s="4" t="s">
        <v>243</v>
      </c>
      <c r="H3833" s="4"/>
    </row>
    <row r="3834" s="1" customFormat="1" spans="1:8">
      <c r="A3834" s="4" t="s">
        <v>205</v>
      </c>
      <c r="B3834" s="4" t="s">
        <v>57</v>
      </c>
      <c r="C3834" s="4" t="s">
        <v>75</v>
      </c>
      <c r="D3834" s="4" t="s">
        <v>7719</v>
      </c>
      <c r="E3834" s="4">
        <v>2403905</v>
      </c>
      <c r="F3834" s="4" t="s">
        <v>7720</v>
      </c>
      <c r="G3834" s="4" t="s">
        <v>243</v>
      </c>
      <c r="H3834" s="4"/>
    </row>
    <row r="3835" s="1" customFormat="1" spans="1:8">
      <c r="A3835" s="4" t="s">
        <v>205</v>
      </c>
      <c r="B3835" s="4" t="s">
        <v>57</v>
      </c>
      <c r="C3835" s="4" t="s">
        <v>75</v>
      </c>
      <c r="D3835" s="4" t="s">
        <v>7721</v>
      </c>
      <c r="E3835" s="4">
        <v>2404002</v>
      </c>
      <c r="F3835" s="4" t="s">
        <v>7722</v>
      </c>
      <c r="G3835" s="4" t="s">
        <v>243</v>
      </c>
      <c r="H3835" s="4"/>
    </row>
    <row r="3836" s="1" customFormat="1" spans="1:8">
      <c r="A3836" s="4" t="s">
        <v>205</v>
      </c>
      <c r="B3836" s="4" t="s">
        <v>57</v>
      </c>
      <c r="C3836" s="4" t="s">
        <v>75</v>
      </c>
      <c r="D3836" s="4" t="s">
        <v>7723</v>
      </c>
      <c r="E3836" s="4">
        <v>2404309</v>
      </c>
      <c r="F3836" s="4" t="s">
        <v>7724</v>
      </c>
      <c r="G3836" s="4" t="s">
        <v>243</v>
      </c>
      <c r="H3836" s="4"/>
    </row>
    <row r="3837" s="1" customFormat="1" spans="1:8">
      <c r="A3837" s="4" t="s">
        <v>205</v>
      </c>
      <c r="B3837" s="4" t="s">
        <v>57</v>
      </c>
      <c r="C3837" s="4" t="s">
        <v>75</v>
      </c>
      <c r="D3837" s="4" t="s">
        <v>7725</v>
      </c>
      <c r="E3837" s="4">
        <v>2404408</v>
      </c>
      <c r="F3837" s="4" t="s">
        <v>7726</v>
      </c>
      <c r="G3837" s="4" t="s">
        <v>243</v>
      </c>
      <c r="H3837" s="4"/>
    </row>
    <row r="3838" s="1" customFormat="1" spans="1:8">
      <c r="A3838" s="4" t="s">
        <v>205</v>
      </c>
      <c r="B3838" s="4" t="s">
        <v>57</v>
      </c>
      <c r="C3838" s="4" t="s">
        <v>75</v>
      </c>
      <c r="D3838" s="4" t="s">
        <v>7727</v>
      </c>
      <c r="E3838" s="4">
        <v>2404804</v>
      </c>
      <c r="F3838" s="4" t="s">
        <v>7728</v>
      </c>
      <c r="G3838" s="4" t="s">
        <v>243</v>
      </c>
      <c r="H3838" s="4"/>
    </row>
    <row r="3839" s="1" customFormat="1" spans="1:8">
      <c r="A3839" s="4" t="s">
        <v>205</v>
      </c>
      <c r="B3839" s="4" t="s">
        <v>57</v>
      </c>
      <c r="C3839" s="4" t="s">
        <v>75</v>
      </c>
      <c r="D3839" s="4" t="s">
        <v>7729</v>
      </c>
      <c r="E3839" s="4">
        <v>2404903</v>
      </c>
      <c r="F3839" s="4" t="s">
        <v>7730</v>
      </c>
      <c r="G3839" s="4" t="s">
        <v>243</v>
      </c>
      <c r="H3839" s="4"/>
    </row>
    <row r="3840" s="1" customFormat="1" spans="1:8">
      <c r="A3840" s="4" t="s">
        <v>205</v>
      </c>
      <c r="B3840" s="4" t="s">
        <v>57</v>
      </c>
      <c r="C3840" s="4" t="s">
        <v>75</v>
      </c>
      <c r="D3840" s="4" t="s">
        <v>7731</v>
      </c>
      <c r="E3840" s="4">
        <v>2405603</v>
      </c>
      <c r="F3840" s="4" t="s">
        <v>7732</v>
      </c>
      <c r="G3840" s="4" t="s">
        <v>243</v>
      </c>
      <c r="H3840" s="4"/>
    </row>
    <row r="3841" s="1" customFormat="1" spans="1:8">
      <c r="A3841" s="4" t="s">
        <v>205</v>
      </c>
      <c r="B3841" s="4" t="s">
        <v>57</v>
      </c>
      <c r="C3841" s="4" t="s">
        <v>75</v>
      </c>
      <c r="D3841" s="4" t="s">
        <v>7733</v>
      </c>
      <c r="E3841" s="4">
        <v>2406007</v>
      </c>
      <c r="F3841" s="4" t="s">
        <v>7734</v>
      </c>
      <c r="G3841" s="4" t="s">
        <v>243</v>
      </c>
      <c r="H3841" s="4"/>
    </row>
    <row r="3842" s="1" customFormat="1" spans="1:8">
      <c r="A3842" s="4" t="s">
        <v>205</v>
      </c>
      <c r="B3842" s="4" t="s">
        <v>57</v>
      </c>
      <c r="C3842" s="4" t="s">
        <v>75</v>
      </c>
      <c r="D3842" s="4" t="s">
        <v>7735</v>
      </c>
      <c r="E3842" s="4">
        <v>2405900</v>
      </c>
      <c r="F3842" s="4" t="s">
        <v>7736</v>
      </c>
      <c r="G3842" s="4" t="s">
        <v>243</v>
      </c>
      <c r="H3842" s="4"/>
    </row>
    <row r="3843" s="1" customFormat="1" spans="1:8">
      <c r="A3843" s="4" t="s">
        <v>205</v>
      </c>
      <c r="B3843" s="4" t="s">
        <v>57</v>
      </c>
      <c r="C3843" s="4" t="s">
        <v>75</v>
      </c>
      <c r="D3843" s="4" t="s">
        <v>7737</v>
      </c>
      <c r="E3843" s="4">
        <v>2406908</v>
      </c>
      <c r="F3843" s="4" t="s">
        <v>7738</v>
      </c>
      <c r="G3843" s="4" t="s">
        <v>243</v>
      </c>
      <c r="H3843" s="4"/>
    </row>
    <row r="3844" s="1" customFormat="1" spans="1:8">
      <c r="A3844" s="4" t="s">
        <v>205</v>
      </c>
      <c r="B3844" s="4" t="s">
        <v>57</v>
      </c>
      <c r="C3844" s="4" t="s">
        <v>75</v>
      </c>
      <c r="D3844" s="4" t="s">
        <v>7739</v>
      </c>
      <c r="E3844" s="4">
        <v>2407005</v>
      </c>
      <c r="F3844" s="4" t="s">
        <v>7740</v>
      </c>
      <c r="G3844" s="4" t="s">
        <v>243</v>
      </c>
      <c r="H3844" s="4"/>
    </row>
    <row r="3845" s="1" customFormat="1" spans="1:8">
      <c r="A3845" s="4" t="s">
        <v>205</v>
      </c>
      <c r="B3845" s="4" t="s">
        <v>57</v>
      </c>
      <c r="C3845" s="4" t="s">
        <v>75</v>
      </c>
      <c r="D3845" s="4" t="s">
        <v>7741</v>
      </c>
      <c r="E3845" s="4">
        <v>2407252</v>
      </c>
      <c r="F3845" s="4" t="s">
        <v>7742</v>
      </c>
      <c r="G3845" s="4" t="s">
        <v>243</v>
      </c>
      <c r="H3845" s="4"/>
    </row>
    <row r="3846" s="1" customFormat="1" spans="1:8">
      <c r="A3846" s="4" t="s">
        <v>205</v>
      </c>
      <c r="B3846" s="4" t="s">
        <v>57</v>
      </c>
      <c r="C3846" s="4" t="s">
        <v>75</v>
      </c>
      <c r="D3846" s="4" t="s">
        <v>7743</v>
      </c>
      <c r="E3846" s="4">
        <v>2407302</v>
      </c>
      <c r="F3846" s="4" t="s">
        <v>7744</v>
      </c>
      <c r="G3846" s="4" t="s">
        <v>243</v>
      </c>
      <c r="H3846" s="4"/>
    </row>
    <row r="3847" s="1" customFormat="1" spans="1:8">
      <c r="A3847" s="4" t="s">
        <v>205</v>
      </c>
      <c r="B3847" s="4" t="s">
        <v>57</v>
      </c>
      <c r="C3847" s="4" t="s">
        <v>75</v>
      </c>
      <c r="D3847" s="4" t="s">
        <v>7745</v>
      </c>
      <c r="E3847" s="4">
        <v>2407401</v>
      </c>
      <c r="F3847" s="4" t="s">
        <v>7746</v>
      </c>
      <c r="G3847" s="4" t="s">
        <v>243</v>
      </c>
      <c r="H3847" s="4"/>
    </row>
    <row r="3848" s="1" customFormat="1" spans="1:8">
      <c r="A3848" s="4" t="s">
        <v>205</v>
      </c>
      <c r="B3848" s="4" t="s">
        <v>57</v>
      </c>
      <c r="C3848" s="4" t="s">
        <v>75</v>
      </c>
      <c r="D3848" s="4" t="s">
        <v>7747</v>
      </c>
      <c r="E3848" s="4">
        <v>2407609</v>
      </c>
      <c r="F3848" s="4" t="s">
        <v>7748</v>
      </c>
      <c r="G3848" s="4" t="s">
        <v>243</v>
      </c>
      <c r="H3848" s="4"/>
    </row>
    <row r="3849" s="1" customFormat="1" spans="1:8">
      <c r="A3849" s="4" t="s">
        <v>205</v>
      </c>
      <c r="B3849" s="4" t="s">
        <v>57</v>
      </c>
      <c r="C3849" s="4" t="s">
        <v>75</v>
      </c>
      <c r="D3849" s="4" t="s">
        <v>7749</v>
      </c>
      <c r="E3849" s="4">
        <v>2408409</v>
      </c>
      <c r="F3849" s="4" t="s">
        <v>7750</v>
      </c>
      <c r="G3849" s="4" t="s">
        <v>243</v>
      </c>
      <c r="H3849" s="4"/>
    </row>
    <row r="3850" s="1" customFormat="1" spans="1:8">
      <c r="A3850" s="4" t="s">
        <v>205</v>
      </c>
      <c r="B3850" s="4" t="s">
        <v>57</v>
      </c>
      <c r="C3850" s="4" t="s">
        <v>75</v>
      </c>
      <c r="D3850" s="4" t="s">
        <v>7751</v>
      </c>
      <c r="E3850" s="4">
        <v>2408607</v>
      </c>
      <c r="F3850" s="4" t="s">
        <v>7752</v>
      </c>
      <c r="G3850" s="4" t="s">
        <v>243</v>
      </c>
      <c r="H3850" s="4"/>
    </row>
    <row r="3851" s="1" customFormat="1" spans="1:8">
      <c r="A3851" s="4" t="s">
        <v>205</v>
      </c>
      <c r="B3851" s="4" t="s">
        <v>57</v>
      </c>
      <c r="C3851" s="4" t="s">
        <v>75</v>
      </c>
      <c r="D3851" s="4" t="s">
        <v>7753</v>
      </c>
      <c r="E3851" s="4">
        <v>2409308</v>
      </c>
      <c r="F3851" s="4" t="s">
        <v>7754</v>
      </c>
      <c r="G3851" s="4" t="s">
        <v>243</v>
      </c>
      <c r="H3851" s="4"/>
    </row>
    <row r="3852" s="1" customFormat="1" spans="1:8">
      <c r="A3852" s="4" t="s">
        <v>205</v>
      </c>
      <c r="B3852" s="4" t="s">
        <v>57</v>
      </c>
      <c r="C3852" s="4" t="s">
        <v>75</v>
      </c>
      <c r="D3852" s="4" t="s">
        <v>7755</v>
      </c>
      <c r="E3852" s="4">
        <v>2409407</v>
      </c>
      <c r="F3852" s="4" t="s">
        <v>7756</v>
      </c>
      <c r="G3852" s="4" t="s">
        <v>243</v>
      </c>
      <c r="H3852" s="4"/>
    </row>
    <row r="3853" s="1" customFormat="1" spans="1:8">
      <c r="A3853" s="4" t="s">
        <v>205</v>
      </c>
      <c r="B3853" s="4" t="s">
        <v>57</v>
      </c>
      <c r="C3853" s="4" t="s">
        <v>75</v>
      </c>
      <c r="D3853" s="4" t="s">
        <v>5442</v>
      </c>
      <c r="E3853" s="4">
        <v>2410009</v>
      </c>
      <c r="F3853" s="4" t="s">
        <v>7757</v>
      </c>
      <c r="G3853" s="4" t="s">
        <v>243</v>
      </c>
      <c r="H3853" s="4"/>
    </row>
    <row r="3854" s="1" customFormat="1" spans="1:8">
      <c r="A3854" s="4" t="s">
        <v>205</v>
      </c>
      <c r="B3854" s="4" t="s">
        <v>57</v>
      </c>
      <c r="C3854" s="4" t="s">
        <v>75</v>
      </c>
      <c r="D3854" s="4" t="s">
        <v>7758</v>
      </c>
      <c r="E3854" s="4">
        <v>2410207</v>
      </c>
      <c r="F3854" s="4" t="s">
        <v>7759</v>
      </c>
      <c r="G3854" s="4" t="s">
        <v>243</v>
      </c>
      <c r="H3854" s="4"/>
    </row>
    <row r="3855" s="1" customFormat="1" spans="1:8">
      <c r="A3855" s="4" t="s">
        <v>205</v>
      </c>
      <c r="B3855" s="4" t="s">
        <v>57</v>
      </c>
      <c r="C3855" s="4" t="s">
        <v>75</v>
      </c>
      <c r="D3855" s="4" t="s">
        <v>7760</v>
      </c>
      <c r="E3855" s="4">
        <v>2410504</v>
      </c>
      <c r="F3855" s="4" t="s">
        <v>7761</v>
      </c>
      <c r="G3855" s="4" t="s">
        <v>243</v>
      </c>
      <c r="H3855" s="4"/>
    </row>
    <row r="3856" s="1" customFormat="1" spans="1:8">
      <c r="A3856" s="4" t="s">
        <v>205</v>
      </c>
      <c r="B3856" s="4" t="s">
        <v>57</v>
      </c>
      <c r="C3856" s="4" t="s">
        <v>75</v>
      </c>
      <c r="D3856" s="4" t="s">
        <v>7762</v>
      </c>
      <c r="E3856" s="4">
        <v>2410603</v>
      </c>
      <c r="F3856" s="4" t="s">
        <v>7763</v>
      </c>
      <c r="G3856" s="4" t="s">
        <v>243</v>
      </c>
      <c r="H3856" s="4"/>
    </row>
    <row r="3857" s="1" customFormat="1" spans="1:8">
      <c r="A3857" s="4" t="s">
        <v>205</v>
      </c>
      <c r="B3857" s="4" t="s">
        <v>57</v>
      </c>
      <c r="C3857" s="4" t="s">
        <v>75</v>
      </c>
      <c r="D3857" s="4" t="s">
        <v>7764</v>
      </c>
      <c r="E3857" s="4">
        <v>2410702</v>
      </c>
      <c r="F3857" s="4" t="s">
        <v>7765</v>
      </c>
      <c r="G3857" s="4" t="s">
        <v>243</v>
      </c>
      <c r="H3857" s="4"/>
    </row>
    <row r="3858" s="1" customFormat="1" spans="1:8">
      <c r="A3858" s="4" t="s">
        <v>205</v>
      </c>
      <c r="B3858" s="4" t="s">
        <v>57</v>
      </c>
      <c r="C3858" s="4" t="s">
        <v>75</v>
      </c>
      <c r="D3858" s="4" t="s">
        <v>1405</v>
      </c>
      <c r="E3858" s="4">
        <v>2410801</v>
      </c>
      <c r="F3858" s="4" t="s">
        <v>7766</v>
      </c>
      <c r="G3858" s="4" t="s">
        <v>243</v>
      </c>
      <c r="H3858" s="4"/>
    </row>
    <row r="3859" s="1" customFormat="1" spans="1:8">
      <c r="A3859" s="4" t="s">
        <v>205</v>
      </c>
      <c r="B3859" s="4" t="s">
        <v>57</v>
      </c>
      <c r="C3859" s="4" t="s">
        <v>75</v>
      </c>
      <c r="D3859" s="4" t="s">
        <v>7767</v>
      </c>
      <c r="E3859" s="4">
        <v>2411007</v>
      </c>
      <c r="F3859" s="4" t="s">
        <v>7768</v>
      </c>
      <c r="G3859" s="4" t="s">
        <v>243</v>
      </c>
      <c r="H3859" s="4"/>
    </row>
    <row r="3860" s="1" customFormat="1" spans="1:8">
      <c r="A3860" s="4" t="s">
        <v>205</v>
      </c>
      <c r="B3860" s="4" t="s">
        <v>57</v>
      </c>
      <c r="C3860" s="4" t="s">
        <v>75</v>
      </c>
      <c r="D3860" s="4" t="s">
        <v>7769</v>
      </c>
      <c r="E3860" s="4">
        <v>2413359</v>
      </c>
      <c r="F3860" s="4" t="s">
        <v>7770</v>
      </c>
      <c r="G3860" s="4" t="s">
        <v>243</v>
      </c>
      <c r="H3860" s="4"/>
    </row>
    <row r="3861" s="1" customFormat="1" spans="1:8">
      <c r="A3861" s="4" t="s">
        <v>205</v>
      </c>
      <c r="B3861" s="4" t="s">
        <v>57</v>
      </c>
      <c r="C3861" s="4" t="s">
        <v>75</v>
      </c>
      <c r="D3861" s="4" t="s">
        <v>7771</v>
      </c>
      <c r="E3861" s="4">
        <v>2413409</v>
      </c>
      <c r="F3861" s="4" t="s">
        <v>7772</v>
      </c>
      <c r="G3861" s="4" t="s">
        <v>243</v>
      </c>
      <c r="H3861" s="4"/>
    </row>
    <row r="3862" s="1" customFormat="1" spans="1:8">
      <c r="A3862" s="4" t="s">
        <v>205</v>
      </c>
      <c r="B3862" s="4" t="s">
        <v>57</v>
      </c>
      <c r="C3862" s="4" t="s">
        <v>75</v>
      </c>
      <c r="D3862" s="4" t="s">
        <v>7773</v>
      </c>
      <c r="E3862" s="4">
        <v>2413557</v>
      </c>
      <c r="F3862" s="4" t="s">
        <v>7774</v>
      </c>
      <c r="G3862" s="4" t="s">
        <v>243</v>
      </c>
      <c r="H3862" s="4"/>
    </row>
    <row r="3863" s="1" customFormat="1" spans="1:8">
      <c r="A3863" s="4" t="s">
        <v>205</v>
      </c>
      <c r="B3863" s="4" t="s">
        <v>57</v>
      </c>
      <c r="C3863" s="4" t="s">
        <v>75</v>
      </c>
      <c r="D3863" s="4" t="s">
        <v>7775</v>
      </c>
      <c r="E3863" s="4">
        <v>2413607</v>
      </c>
      <c r="F3863" s="4" t="s">
        <v>7776</v>
      </c>
      <c r="G3863" s="4" t="s">
        <v>243</v>
      </c>
      <c r="H3863" s="4"/>
    </row>
    <row r="3864" s="1" customFormat="1" spans="1:8">
      <c r="A3864" s="4" t="s">
        <v>205</v>
      </c>
      <c r="B3864" s="4" t="s">
        <v>57</v>
      </c>
      <c r="C3864" s="4" t="s">
        <v>75</v>
      </c>
      <c r="D3864" s="4" t="s">
        <v>7777</v>
      </c>
      <c r="E3864" s="4">
        <v>2411908</v>
      </c>
      <c r="F3864" s="4" t="s">
        <v>7778</v>
      </c>
      <c r="G3864" s="4" t="s">
        <v>243</v>
      </c>
      <c r="H3864" s="4"/>
    </row>
    <row r="3865" s="1" customFormat="1" spans="1:8">
      <c r="A3865" s="4" t="s">
        <v>205</v>
      </c>
      <c r="B3865" s="4" t="s">
        <v>57</v>
      </c>
      <c r="C3865" s="4" t="s">
        <v>75</v>
      </c>
      <c r="D3865" s="4" t="s">
        <v>7779</v>
      </c>
      <c r="E3865" s="4">
        <v>2412104</v>
      </c>
      <c r="F3865" s="4" t="s">
        <v>7780</v>
      </c>
      <c r="G3865" s="4" t="s">
        <v>243</v>
      </c>
      <c r="H3865" s="4"/>
    </row>
    <row r="3866" s="1" customFormat="1" spans="1:8">
      <c r="A3866" s="4" t="s">
        <v>205</v>
      </c>
      <c r="B3866" s="4" t="s">
        <v>57</v>
      </c>
      <c r="C3866" s="4" t="s">
        <v>75</v>
      </c>
      <c r="D3866" s="4" t="s">
        <v>7781</v>
      </c>
      <c r="E3866" s="4">
        <v>2412500</v>
      </c>
      <c r="F3866" s="4" t="s">
        <v>7782</v>
      </c>
      <c r="G3866" s="4" t="s">
        <v>243</v>
      </c>
      <c r="H3866" s="4"/>
    </row>
    <row r="3867" s="1" customFormat="1" spans="1:8">
      <c r="A3867" s="4" t="s">
        <v>205</v>
      </c>
      <c r="B3867" s="4" t="s">
        <v>57</v>
      </c>
      <c r="C3867" s="4" t="s">
        <v>75</v>
      </c>
      <c r="D3867" s="4" t="s">
        <v>7783</v>
      </c>
      <c r="E3867" s="4">
        <v>2413805</v>
      </c>
      <c r="F3867" s="4" t="s">
        <v>7784</v>
      </c>
      <c r="G3867" s="4" t="s">
        <v>243</v>
      </c>
      <c r="H3867" s="4"/>
    </row>
    <row r="3868" s="1" customFormat="1" spans="1:8">
      <c r="A3868" s="4" t="s">
        <v>205</v>
      </c>
      <c r="B3868" s="4" t="s">
        <v>57</v>
      </c>
      <c r="C3868" s="4" t="s">
        <v>75</v>
      </c>
      <c r="D3868" s="4" t="s">
        <v>7785</v>
      </c>
      <c r="E3868" s="4">
        <v>2414100</v>
      </c>
      <c r="F3868" s="4" t="s">
        <v>7786</v>
      </c>
      <c r="G3868" s="4" t="s">
        <v>243</v>
      </c>
      <c r="H3868" s="4"/>
    </row>
    <row r="3869" s="1" customFormat="1" spans="1:8">
      <c r="A3869" s="4" t="s">
        <v>205</v>
      </c>
      <c r="B3869" s="4" t="s">
        <v>57</v>
      </c>
      <c r="C3869" s="4" t="s">
        <v>75</v>
      </c>
      <c r="D3869" s="4" t="s">
        <v>7787</v>
      </c>
      <c r="E3869" s="4">
        <v>2411056</v>
      </c>
      <c r="F3869" s="4" t="s">
        <v>7788</v>
      </c>
      <c r="G3869" s="4" t="s">
        <v>243</v>
      </c>
      <c r="H3869" s="4"/>
    </row>
    <row r="3870" s="1" customFormat="1" spans="1:8">
      <c r="A3870" s="4" t="s">
        <v>205</v>
      </c>
      <c r="B3870" s="4" t="s">
        <v>57</v>
      </c>
      <c r="C3870" s="4" t="s">
        <v>75</v>
      </c>
      <c r="D3870" s="4" t="s">
        <v>7789</v>
      </c>
      <c r="E3870" s="4">
        <v>2414506</v>
      </c>
      <c r="F3870" s="4" t="s">
        <v>7790</v>
      </c>
      <c r="G3870" s="4" t="s">
        <v>243</v>
      </c>
      <c r="H3870" s="4"/>
    </row>
    <row r="3871" s="1" customFormat="1" spans="1:8">
      <c r="A3871" s="4" t="s">
        <v>205</v>
      </c>
      <c r="B3871" s="4" t="s">
        <v>57</v>
      </c>
      <c r="C3871" s="4" t="s">
        <v>75</v>
      </c>
      <c r="D3871" s="4" t="s">
        <v>7791</v>
      </c>
      <c r="E3871" s="4">
        <v>2414753</v>
      </c>
      <c r="F3871" s="4" t="s">
        <v>7792</v>
      </c>
      <c r="G3871" s="4" t="s">
        <v>243</v>
      </c>
      <c r="H3871" s="4"/>
    </row>
    <row r="3872" s="1" customFormat="1" spans="1:8">
      <c r="A3872" s="4" t="s">
        <v>205</v>
      </c>
      <c r="B3872" s="4" t="s">
        <v>57</v>
      </c>
      <c r="C3872" s="4" t="s">
        <v>75</v>
      </c>
      <c r="D3872" s="4" t="s">
        <v>321</v>
      </c>
      <c r="E3872" s="4">
        <v>2414902</v>
      </c>
      <c r="F3872" s="4" t="s">
        <v>7793</v>
      </c>
      <c r="G3872" s="4" t="s">
        <v>243</v>
      </c>
      <c r="H3872" s="4"/>
    </row>
    <row r="3873" s="1" customFormat="1" spans="1:8">
      <c r="A3873" s="4" t="s">
        <v>205</v>
      </c>
      <c r="B3873" s="4" t="s">
        <v>57</v>
      </c>
      <c r="C3873" s="4" t="s">
        <v>75</v>
      </c>
      <c r="D3873" s="4" t="s">
        <v>7794</v>
      </c>
      <c r="E3873" s="4">
        <v>2400406</v>
      </c>
      <c r="F3873" s="4" t="s">
        <v>7795</v>
      </c>
      <c r="G3873" s="4" t="s">
        <v>243</v>
      </c>
      <c r="H3873" s="4"/>
    </row>
    <row r="3874" s="1" customFormat="1" spans="1:8">
      <c r="A3874" s="4" t="s">
        <v>205</v>
      </c>
      <c r="B3874" s="4" t="s">
        <v>33</v>
      </c>
      <c r="C3874" s="4" t="s">
        <v>51</v>
      </c>
      <c r="D3874" s="4" t="s">
        <v>52</v>
      </c>
      <c r="E3874" s="4">
        <v>1100205</v>
      </c>
      <c r="F3874" s="4" t="s">
        <v>7796</v>
      </c>
      <c r="G3874" s="4" t="s">
        <v>207</v>
      </c>
      <c r="H3874" s="4"/>
    </row>
    <row r="3875" s="1" customFormat="1" spans="1:8">
      <c r="A3875" s="4" t="s">
        <v>205</v>
      </c>
      <c r="B3875" s="4" t="s">
        <v>33</v>
      </c>
      <c r="C3875" s="4" t="s">
        <v>51</v>
      </c>
      <c r="D3875" s="4" t="s">
        <v>7797</v>
      </c>
      <c r="E3875" s="4">
        <v>1100809</v>
      </c>
      <c r="F3875" s="4" t="s">
        <v>7798</v>
      </c>
      <c r="G3875" s="4" t="s">
        <v>210</v>
      </c>
      <c r="H3875" s="4"/>
    </row>
    <row r="3876" s="1" customFormat="1" spans="1:8">
      <c r="A3876" s="4" t="s">
        <v>205</v>
      </c>
      <c r="B3876" s="4" t="s">
        <v>33</v>
      </c>
      <c r="C3876" s="4" t="s">
        <v>51</v>
      </c>
      <c r="D3876" s="4" t="s">
        <v>6969</v>
      </c>
      <c r="E3876" s="4">
        <v>1100403</v>
      </c>
      <c r="F3876" s="4" t="s">
        <v>7799</v>
      </c>
      <c r="G3876" s="4" t="s">
        <v>215</v>
      </c>
      <c r="H3876" s="4"/>
    </row>
    <row r="3877" s="1" customFormat="1" spans="1:8">
      <c r="A3877" s="4" t="s">
        <v>205</v>
      </c>
      <c r="B3877" s="4" t="s">
        <v>33</v>
      </c>
      <c r="C3877" s="4" t="s">
        <v>51</v>
      </c>
      <c r="D3877" s="4" t="s">
        <v>7800</v>
      </c>
      <c r="E3877" s="4">
        <v>1100023</v>
      </c>
      <c r="F3877" s="4" t="s">
        <v>7801</v>
      </c>
      <c r="G3877" s="4" t="s">
        <v>215</v>
      </c>
      <c r="H3877" s="4"/>
    </row>
    <row r="3878" s="1" customFormat="1" spans="1:8">
      <c r="A3878" s="4" t="s">
        <v>205</v>
      </c>
      <c r="B3878" s="4" t="s">
        <v>33</v>
      </c>
      <c r="C3878" s="4" t="s">
        <v>51</v>
      </c>
      <c r="D3878" s="4" t="s">
        <v>7802</v>
      </c>
      <c r="E3878" s="4">
        <v>1100601</v>
      </c>
      <c r="F3878" s="4" t="s">
        <v>7803</v>
      </c>
      <c r="G3878" s="4" t="s">
        <v>215</v>
      </c>
      <c r="H3878" s="4"/>
    </row>
    <row r="3879" s="1" customFormat="1" spans="1:8">
      <c r="A3879" s="4" t="s">
        <v>205</v>
      </c>
      <c r="B3879" s="4" t="s">
        <v>33</v>
      </c>
      <c r="C3879" s="4" t="s">
        <v>51</v>
      </c>
      <c r="D3879" s="4" t="s">
        <v>7804</v>
      </c>
      <c r="E3879" s="4">
        <v>1100940</v>
      </c>
      <c r="F3879" s="4" t="s">
        <v>7805</v>
      </c>
      <c r="G3879" s="4" t="s">
        <v>215</v>
      </c>
      <c r="H3879" s="4"/>
    </row>
    <row r="3880" s="1" customFormat="1" spans="1:8">
      <c r="A3880" s="4" t="s">
        <v>205</v>
      </c>
      <c r="B3880" s="4" t="s">
        <v>33</v>
      </c>
      <c r="C3880" s="4" t="s">
        <v>51</v>
      </c>
      <c r="D3880" s="4" t="s">
        <v>7806</v>
      </c>
      <c r="E3880" s="4">
        <v>1101104</v>
      </c>
      <c r="F3880" s="4" t="s">
        <v>7807</v>
      </c>
      <c r="G3880" s="4" t="s">
        <v>215</v>
      </c>
      <c r="H3880" s="4"/>
    </row>
    <row r="3881" s="1" customFormat="1" spans="1:8">
      <c r="A3881" s="4" t="s">
        <v>205</v>
      </c>
      <c r="B3881" s="4" t="s">
        <v>33</v>
      </c>
      <c r="C3881" s="4" t="s">
        <v>51</v>
      </c>
      <c r="D3881" s="4" t="s">
        <v>7808</v>
      </c>
      <c r="E3881" s="4">
        <v>1100205</v>
      </c>
      <c r="F3881" s="4" t="s">
        <v>7809</v>
      </c>
      <c r="G3881" s="4" t="s">
        <v>215</v>
      </c>
      <c r="H3881" s="4"/>
    </row>
    <row r="3882" s="1" customFormat="1" spans="1:8">
      <c r="A3882" s="4" t="s">
        <v>205</v>
      </c>
      <c r="B3882" s="4" t="s">
        <v>33</v>
      </c>
      <c r="C3882" s="4" t="s">
        <v>51</v>
      </c>
      <c r="D3882" s="4" t="s">
        <v>7810</v>
      </c>
      <c r="E3882" s="4">
        <v>1101401</v>
      </c>
      <c r="F3882" s="4" t="s">
        <v>7811</v>
      </c>
      <c r="G3882" s="4" t="s">
        <v>215</v>
      </c>
      <c r="H3882" s="4"/>
    </row>
    <row r="3883" s="1" customFormat="1" spans="1:8">
      <c r="A3883" s="4" t="s">
        <v>205</v>
      </c>
      <c r="B3883" s="4" t="s">
        <v>33</v>
      </c>
      <c r="C3883" s="4" t="s">
        <v>51</v>
      </c>
      <c r="D3883" s="4" t="s">
        <v>7812</v>
      </c>
      <c r="E3883" s="4">
        <v>1100262</v>
      </c>
      <c r="F3883" s="4" t="s">
        <v>7813</v>
      </c>
      <c r="G3883" s="4" t="s">
        <v>215</v>
      </c>
      <c r="H3883" s="4"/>
    </row>
    <row r="3884" s="1" customFormat="1" spans="1:8">
      <c r="A3884" s="4" t="s">
        <v>205</v>
      </c>
      <c r="B3884" s="4" t="s">
        <v>33</v>
      </c>
      <c r="C3884" s="4" t="s">
        <v>51</v>
      </c>
      <c r="D3884" s="4" t="s">
        <v>7814</v>
      </c>
      <c r="E3884" s="4">
        <v>1100379</v>
      </c>
      <c r="F3884" s="4" t="s">
        <v>7815</v>
      </c>
      <c r="G3884" s="4" t="s">
        <v>232</v>
      </c>
      <c r="H3884" s="4"/>
    </row>
    <row r="3885" s="1" customFormat="1" spans="1:8">
      <c r="A3885" s="4" t="s">
        <v>205</v>
      </c>
      <c r="B3885" s="4" t="s">
        <v>33</v>
      </c>
      <c r="C3885" s="4" t="s">
        <v>51</v>
      </c>
      <c r="D3885" s="4" t="s">
        <v>7816</v>
      </c>
      <c r="E3885" s="4">
        <v>1100346</v>
      </c>
      <c r="F3885" s="4" t="s">
        <v>7817</v>
      </c>
      <c r="G3885" s="4" t="s">
        <v>232</v>
      </c>
      <c r="H3885" s="4"/>
    </row>
    <row r="3886" s="1" customFormat="1" spans="1:8">
      <c r="A3886" s="4" t="s">
        <v>205</v>
      </c>
      <c r="B3886" s="4" t="s">
        <v>33</v>
      </c>
      <c r="C3886" s="4" t="s">
        <v>51</v>
      </c>
      <c r="D3886" s="4" t="s">
        <v>4413</v>
      </c>
      <c r="E3886" s="4">
        <v>1100452</v>
      </c>
      <c r="F3886" s="4" t="s">
        <v>7818</v>
      </c>
      <c r="G3886" s="4" t="s">
        <v>232</v>
      </c>
      <c r="H3886" s="4"/>
    </row>
    <row r="3887" s="1" customFormat="1" spans="1:8">
      <c r="A3887" s="4" t="s">
        <v>205</v>
      </c>
      <c r="B3887" s="4" t="s">
        <v>33</v>
      </c>
      <c r="C3887" s="4" t="s">
        <v>51</v>
      </c>
      <c r="D3887" s="4" t="s">
        <v>7819</v>
      </c>
      <c r="E3887" s="4">
        <v>1100049</v>
      </c>
      <c r="F3887" s="4" t="s">
        <v>7820</v>
      </c>
      <c r="G3887" s="4" t="s">
        <v>232</v>
      </c>
      <c r="H3887" s="4"/>
    </row>
    <row r="3888" s="1" customFormat="1" spans="1:8">
      <c r="A3888" s="4" t="s">
        <v>205</v>
      </c>
      <c r="B3888" s="4" t="s">
        <v>33</v>
      </c>
      <c r="C3888" s="4" t="s">
        <v>51</v>
      </c>
      <c r="D3888" s="4" t="s">
        <v>7821</v>
      </c>
      <c r="E3888" s="4">
        <v>1100700</v>
      </c>
      <c r="F3888" s="4" t="s">
        <v>7822</v>
      </c>
      <c r="G3888" s="4" t="s">
        <v>232</v>
      </c>
      <c r="H3888" s="4"/>
    </row>
    <row r="3889" s="1" customFormat="1" spans="1:8">
      <c r="A3889" s="4" t="s">
        <v>205</v>
      </c>
      <c r="B3889" s="4" t="s">
        <v>33</v>
      </c>
      <c r="C3889" s="4" t="s">
        <v>51</v>
      </c>
      <c r="D3889" s="4" t="s">
        <v>7823</v>
      </c>
      <c r="E3889" s="4">
        <v>1100908</v>
      </c>
      <c r="F3889" s="4" t="s">
        <v>7824</v>
      </c>
      <c r="G3889" s="4" t="s">
        <v>232</v>
      </c>
      <c r="H3889" s="4"/>
    </row>
    <row r="3890" s="1" customFormat="1" spans="1:8">
      <c r="A3890" s="4" t="s">
        <v>205</v>
      </c>
      <c r="B3890" s="4" t="s">
        <v>33</v>
      </c>
      <c r="C3890" s="4" t="s">
        <v>51</v>
      </c>
      <c r="D3890" s="7" t="s">
        <v>7825</v>
      </c>
      <c r="E3890" s="4">
        <v>1100098</v>
      </c>
      <c r="F3890" s="4" t="s">
        <v>7826</v>
      </c>
      <c r="G3890" s="4" t="s">
        <v>232</v>
      </c>
      <c r="H3890" s="4"/>
    </row>
    <row r="3891" s="1" customFormat="1" spans="1:8">
      <c r="A3891" s="4" t="s">
        <v>205</v>
      </c>
      <c r="B3891" s="4" t="s">
        <v>33</v>
      </c>
      <c r="C3891" s="4" t="s">
        <v>51</v>
      </c>
      <c r="D3891" s="4" t="s">
        <v>7827</v>
      </c>
      <c r="E3891" s="4">
        <v>1101005</v>
      </c>
      <c r="F3891" s="4" t="s">
        <v>7828</v>
      </c>
      <c r="G3891" s="4" t="s">
        <v>232</v>
      </c>
      <c r="H3891" s="4"/>
    </row>
    <row r="3892" s="1" customFormat="1" spans="1:8">
      <c r="A3892" s="4" t="s">
        <v>205</v>
      </c>
      <c r="B3892" s="4" t="s">
        <v>33</v>
      </c>
      <c r="C3892" s="4" t="s">
        <v>51</v>
      </c>
      <c r="D3892" s="4" t="s">
        <v>7829</v>
      </c>
      <c r="E3892" s="4">
        <v>1100106</v>
      </c>
      <c r="F3892" s="4" t="s">
        <v>7830</v>
      </c>
      <c r="G3892" s="4" t="s">
        <v>232</v>
      </c>
      <c r="H3892" s="4"/>
    </row>
    <row r="3893" s="1" customFormat="1" spans="1:8">
      <c r="A3893" s="4" t="s">
        <v>205</v>
      </c>
      <c r="B3893" s="4" t="s">
        <v>33</v>
      </c>
      <c r="C3893" s="4" t="s">
        <v>51</v>
      </c>
      <c r="D3893" s="4" t="s">
        <v>7831</v>
      </c>
      <c r="E3893" s="4">
        <v>1100114</v>
      </c>
      <c r="F3893" s="4" t="s">
        <v>7832</v>
      </c>
      <c r="G3893" s="4" t="s">
        <v>232</v>
      </c>
      <c r="H3893" s="4"/>
    </row>
    <row r="3894" s="1" customFormat="1" spans="1:8">
      <c r="A3894" s="4" t="s">
        <v>205</v>
      </c>
      <c r="B3894" s="4" t="s">
        <v>33</v>
      </c>
      <c r="C3894" s="4" t="s">
        <v>51</v>
      </c>
      <c r="D3894" s="4" t="s">
        <v>7833</v>
      </c>
      <c r="E3894" s="4">
        <v>1100122</v>
      </c>
      <c r="F3894" s="4" t="s">
        <v>7834</v>
      </c>
      <c r="G3894" s="4" t="s">
        <v>232</v>
      </c>
      <c r="H3894" s="4"/>
    </row>
    <row r="3895" s="1" customFormat="1" spans="1:8">
      <c r="A3895" s="4" t="s">
        <v>205</v>
      </c>
      <c r="B3895" s="4" t="s">
        <v>33</v>
      </c>
      <c r="C3895" s="4" t="s">
        <v>51</v>
      </c>
      <c r="D3895" s="4" t="s">
        <v>7835</v>
      </c>
      <c r="E3895" s="4">
        <v>1100130</v>
      </c>
      <c r="F3895" s="4" t="s">
        <v>7836</v>
      </c>
      <c r="G3895" s="4" t="s">
        <v>232</v>
      </c>
      <c r="H3895" s="4"/>
    </row>
    <row r="3896" s="1" customFormat="1" spans="1:8">
      <c r="A3896" s="4" t="s">
        <v>205</v>
      </c>
      <c r="B3896" s="4" t="s">
        <v>33</v>
      </c>
      <c r="C3896" s="4" t="s">
        <v>51</v>
      </c>
      <c r="D3896" s="4" t="s">
        <v>7837</v>
      </c>
      <c r="E3896" s="4">
        <v>1101203</v>
      </c>
      <c r="F3896" s="4" t="s">
        <v>7838</v>
      </c>
      <c r="G3896" s="4" t="s">
        <v>232</v>
      </c>
      <c r="H3896" s="4"/>
    </row>
    <row r="3897" s="1" customFormat="1" spans="1:8">
      <c r="A3897" s="4" t="s">
        <v>205</v>
      </c>
      <c r="B3897" s="4" t="s">
        <v>33</v>
      </c>
      <c r="C3897" s="4" t="s">
        <v>51</v>
      </c>
      <c r="D3897" s="4" t="s">
        <v>7839</v>
      </c>
      <c r="E3897" s="4">
        <v>1101302</v>
      </c>
      <c r="F3897" s="4" t="s">
        <v>7840</v>
      </c>
      <c r="G3897" s="4" t="s">
        <v>232</v>
      </c>
      <c r="H3897" s="4"/>
    </row>
    <row r="3898" s="1" customFormat="1" spans="1:8">
      <c r="A3898" s="4" t="s">
        <v>205</v>
      </c>
      <c r="B3898" s="4" t="s">
        <v>33</v>
      </c>
      <c r="C3898" s="4" t="s">
        <v>51</v>
      </c>
      <c r="D3898" s="4" t="s">
        <v>7841</v>
      </c>
      <c r="E3898" s="4">
        <v>1100148</v>
      </c>
      <c r="F3898" s="4" t="s">
        <v>7842</v>
      </c>
      <c r="G3898" s="4" t="s">
        <v>232</v>
      </c>
      <c r="H3898" s="4"/>
    </row>
    <row r="3899" s="1" customFormat="1" spans="1:8">
      <c r="A3899" s="4" t="s">
        <v>205</v>
      </c>
      <c r="B3899" s="4" t="s">
        <v>33</v>
      </c>
      <c r="C3899" s="4" t="s">
        <v>51</v>
      </c>
      <c r="D3899" s="4" t="s">
        <v>7843</v>
      </c>
      <c r="E3899" s="4">
        <v>1100338</v>
      </c>
      <c r="F3899" s="4" t="s">
        <v>7844</v>
      </c>
      <c r="G3899" s="4" t="s">
        <v>232</v>
      </c>
      <c r="H3899" s="4"/>
    </row>
    <row r="3900" s="1" customFormat="1" spans="1:8">
      <c r="A3900" s="4" t="s">
        <v>205</v>
      </c>
      <c r="B3900" s="4" t="s">
        <v>33</v>
      </c>
      <c r="C3900" s="4" t="s">
        <v>51</v>
      </c>
      <c r="D3900" s="4" t="s">
        <v>3325</v>
      </c>
      <c r="E3900" s="4">
        <v>1101435</v>
      </c>
      <c r="F3900" s="4" t="s">
        <v>7845</v>
      </c>
      <c r="G3900" s="4" t="s">
        <v>232</v>
      </c>
      <c r="H3900" s="4"/>
    </row>
    <row r="3901" s="1" customFormat="1" spans="1:8">
      <c r="A3901" s="4" t="s">
        <v>205</v>
      </c>
      <c r="B3901" s="4" t="s">
        <v>33</v>
      </c>
      <c r="C3901" s="4" t="s">
        <v>51</v>
      </c>
      <c r="D3901" s="4" t="s">
        <v>7846</v>
      </c>
      <c r="E3901" s="4">
        <v>1100502</v>
      </c>
      <c r="F3901" s="4" t="s">
        <v>7847</v>
      </c>
      <c r="G3901" s="4" t="s">
        <v>232</v>
      </c>
      <c r="H3901" s="4"/>
    </row>
    <row r="3902" s="1" customFormat="1" spans="1:8">
      <c r="A3902" s="4" t="s">
        <v>205</v>
      </c>
      <c r="B3902" s="4" t="s">
        <v>33</v>
      </c>
      <c r="C3902" s="4" t="s">
        <v>51</v>
      </c>
      <c r="D3902" s="4" t="s">
        <v>7848</v>
      </c>
      <c r="E3902" s="4">
        <v>1100155</v>
      </c>
      <c r="F3902" s="4" t="s">
        <v>7849</v>
      </c>
      <c r="G3902" s="4" t="s">
        <v>232</v>
      </c>
      <c r="H3902" s="4"/>
    </row>
    <row r="3903" s="1" customFormat="1" spans="1:8">
      <c r="A3903" s="4" t="s">
        <v>205</v>
      </c>
      <c r="B3903" s="4" t="s">
        <v>33</v>
      </c>
      <c r="C3903" s="4" t="s">
        <v>51</v>
      </c>
      <c r="D3903" s="4" t="s">
        <v>7850</v>
      </c>
      <c r="E3903" s="4">
        <v>1100189</v>
      </c>
      <c r="F3903" s="4" t="s">
        <v>7851</v>
      </c>
      <c r="G3903" s="4" t="s">
        <v>232</v>
      </c>
      <c r="H3903" s="4"/>
    </row>
    <row r="3904" s="1" customFormat="1" spans="1:8">
      <c r="A3904" s="4" t="s">
        <v>205</v>
      </c>
      <c r="B3904" s="4" t="s">
        <v>33</v>
      </c>
      <c r="C3904" s="4" t="s">
        <v>51</v>
      </c>
      <c r="D3904" s="4" t="s">
        <v>2710</v>
      </c>
      <c r="E3904" s="4">
        <v>1100254</v>
      </c>
      <c r="F3904" s="4" t="s">
        <v>7852</v>
      </c>
      <c r="G3904" s="4" t="s">
        <v>232</v>
      </c>
      <c r="H3904" s="4"/>
    </row>
    <row r="3905" s="1" customFormat="1" spans="1:8">
      <c r="A3905" s="4" t="s">
        <v>205</v>
      </c>
      <c r="B3905" s="4" t="s">
        <v>33</v>
      </c>
      <c r="C3905" s="4" t="s">
        <v>51</v>
      </c>
      <c r="D3905" s="4" t="s">
        <v>7853</v>
      </c>
      <c r="E3905" s="4">
        <v>1101476</v>
      </c>
      <c r="F3905" s="4" t="s">
        <v>7854</v>
      </c>
      <c r="G3905" s="4" t="s">
        <v>232</v>
      </c>
      <c r="H3905" s="4"/>
    </row>
    <row r="3906" s="1" customFormat="1" spans="1:8">
      <c r="A3906" s="4" t="s">
        <v>205</v>
      </c>
      <c r="B3906" s="4" t="s">
        <v>33</v>
      </c>
      <c r="C3906" s="4" t="s">
        <v>51</v>
      </c>
      <c r="D3906" s="4" t="s">
        <v>7855</v>
      </c>
      <c r="E3906" s="4">
        <v>1100288</v>
      </c>
      <c r="F3906" s="4" t="s">
        <v>7856</v>
      </c>
      <c r="G3906" s="4" t="s">
        <v>232</v>
      </c>
      <c r="H3906" s="4"/>
    </row>
    <row r="3907" s="1" customFormat="1" spans="1:8">
      <c r="A3907" s="4" t="s">
        <v>205</v>
      </c>
      <c r="B3907" s="4" t="s">
        <v>33</v>
      </c>
      <c r="C3907" s="4" t="s">
        <v>51</v>
      </c>
      <c r="D3907" s="4" t="s">
        <v>7857</v>
      </c>
      <c r="E3907" s="4">
        <v>1100296</v>
      </c>
      <c r="F3907" s="4" t="s">
        <v>7858</v>
      </c>
      <c r="G3907" s="4" t="s">
        <v>232</v>
      </c>
      <c r="H3907" s="4"/>
    </row>
    <row r="3908" s="1" customFormat="1" spans="1:8">
      <c r="A3908" s="4" t="s">
        <v>205</v>
      </c>
      <c r="B3908" s="4" t="s">
        <v>33</v>
      </c>
      <c r="C3908" s="4" t="s">
        <v>51</v>
      </c>
      <c r="D3908" s="4" t="s">
        <v>7859</v>
      </c>
      <c r="E3908" s="4">
        <v>1101500</v>
      </c>
      <c r="F3908" s="4" t="s">
        <v>7860</v>
      </c>
      <c r="G3908" s="4" t="s">
        <v>232</v>
      </c>
      <c r="H3908" s="4"/>
    </row>
    <row r="3909" s="1" customFormat="1" spans="1:8">
      <c r="A3909" s="4" t="s">
        <v>205</v>
      </c>
      <c r="B3909" s="4" t="s">
        <v>33</v>
      </c>
      <c r="C3909" s="4" t="s">
        <v>51</v>
      </c>
      <c r="D3909" s="4" t="s">
        <v>7861</v>
      </c>
      <c r="E3909" s="4">
        <v>1101484</v>
      </c>
      <c r="F3909" s="4" t="s">
        <v>7862</v>
      </c>
      <c r="G3909" s="4" t="s">
        <v>232</v>
      </c>
      <c r="H3909" s="4"/>
    </row>
    <row r="3910" s="1" customFormat="1" spans="1:8">
      <c r="A3910" s="4" t="s">
        <v>205</v>
      </c>
      <c r="B3910" s="4" t="s">
        <v>33</v>
      </c>
      <c r="C3910" s="4" t="s">
        <v>51</v>
      </c>
      <c r="D3910" s="4" t="s">
        <v>7863</v>
      </c>
      <c r="E3910" s="4">
        <v>1100320</v>
      </c>
      <c r="F3910" s="4" t="s">
        <v>7864</v>
      </c>
      <c r="G3910" s="4" t="s">
        <v>232</v>
      </c>
      <c r="H3910" s="4"/>
    </row>
    <row r="3911" s="1" customFormat="1" spans="1:8">
      <c r="A3911" s="4" t="s">
        <v>205</v>
      </c>
      <c r="B3911" s="4" t="s">
        <v>33</v>
      </c>
      <c r="C3911" s="4" t="s">
        <v>51</v>
      </c>
      <c r="D3911" s="4" t="s">
        <v>7865</v>
      </c>
      <c r="E3911" s="4">
        <v>1101559</v>
      </c>
      <c r="F3911" s="4" t="s">
        <v>7866</v>
      </c>
      <c r="G3911" s="4" t="s">
        <v>232</v>
      </c>
      <c r="H3911" s="4"/>
    </row>
    <row r="3912" s="1" customFormat="1" spans="1:8">
      <c r="A3912" s="4" t="s">
        <v>205</v>
      </c>
      <c r="B3912" s="4" t="s">
        <v>33</v>
      </c>
      <c r="C3912" s="4" t="s">
        <v>51</v>
      </c>
      <c r="D3912" s="4" t="s">
        <v>7867</v>
      </c>
      <c r="E3912" s="4">
        <v>1101609</v>
      </c>
      <c r="F3912" s="4" t="s">
        <v>7868</v>
      </c>
      <c r="G3912" s="4" t="s">
        <v>232</v>
      </c>
      <c r="H3912" s="4"/>
    </row>
    <row r="3913" s="1" customFormat="1" spans="1:8">
      <c r="A3913" s="4" t="s">
        <v>205</v>
      </c>
      <c r="B3913" s="4" t="s">
        <v>33</v>
      </c>
      <c r="C3913" s="4" t="s">
        <v>51</v>
      </c>
      <c r="D3913" s="4" t="s">
        <v>7869</v>
      </c>
      <c r="E3913" s="4">
        <v>1101708</v>
      </c>
      <c r="F3913" s="4" t="s">
        <v>7870</v>
      </c>
      <c r="G3913" s="4" t="s">
        <v>232</v>
      </c>
      <c r="H3913" s="4"/>
    </row>
    <row r="3914" s="1" customFormat="1" spans="1:8">
      <c r="A3914" s="4" t="s">
        <v>205</v>
      </c>
      <c r="B3914" s="4" t="s">
        <v>33</v>
      </c>
      <c r="C3914" s="4" t="s">
        <v>51</v>
      </c>
      <c r="D3914" s="4" t="s">
        <v>7871</v>
      </c>
      <c r="E3914" s="4">
        <v>1101757</v>
      </c>
      <c r="F3914" s="4" t="s">
        <v>7872</v>
      </c>
      <c r="G3914" s="4" t="s">
        <v>232</v>
      </c>
      <c r="H3914" s="4"/>
    </row>
    <row r="3915" s="1" customFormat="1" spans="1:8">
      <c r="A3915" s="4" t="s">
        <v>205</v>
      </c>
      <c r="B3915" s="4" t="s">
        <v>33</v>
      </c>
      <c r="C3915" s="4" t="s">
        <v>51</v>
      </c>
      <c r="D3915" s="4" t="s">
        <v>7873</v>
      </c>
      <c r="E3915" s="4">
        <v>1101807</v>
      </c>
      <c r="F3915" s="4" t="s">
        <v>7874</v>
      </c>
      <c r="G3915" s="4" t="s">
        <v>232</v>
      </c>
      <c r="H3915" s="4"/>
    </row>
    <row r="3916" s="1" customFormat="1" spans="1:8">
      <c r="A3916" s="4" t="s">
        <v>205</v>
      </c>
      <c r="B3916" s="4" t="s">
        <v>33</v>
      </c>
      <c r="C3916" s="4" t="s">
        <v>51</v>
      </c>
      <c r="D3916" s="4" t="s">
        <v>7875</v>
      </c>
      <c r="E3916" s="4">
        <v>1100015</v>
      </c>
      <c r="F3916" s="4" t="s">
        <v>7876</v>
      </c>
      <c r="G3916" s="4" t="s">
        <v>243</v>
      </c>
      <c r="H3916" s="4"/>
    </row>
    <row r="3917" s="1" customFormat="1" spans="1:8">
      <c r="A3917" s="4" t="s">
        <v>205</v>
      </c>
      <c r="B3917" s="4" t="s">
        <v>33</v>
      </c>
      <c r="C3917" s="4" t="s">
        <v>51</v>
      </c>
      <c r="D3917" s="4" t="s">
        <v>7877</v>
      </c>
      <c r="E3917" s="4">
        <v>1100031</v>
      </c>
      <c r="F3917" s="4" t="s">
        <v>7878</v>
      </c>
      <c r="G3917" s="4" t="s">
        <v>243</v>
      </c>
      <c r="H3917" s="4"/>
    </row>
    <row r="3918" s="1" customFormat="1" spans="1:8">
      <c r="A3918" s="4" t="s">
        <v>205</v>
      </c>
      <c r="B3918" s="4" t="s">
        <v>33</v>
      </c>
      <c r="C3918" s="4" t="s">
        <v>51</v>
      </c>
      <c r="D3918" s="4" t="s">
        <v>7879</v>
      </c>
      <c r="E3918" s="4">
        <v>1100056</v>
      </c>
      <c r="F3918" s="4" t="s">
        <v>7880</v>
      </c>
      <c r="G3918" s="4" t="s">
        <v>243</v>
      </c>
      <c r="H3918" s="4"/>
    </row>
    <row r="3919" s="1" customFormat="1" spans="1:8">
      <c r="A3919" s="4" t="s">
        <v>205</v>
      </c>
      <c r="B3919" s="4" t="s">
        <v>33</v>
      </c>
      <c r="C3919" s="4" t="s">
        <v>51</v>
      </c>
      <c r="D3919" s="4" t="s">
        <v>7881</v>
      </c>
      <c r="E3919" s="4">
        <v>1100924</v>
      </c>
      <c r="F3919" s="4" t="s">
        <v>7882</v>
      </c>
      <c r="G3919" s="4" t="s">
        <v>243</v>
      </c>
      <c r="H3919" s="4"/>
    </row>
    <row r="3920" s="1" customFormat="1" spans="1:8">
      <c r="A3920" s="4" t="s">
        <v>205</v>
      </c>
      <c r="B3920" s="4" t="s">
        <v>33</v>
      </c>
      <c r="C3920" s="4" t="s">
        <v>51</v>
      </c>
      <c r="D3920" s="4" t="s">
        <v>7883</v>
      </c>
      <c r="E3920" s="4">
        <v>1100064</v>
      </c>
      <c r="F3920" s="4" t="s">
        <v>7884</v>
      </c>
      <c r="G3920" s="4" t="s">
        <v>243</v>
      </c>
      <c r="H3920" s="4"/>
    </row>
    <row r="3921" s="1" customFormat="1" spans="1:8">
      <c r="A3921" s="4" t="s">
        <v>205</v>
      </c>
      <c r="B3921" s="4" t="s">
        <v>33</v>
      </c>
      <c r="C3921" s="4" t="s">
        <v>51</v>
      </c>
      <c r="D3921" s="4" t="s">
        <v>7885</v>
      </c>
      <c r="E3921" s="4">
        <v>1100072</v>
      </c>
      <c r="F3921" s="4" t="s">
        <v>7886</v>
      </c>
      <c r="G3921" s="4" t="s">
        <v>243</v>
      </c>
      <c r="H3921" s="4"/>
    </row>
    <row r="3922" s="1" customFormat="1" spans="1:8">
      <c r="A3922" s="4" t="s">
        <v>205</v>
      </c>
      <c r="B3922" s="4" t="s">
        <v>33</v>
      </c>
      <c r="C3922" s="4" t="s">
        <v>51</v>
      </c>
      <c r="D3922" s="4" t="s">
        <v>7887</v>
      </c>
      <c r="E3922" s="4">
        <v>1100080</v>
      </c>
      <c r="F3922" s="4" t="s">
        <v>7888</v>
      </c>
      <c r="G3922" s="4" t="s">
        <v>243</v>
      </c>
      <c r="H3922" s="4"/>
    </row>
    <row r="3923" s="1" customFormat="1" spans="1:8">
      <c r="A3923" s="4" t="s">
        <v>205</v>
      </c>
      <c r="B3923" s="4" t="s">
        <v>33</v>
      </c>
      <c r="C3923" s="4" t="s">
        <v>51</v>
      </c>
      <c r="D3923" s="4" t="s">
        <v>7889</v>
      </c>
      <c r="E3923" s="4">
        <v>1101450</v>
      </c>
      <c r="F3923" s="4" t="s">
        <v>7890</v>
      </c>
      <c r="G3923" s="4" t="s">
        <v>243</v>
      </c>
      <c r="H3923" s="4"/>
    </row>
    <row r="3924" s="1" customFormat="1" spans="1:8">
      <c r="A3924" s="4" t="s">
        <v>205</v>
      </c>
      <c r="B3924" s="4" t="s">
        <v>33</v>
      </c>
      <c r="C3924" s="4" t="s">
        <v>51</v>
      </c>
      <c r="D3924" s="4" t="s">
        <v>7891</v>
      </c>
      <c r="E3924" s="4">
        <v>1101468</v>
      </c>
      <c r="F3924" s="4" t="s">
        <v>7892</v>
      </c>
      <c r="G3924" s="4" t="s">
        <v>243</v>
      </c>
      <c r="H3924" s="4"/>
    </row>
    <row r="3925" s="1" customFormat="1" spans="1:8">
      <c r="A3925" s="4" t="s">
        <v>205</v>
      </c>
      <c r="B3925" s="4" t="s">
        <v>33</v>
      </c>
      <c r="C3925" s="4" t="s">
        <v>51</v>
      </c>
      <c r="D3925" s="4" t="s">
        <v>7893</v>
      </c>
      <c r="E3925" s="4">
        <v>1101492</v>
      </c>
      <c r="F3925" s="4" t="s">
        <v>7894</v>
      </c>
      <c r="G3925" s="4" t="s">
        <v>243</v>
      </c>
      <c r="H3925" s="4"/>
    </row>
    <row r="3926" s="1" customFormat="1" spans="1:8">
      <c r="A3926" s="4" t="s">
        <v>205</v>
      </c>
      <c r="B3926" s="4" t="s">
        <v>33</v>
      </c>
      <c r="C3926" s="4" t="s">
        <v>51</v>
      </c>
      <c r="D3926" s="4" t="s">
        <v>7895</v>
      </c>
      <c r="E3926" s="4">
        <v>1100304</v>
      </c>
      <c r="F3926" s="4" t="s">
        <v>7896</v>
      </c>
      <c r="G3926" s="4" t="s">
        <v>243</v>
      </c>
      <c r="H3926" s="4"/>
    </row>
    <row r="3927" s="1" customFormat="1" spans="1:8">
      <c r="A3927" s="4" t="s">
        <v>205</v>
      </c>
      <c r="B3927" s="4" t="s">
        <v>33</v>
      </c>
      <c r="C3927" s="4" t="s">
        <v>53</v>
      </c>
      <c r="D3927" s="4" t="s">
        <v>54</v>
      </c>
      <c r="E3927" s="4">
        <v>1400100</v>
      </c>
      <c r="F3927" s="4" t="s">
        <v>7897</v>
      </c>
      <c r="G3927" s="4" t="s">
        <v>207</v>
      </c>
      <c r="H3927" s="4"/>
    </row>
    <row r="3928" s="1" customFormat="1" spans="1:8">
      <c r="A3928" s="4" t="s">
        <v>205</v>
      </c>
      <c r="B3928" s="4" t="s">
        <v>33</v>
      </c>
      <c r="C3928" s="4" t="s">
        <v>53</v>
      </c>
      <c r="D3928" s="4" t="s">
        <v>7898</v>
      </c>
      <c r="E3928" s="4">
        <v>1400050</v>
      </c>
      <c r="F3928" s="4" t="s">
        <v>7899</v>
      </c>
      <c r="G3928" s="4" t="s">
        <v>215</v>
      </c>
      <c r="H3928" s="4"/>
    </row>
    <row r="3929" s="1" customFormat="1" spans="1:8">
      <c r="A3929" s="4" t="s">
        <v>205</v>
      </c>
      <c r="B3929" s="4" t="s">
        <v>33</v>
      </c>
      <c r="C3929" s="4" t="s">
        <v>53</v>
      </c>
      <c r="D3929" s="4" t="s">
        <v>7900</v>
      </c>
      <c r="E3929" s="4">
        <v>1400175</v>
      </c>
      <c r="F3929" s="4" t="s">
        <v>7901</v>
      </c>
      <c r="G3929" s="4" t="s">
        <v>215</v>
      </c>
      <c r="H3929" s="4"/>
    </row>
    <row r="3930" s="1" customFormat="1" spans="1:8">
      <c r="A3930" s="4" t="s">
        <v>205</v>
      </c>
      <c r="B3930" s="4" t="s">
        <v>33</v>
      </c>
      <c r="C3930" s="4" t="s">
        <v>53</v>
      </c>
      <c r="D3930" s="4" t="s">
        <v>1631</v>
      </c>
      <c r="E3930" s="4">
        <v>1400282</v>
      </c>
      <c r="F3930" s="4" t="s">
        <v>7902</v>
      </c>
      <c r="G3930" s="4" t="s">
        <v>215</v>
      </c>
      <c r="H3930" s="4"/>
    </row>
    <row r="3931" s="1" customFormat="1" spans="1:8">
      <c r="A3931" s="4" t="s">
        <v>205</v>
      </c>
      <c r="B3931" s="4" t="s">
        <v>33</v>
      </c>
      <c r="C3931" s="4" t="s">
        <v>53</v>
      </c>
      <c r="D3931" s="4" t="s">
        <v>7903</v>
      </c>
      <c r="E3931" s="4">
        <v>1400308</v>
      </c>
      <c r="F3931" s="4" t="s">
        <v>7904</v>
      </c>
      <c r="G3931" s="4" t="s">
        <v>215</v>
      </c>
      <c r="H3931" s="4"/>
    </row>
    <row r="3932" s="1" customFormat="1" spans="1:8">
      <c r="A3932" s="4" t="s">
        <v>205</v>
      </c>
      <c r="B3932" s="4" t="s">
        <v>33</v>
      </c>
      <c r="C3932" s="4" t="s">
        <v>53</v>
      </c>
      <c r="D3932" s="4" t="s">
        <v>7905</v>
      </c>
      <c r="E3932" s="4">
        <v>1400027</v>
      </c>
      <c r="F3932" s="4" t="s">
        <v>7906</v>
      </c>
      <c r="G3932" s="4" t="s">
        <v>232</v>
      </c>
      <c r="H3932" s="4"/>
    </row>
    <row r="3933" s="1" customFormat="1" spans="1:8">
      <c r="A3933" s="4" t="s">
        <v>205</v>
      </c>
      <c r="B3933" s="4" t="s">
        <v>33</v>
      </c>
      <c r="C3933" s="4" t="s">
        <v>53</v>
      </c>
      <c r="D3933" s="4" t="s">
        <v>3014</v>
      </c>
      <c r="E3933" s="4">
        <v>1400159</v>
      </c>
      <c r="F3933" s="4" t="s">
        <v>7907</v>
      </c>
      <c r="G3933" s="4" t="s">
        <v>232</v>
      </c>
      <c r="H3933" s="4"/>
    </row>
    <row r="3934" s="1" customFormat="1" spans="1:8">
      <c r="A3934" s="4" t="s">
        <v>205</v>
      </c>
      <c r="B3934" s="4" t="s">
        <v>33</v>
      </c>
      <c r="C3934" s="4" t="s">
        <v>53</v>
      </c>
      <c r="D3934" s="4" t="s">
        <v>7908</v>
      </c>
      <c r="E3934" s="4">
        <v>1400209</v>
      </c>
      <c r="F3934" s="4" t="s">
        <v>7909</v>
      </c>
      <c r="G3934" s="4" t="s">
        <v>232</v>
      </c>
      <c r="H3934" s="4"/>
    </row>
    <row r="3935" s="1" customFormat="1" spans="1:8">
      <c r="A3935" s="4" t="s">
        <v>205</v>
      </c>
      <c r="B3935" s="4" t="s">
        <v>33</v>
      </c>
      <c r="C3935" s="4" t="s">
        <v>53</v>
      </c>
      <c r="D3935" s="4" t="s">
        <v>7910</v>
      </c>
      <c r="E3935" s="4">
        <v>1400407</v>
      </c>
      <c r="F3935" s="4" t="s">
        <v>7911</v>
      </c>
      <c r="G3935" s="4" t="s">
        <v>232</v>
      </c>
      <c r="H3935" s="4"/>
    </row>
    <row r="3936" s="1" customFormat="1" spans="1:8">
      <c r="A3936" s="4" t="s">
        <v>205</v>
      </c>
      <c r="B3936" s="4" t="s">
        <v>33</v>
      </c>
      <c r="C3936" s="4" t="s">
        <v>53</v>
      </c>
      <c r="D3936" s="4" t="s">
        <v>7912</v>
      </c>
      <c r="E3936" s="4">
        <v>1400456</v>
      </c>
      <c r="F3936" s="4" t="s">
        <v>7913</v>
      </c>
      <c r="G3936" s="4" t="s">
        <v>232</v>
      </c>
      <c r="H3936" s="4"/>
    </row>
    <row r="3937" s="1" customFormat="1" spans="1:8">
      <c r="A3937" s="4" t="s">
        <v>205</v>
      </c>
      <c r="B3937" s="4" t="s">
        <v>33</v>
      </c>
      <c r="C3937" s="4" t="s">
        <v>53</v>
      </c>
      <c r="D3937" s="4" t="s">
        <v>7914</v>
      </c>
      <c r="E3937" s="4">
        <v>1400233</v>
      </c>
      <c r="F3937" s="4" t="s">
        <v>7915</v>
      </c>
      <c r="G3937" s="4" t="s">
        <v>243</v>
      </c>
      <c r="H3937" s="4"/>
    </row>
    <row r="3938" s="1" customFormat="1" spans="1:8">
      <c r="A3938" s="4" t="s">
        <v>205</v>
      </c>
      <c r="B3938" s="4" t="s">
        <v>33</v>
      </c>
      <c r="C3938" s="4" t="s">
        <v>53</v>
      </c>
      <c r="D3938" s="4" t="s">
        <v>7916</v>
      </c>
      <c r="E3938" s="4">
        <v>1400472</v>
      </c>
      <c r="F3938" s="4" t="s">
        <v>7917</v>
      </c>
      <c r="G3938" s="4" t="s">
        <v>243</v>
      </c>
      <c r="H3938" s="4"/>
    </row>
    <row r="3939" s="1" customFormat="1" spans="1:8">
      <c r="A3939" s="4" t="s">
        <v>205</v>
      </c>
      <c r="B3939" s="4" t="s">
        <v>33</v>
      </c>
      <c r="C3939" s="4" t="s">
        <v>53</v>
      </c>
      <c r="D3939" s="4" t="s">
        <v>7918</v>
      </c>
      <c r="E3939" s="4">
        <v>1400506</v>
      </c>
      <c r="F3939" s="4" t="s">
        <v>7919</v>
      </c>
      <c r="G3939" s="4" t="s">
        <v>243</v>
      </c>
      <c r="H3939" s="4"/>
    </row>
    <row r="3940" s="1" customFormat="1" spans="1:8">
      <c r="A3940" s="4" t="s">
        <v>205</v>
      </c>
      <c r="B3940" s="4" t="s">
        <v>33</v>
      </c>
      <c r="C3940" s="4" t="s">
        <v>53</v>
      </c>
      <c r="D3940" s="4" t="s">
        <v>7920</v>
      </c>
      <c r="E3940" s="4">
        <v>1400605</v>
      </c>
      <c r="F3940" s="4" t="s">
        <v>7921</v>
      </c>
      <c r="G3940" s="4" t="s">
        <v>243</v>
      </c>
      <c r="H3940" s="4"/>
    </row>
    <row r="3941" s="1" customFormat="1" spans="1:8">
      <c r="A3941" s="4" t="s">
        <v>205</v>
      </c>
      <c r="B3941" s="4" t="s">
        <v>88</v>
      </c>
      <c r="C3941" s="4" t="s">
        <v>89</v>
      </c>
      <c r="D3941" s="11" t="s">
        <v>90</v>
      </c>
      <c r="E3941" s="4">
        <v>4314902</v>
      </c>
      <c r="F3941" s="11" t="s">
        <v>7922</v>
      </c>
      <c r="G3941" s="4" t="s">
        <v>207</v>
      </c>
      <c r="H3941" s="4"/>
    </row>
    <row r="3942" s="1" customFormat="1" spans="1:8">
      <c r="A3942" s="4" t="s">
        <v>205</v>
      </c>
      <c r="B3942" s="4" t="s">
        <v>88</v>
      </c>
      <c r="C3942" s="4" t="s">
        <v>89</v>
      </c>
      <c r="D3942" s="11" t="s">
        <v>7923</v>
      </c>
      <c r="E3942" s="4">
        <v>4300604</v>
      </c>
      <c r="F3942" s="11" t="s">
        <v>7924</v>
      </c>
      <c r="G3942" s="4" t="s">
        <v>210</v>
      </c>
      <c r="H3942" s="4"/>
    </row>
    <row r="3943" s="1" customFormat="1" spans="1:8">
      <c r="A3943" s="4" t="s">
        <v>205</v>
      </c>
      <c r="B3943" s="4" t="s">
        <v>88</v>
      </c>
      <c r="C3943" s="4" t="s">
        <v>89</v>
      </c>
      <c r="D3943" s="11" t="s">
        <v>5803</v>
      </c>
      <c r="E3943" s="4">
        <v>4303103</v>
      </c>
      <c r="F3943" s="11" t="s">
        <v>7925</v>
      </c>
      <c r="G3943" s="4" t="s">
        <v>210</v>
      </c>
      <c r="H3943" s="4"/>
    </row>
    <row r="3944" s="1" customFormat="1" spans="1:8">
      <c r="A3944" s="4" t="s">
        <v>205</v>
      </c>
      <c r="B3944" s="4" t="s">
        <v>88</v>
      </c>
      <c r="C3944" s="4" t="s">
        <v>89</v>
      </c>
      <c r="D3944" s="11" t="s">
        <v>7926</v>
      </c>
      <c r="E3944" s="4">
        <v>4304606</v>
      </c>
      <c r="F3944" s="11" t="s">
        <v>7927</v>
      </c>
      <c r="G3944" s="4" t="s">
        <v>210</v>
      </c>
      <c r="H3944" s="4"/>
    </row>
    <row r="3945" s="1" customFormat="1" spans="1:8">
      <c r="A3945" s="4" t="s">
        <v>205</v>
      </c>
      <c r="B3945" s="4" t="s">
        <v>88</v>
      </c>
      <c r="C3945" s="4" t="s">
        <v>89</v>
      </c>
      <c r="D3945" s="11" t="s">
        <v>7928</v>
      </c>
      <c r="E3945" s="4">
        <v>4306767</v>
      </c>
      <c r="F3945" s="11" t="s">
        <v>7929</v>
      </c>
      <c r="G3945" s="4" t="s">
        <v>210</v>
      </c>
      <c r="H3945" s="4"/>
    </row>
    <row r="3946" s="1" customFormat="1" spans="1:8">
      <c r="A3946" s="4" t="s">
        <v>205</v>
      </c>
      <c r="B3946" s="4" t="s">
        <v>88</v>
      </c>
      <c r="C3946" s="4" t="s">
        <v>89</v>
      </c>
      <c r="D3946" s="11" t="s">
        <v>7930</v>
      </c>
      <c r="E3946" s="4">
        <v>4307708</v>
      </c>
      <c r="F3946" s="11" t="s">
        <v>7931</v>
      </c>
      <c r="G3946" s="4" t="s">
        <v>210</v>
      </c>
      <c r="H3946" s="4"/>
    </row>
    <row r="3947" s="1" customFormat="1" spans="1:8">
      <c r="A3947" s="4" t="s">
        <v>205</v>
      </c>
      <c r="B3947" s="4" t="s">
        <v>88</v>
      </c>
      <c r="C3947" s="4" t="s">
        <v>89</v>
      </c>
      <c r="D3947" s="11" t="s">
        <v>7932</v>
      </c>
      <c r="E3947" s="4">
        <v>4309209</v>
      </c>
      <c r="F3947" s="11" t="s">
        <v>7933</v>
      </c>
      <c r="G3947" s="4" t="s">
        <v>210</v>
      </c>
      <c r="H3947" s="4"/>
    </row>
    <row r="3948" s="1" customFormat="1" spans="1:8">
      <c r="A3948" s="4" t="s">
        <v>205</v>
      </c>
      <c r="B3948" s="4" t="s">
        <v>88</v>
      </c>
      <c r="C3948" s="4" t="s">
        <v>89</v>
      </c>
      <c r="D3948" s="11" t="s">
        <v>7934</v>
      </c>
      <c r="E3948" s="4">
        <v>4309308</v>
      </c>
      <c r="F3948" s="11" t="s">
        <v>7935</v>
      </c>
      <c r="G3948" s="4" t="s">
        <v>210</v>
      </c>
      <c r="H3948" s="4"/>
    </row>
    <row r="3949" s="1" customFormat="1" spans="1:8">
      <c r="A3949" s="4" t="s">
        <v>205</v>
      </c>
      <c r="B3949" s="4" t="s">
        <v>88</v>
      </c>
      <c r="C3949" s="4" t="s">
        <v>89</v>
      </c>
      <c r="D3949" s="11" t="s">
        <v>6421</v>
      </c>
      <c r="E3949" s="4">
        <v>4313375</v>
      </c>
      <c r="F3949" s="11" t="s">
        <v>7936</v>
      </c>
      <c r="G3949" s="4" t="s">
        <v>210</v>
      </c>
      <c r="H3949" s="4"/>
    </row>
    <row r="3950" s="1" customFormat="1" spans="1:8">
      <c r="A3950" s="4" t="s">
        <v>205</v>
      </c>
      <c r="B3950" s="4" t="s">
        <v>88</v>
      </c>
      <c r="C3950" s="4" t="s">
        <v>89</v>
      </c>
      <c r="D3950" s="11" t="s">
        <v>7937</v>
      </c>
      <c r="E3950" s="4">
        <v>4320008</v>
      </c>
      <c r="F3950" s="11" t="s">
        <v>7938</v>
      </c>
      <c r="G3950" s="4" t="s">
        <v>210</v>
      </c>
      <c r="H3950" s="4"/>
    </row>
    <row r="3951" s="1" customFormat="1" spans="1:8">
      <c r="A3951" s="4" t="s">
        <v>205</v>
      </c>
      <c r="B3951" s="4" t="s">
        <v>88</v>
      </c>
      <c r="C3951" s="4" t="s">
        <v>89</v>
      </c>
      <c r="D3951" s="11" t="s">
        <v>7939</v>
      </c>
      <c r="E3951" s="4">
        <v>4318705</v>
      </c>
      <c r="F3951" s="11" t="s">
        <v>7940</v>
      </c>
      <c r="G3951" s="4" t="s">
        <v>210</v>
      </c>
      <c r="H3951" s="4"/>
    </row>
    <row r="3952" s="1" customFormat="1" spans="1:8">
      <c r="A3952" s="4" t="s">
        <v>205</v>
      </c>
      <c r="B3952" s="4" t="s">
        <v>88</v>
      </c>
      <c r="C3952" s="4" t="s">
        <v>89</v>
      </c>
      <c r="D3952" s="11" t="s">
        <v>7941</v>
      </c>
      <c r="E3952" s="4">
        <v>4323002</v>
      </c>
      <c r="F3952" s="11" t="s">
        <v>7942</v>
      </c>
      <c r="G3952" s="4" t="s">
        <v>210</v>
      </c>
      <c r="H3952" s="4"/>
    </row>
    <row r="3953" s="1" customFormat="1" spans="1:8">
      <c r="A3953" s="4" t="s">
        <v>205</v>
      </c>
      <c r="B3953" s="4" t="s">
        <v>88</v>
      </c>
      <c r="C3953" s="4" t="s">
        <v>89</v>
      </c>
      <c r="D3953" s="11" t="s">
        <v>7943</v>
      </c>
      <c r="E3953" s="4">
        <v>4300570</v>
      </c>
      <c r="F3953" s="11" t="s">
        <v>7944</v>
      </c>
      <c r="G3953" s="4" t="s">
        <v>215</v>
      </c>
      <c r="H3953" s="4"/>
    </row>
    <row r="3954" s="1" customFormat="1" spans="1:8">
      <c r="A3954" s="4" t="s">
        <v>205</v>
      </c>
      <c r="B3954" s="4" t="s">
        <v>88</v>
      </c>
      <c r="C3954" s="4" t="s">
        <v>89</v>
      </c>
      <c r="D3954" s="11" t="s">
        <v>7945</v>
      </c>
      <c r="E3954" s="4">
        <v>4300638</v>
      </c>
      <c r="F3954" s="11" t="s">
        <v>7946</v>
      </c>
      <c r="G3954" s="4" t="s">
        <v>215</v>
      </c>
      <c r="H3954" s="4"/>
    </row>
    <row r="3955" s="1" customFormat="1" spans="1:8">
      <c r="A3955" s="4" t="s">
        <v>205</v>
      </c>
      <c r="B3955" s="4" t="s">
        <v>88</v>
      </c>
      <c r="C3955" s="4" t="s">
        <v>89</v>
      </c>
      <c r="D3955" s="11" t="s">
        <v>7947</v>
      </c>
      <c r="E3955" s="4">
        <v>4300661</v>
      </c>
      <c r="F3955" s="11" t="s">
        <v>7948</v>
      </c>
      <c r="G3955" s="4" t="s">
        <v>215</v>
      </c>
      <c r="H3955" s="4"/>
    </row>
    <row r="3956" s="1" customFormat="1" spans="1:8">
      <c r="A3956" s="4" t="s">
        <v>205</v>
      </c>
      <c r="B3956" s="4" t="s">
        <v>88</v>
      </c>
      <c r="C3956" s="4" t="s">
        <v>89</v>
      </c>
      <c r="D3956" s="11" t="s">
        <v>7949</v>
      </c>
      <c r="E3956" s="4">
        <v>4300703</v>
      </c>
      <c r="F3956" s="11" t="s">
        <v>7950</v>
      </c>
      <c r="G3956" s="4" t="s">
        <v>215</v>
      </c>
      <c r="H3956" s="4"/>
    </row>
    <row r="3957" s="1" customFormat="1" spans="1:8">
      <c r="A3957" s="4" t="s">
        <v>205</v>
      </c>
      <c r="B3957" s="4" t="s">
        <v>88</v>
      </c>
      <c r="C3957" s="4" t="s">
        <v>89</v>
      </c>
      <c r="D3957" s="11" t="s">
        <v>7951</v>
      </c>
      <c r="E3957" s="4">
        <v>4300802</v>
      </c>
      <c r="F3957" s="11" t="s">
        <v>7952</v>
      </c>
      <c r="G3957" s="4" t="s">
        <v>215</v>
      </c>
      <c r="H3957" s="4"/>
    </row>
    <row r="3958" s="1" customFormat="1" spans="1:8">
      <c r="A3958" s="4" t="s">
        <v>205</v>
      </c>
      <c r="B3958" s="4" t="s">
        <v>88</v>
      </c>
      <c r="C3958" s="4" t="s">
        <v>89</v>
      </c>
      <c r="D3958" s="11" t="s">
        <v>7953</v>
      </c>
      <c r="E3958" s="4">
        <v>4300851</v>
      </c>
      <c r="F3958" s="11" t="s">
        <v>7954</v>
      </c>
      <c r="G3958" s="4" t="s">
        <v>215</v>
      </c>
      <c r="H3958" s="4"/>
    </row>
    <row r="3959" s="1" customFormat="1" spans="1:8">
      <c r="A3959" s="4" t="s">
        <v>205</v>
      </c>
      <c r="B3959" s="4" t="s">
        <v>88</v>
      </c>
      <c r="C3959" s="4" t="s">
        <v>89</v>
      </c>
      <c r="D3959" s="11" t="s">
        <v>7955</v>
      </c>
      <c r="E3959" s="4">
        <v>4300877</v>
      </c>
      <c r="F3959" s="11" t="s">
        <v>7956</v>
      </c>
      <c r="G3959" s="4" t="s">
        <v>215</v>
      </c>
      <c r="H3959" s="4"/>
    </row>
    <row r="3960" s="1" customFormat="1" spans="1:8">
      <c r="A3960" s="4" t="s">
        <v>205</v>
      </c>
      <c r="B3960" s="4" t="s">
        <v>88</v>
      </c>
      <c r="C3960" s="4" t="s">
        <v>89</v>
      </c>
      <c r="D3960" s="11" t="s">
        <v>7957</v>
      </c>
      <c r="E3960" s="4">
        <v>4301008</v>
      </c>
      <c r="F3960" s="11" t="s">
        <v>7958</v>
      </c>
      <c r="G3960" s="4" t="s">
        <v>215</v>
      </c>
      <c r="H3960" s="4"/>
    </row>
    <row r="3961" s="1" customFormat="1" spans="1:8">
      <c r="A3961" s="4" t="s">
        <v>205</v>
      </c>
      <c r="B3961" s="4" t="s">
        <v>88</v>
      </c>
      <c r="C3961" s="4" t="s">
        <v>89</v>
      </c>
      <c r="D3961" s="11" t="s">
        <v>7959</v>
      </c>
      <c r="E3961" s="4">
        <v>4301057</v>
      </c>
      <c r="F3961" s="11" t="s">
        <v>7960</v>
      </c>
      <c r="G3961" s="4" t="s">
        <v>215</v>
      </c>
      <c r="H3961" s="4"/>
    </row>
    <row r="3962" s="1" customFormat="1" spans="1:8">
      <c r="A3962" s="4" t="s">
        <v>205</v>
      </c>
      <c r="B3962" s="4" t="s">
        <v>88</v>
      </c>
      <c r="C3962" s="4" t="s">
        <v>89</v>
      </c>
      <c r="D3962" s="11" t="s">
        <v>7961</v>
      </c>
      <c r="E3962" s="4">
        <v>4301107</v>
      </c>
      <c r="F3962" s="11" t="s">
        <v>7962</v>
      </c>
      <c r="G3962" s="4" t="s">
        <v>215</v>
      </c>
      <c r="H3962" s="4"/>
    </row>
    <row r="3963" s="1" customFormat="1" spans="1:8">
      <c r="A3963" s="4" t="s">
        <v>205</v>
      </c>
      <c r="B3963" s="4" t="s">
        <v>88</v>
      </c>
      <c r="C3963" s="4" t="s">
        <v>89</v>
      </c>
      <c r="D3963" s="11" t="s">
        <v>7963</v>
      </c>
      <c r="E3963" s="4">
        <v>4301404</v>
      </c>
      <c r="F3963" s="11" t="s">
        <v>7964</v>
      </c>
      <c r="G3963" s="4" t="s">
        <v>215</v>
      </c>
      <c r="H3963" s="4"/>
    </row>
    <row r="3964" s="1" customFormat="1" spans="1:8">
      <c r="A3964" s="4" t="s">
        <v>205</v>
      </c>
      <c r="B3964" s="4" t="s">
        <v>88</v>
      </c>
      <c r="C3964" s="4" t="s">
        <v>89</v>
      </c>
      <c r="D3964" s="11" t="s">
        <v>7965</v>
      </c>
      <c r="E3964" s="4">
        <v>4301636</v>
      </c>
      <c r="F3964" s="11" t="s">
        <v>7966</v>
      </c>
      <c r="G3964" s="4" t="s">
        <v>215</v>
      </c>
      <c r="H3964" s="4"/>
    </row>
    <row r="3965" s="1" customFormat="1" spans="1:8">
      <c r="A3965" s="4" t="s">
        <v>205</v>
      </c>
      <c r="B3965" s="4" t="s">
        <v>88</v>
      </c>
      <c r="C3965" s="4" t="s">
        <v>89</v>
      </c>
      <c r="D3965" s="11" t="s">
        <v>7967</v>
      </c>
      <c r="E3965" s="4">
        <v>4301909</v>
      </c>
      <c r="F3965" s="11" t="s">
        <v>7968</v>
      </c>
      <c r="G3965" s="4" t="s">
        <v>215</v>
      </c>
      <c r="H3965" s="4"/>
    </row>
    <row r="3966" s="1" customFormat="1" spans="1:8">
      <c r="A3966" s="4" t="s">
        <v>205</v>
      </c>
      <c r="B3966" s="4" t="s">
        <v>88</v>
      </c>
      <c r="C3966" s="4" t="s">
        <v>89</v>
      </c>
      <c r="D3966" s="11" t="s">
        <v>7969</v>
      </c>
      <c r="E3966" s="4">
        <v>4302006</v>
      </c>
      <c r="F3966" s="11" t="s">
        <v>7970</v>
      </c>
      <c r="G3966" s="4" t="s">
        <v>215</v>
      </c>
      <c r="H3966" s="4"/>
    </row>
    <row r="3967" s="1" customFormat="1" spans="1:8">
      <c r="A3967" s="4" t="s">
        <v>205</v>
      </c>
      <c r="B3967" s="4" t="s">
        <v>88</v>
      </c>
      <c r="C3967" s="4" t="s">
        <v>89</v>
      </c>
      <c r="D3967" s="11" t="s">
        <v>7971</v>
      </c>
      <c r="E3967" s="4">
        <v>4301651</v>
      </c>
      <c r="F3967" s="11" t="s">
        <v>7972</v>
      </c>
      <c r="G3967" s="4" t="s">
        <v>215</v>
      </c>
      <c r="H3967" s="4"/>
    </row>
    <row r="3968" s="1" customFormat="1" spans="1:8">
      <c r="A3968" s="4" t="s">
        <v>205</v>
      </c>
      <c r="B3968" s="4" t="s">
        <v>88</v>
      </c>
      <c r="C3968" s="4" t="s">
        <v>89</v>
      </c>
      <c r="D3968" s="11" t="s">
        <v>7973</v>
      </c>
      <c r="E3968" s="4">
        <v>4301750</v>
      </c>
      <c r="F3968" s="11" t="s">
        <v>7974</v>
      </c>
      <c r="G3968" s="4" t="s">
        <v>215</v>
      </c>
      <c r="H3968" s="4"/>
    </row>
    <row r="3969" s="1" customFormat="1" spans="1:8">
      <c r="A3969" s="4" t="s">
        <v>205</v>
      </c>
      <c r="B3969" s="4" t="s">
        <v>88</v>
      </c>
      <c r="C3969" s="4" t="s">
        <v>89</v>
      </c>
      <c r="D3969" s="11" t="s">
        <v>7975</v>
      </c>
      <c r="E3969" s="4">
        <v>4302105</v>
      </c>
      <c r="F3969" s="11" t="s">
        <v>7976</v>
      </c>
      <c r="G3969" s="4" t="s">
        <v>215</v>
      </c>
      <c r="H3969" s="4"/>
    </row>
    <row r="3970" s="1" customFormat="1" spans="1:8">
      <c r="A3970" s="4" t="s">
        <v>205</v>
      </c>
      <c r="B3970" s="4" t="s">
        <v>88</v>
      </c>
      <c r="C3970" s="4" t="s">
        <v>89</v>
      </c>
      <c r="D3970" s="11" t="s">
        <v>7977</v>
      </c>
      <c r="E3970" s="4">
        <v>4302253</v>
      </c>
      <c r="F3970" s="11" t="s">
        <v>7978</v>
      </c>
      <c r="G3970" s="4" t="s">
        <v>215</v>
      </c>
      <c r="H3970" s="4"/>
    </row>
    <row r="3971" s="1" customFormat="1" spans="1:8">
      <c r="A3971" s="4" t="s">
        <v>205</v>
      </c>
      <c r="B3971" s="4" t="s">
        <v>88</v>
      </c>
      <c r="C3971" s="4" t="s">
        <v>89</v>
      </c>
      <c r="D3971" s="11" t="s">
        <v>5627</v>
      </c>
      <c r="E3971" s="4">
        <v>4302303</v>
      </c>
      <c r="F3971" s="11" t="s">
        <v>7979</v>
      </c>
      <c r="G3971" s="4" t="s">
        <v>215</v>
      </c>
      <c r="H3971" s="4"/>
    </row>
    <row r="3972" s="1" customFormat="1" spans="1:8">
      <c r="A3972" s="4" t="s">
        <v>205</v>
      </c>
      <c r="B3972" s="4" t="s">
        <v>88</v>
      </c>
      <c r="C3972" s="4" t="s">
        <v>89</v>
      </c>
      <c r="D3972" s="11" t="s">
        <v>7980</v>
      </c>
      <c r="E3972" s="4">
        <v>4302352</v>
      </c>
      <c r="F3972" s="11" t="s">
        <v>7981</v>
      </c>
      <c r="G3972" s="4" t="s">
        <v>215</v>
      </c>
      <c r="H3972" s="4"/>
    </row>
    <row r="3973" s="1" customFormat="1" spans="1:8">
      <c r="A3973" s="4" t="s">
        <v>205</v>
      </c>
      <c r="B3973" s="4" t="s">
        <v>88</v>
      </c>
      <c r="C3973" s="4" t="s">
        <v>89</v>
      </c>
      <c r="D3973" s="11" t="s">
        <v>7982</v>
      </c>
      <c r="E3973" s="4">
        <v>4302402</v>
      </c>
      <c r="F3973" s="11" t="s">
        <v>7983</v>
      </c>
      <c r="G3973" s="4" t="s">
        <v>215</v>
      </c>
      <c r="H3973" s="4"/>
    </row>
    <row r="3974" s="1" customFormat="1" spans="1:8">
      <c r="A3974" s="4" t="s">
        <v>205</v>
      </c>
      <c r="B3974" s="4" t="s">
        <v>88</v>
      </c>
      <c r="C3974" s="4" t="s">
        <v>89</v>
      </c>
      <c r="D3974" s="11" t="s">
        <v>7984</v>
      </c>
      <c r="E3974" s="4">
        <v>4302451</v>
      </c>
      <c r="F3974" s="11" t="s">
        <v>7985</v>
      </c>
      <c r="G3974" s="4" t="s">
        <v>215</v>
      </c>
      <c r="H3974" s="4"/>
    </row>
    <row r="3975" s="1" customFormat="1" spans="1:8">
      <c r="A3975" s="4" t="s">
        <v>205</v>
      </c>
      <c r="B3975" s="4" t="s">
        <v>88</v>
      </c>
      <c r="C3975" s="4" t="s">
        <v>89</v>
      </c>
      <c r="D3975" s="11" t="s">
        <v>7986</v>
      </c>
      <c r="E3975" s="4">
        <v>4302659</v>
      </c>
      <c r="F3975" s="11" t="s">
        <v>7987</v>
      </c>
      <c r="G3975" s="4" t="s">
        <v>215</v>
      </c>
      <c r="H3975" s="4"/>
    </row>
    <row r="3976" s="1" customFormat="1" spans="1:8">
      <c r="A3976" s="4" t="s">
        <v>205</v>
      </c>
      <c r="B3976" s="4" t="s">
        <v>88</v>
      </c>
      <c r="C3976" s="4" t="s">
        <v>89</v>
      </c>
      <c r="D3976" s="11" t="s">
        <v>7988</v>
      </c>
      <c r="E3976" s="4">
        <v>4302709</v>
      </c>
      <c r="F3976" s="11" t="s">
        <v>7989</v>
      </c>
      <c r="G3976" s="4" t="s">
        <v>215</v>
      </c>
      <c r="H3976" s="4"/>
    </row>
    <row r="3977" s="1" customFormat="1" spans="1:8">
      <c r="A3977" s="4" t="s">
        <v>205</v>
      </c>
      <c r="B3977" s="4" t="s">
        <v>88</v>
      </c>
      <c r="C3977" s="4" t="s">
        <v>89</v>
      </c>
      <c r="D3977" s="11" t="s">
        <v>7990</v>
      </c>
      <c r="E3977" s="4">
        <v>4303004</v>
      </c>
      <c r="F3977" s="11" t="s">
        <v>7991</v>
      </c>
      <c r="G3977" s="4" t="s">
        <v>215</v>
      </c>
      <c r="H3977" s="4"/>
    </row>
    <row r="3978" s="1" customFormat="1" spans="1:8">
      <c r="A3978" s="4" t="s">
        <v>205</v>
      </c>
      <c r="B3978" s="4" t="s">
        <v>88</v>
      </c>
      <c r="C3978" s="4" t="s">
        <v>89</v>
      </c>
      <c r="D3978" s="11" t="s">
        <v>7992</v>
      </c>
      <c r="E3978" s="4">
        <v>4303509</v>
      </c>
      <c r="F3978" s="11" t="s">
        <v>7993</v>
      </c>
      <c r="G3978" s="4" t="s">
        <v>215</v>
      </c>
      <c r="H3978" s="4"/>
    </row>
    <row r="3979" s="1" customFormat="1" spans="1:8">
      <c r="A3979" s="4" t="s">
        <v>205</v>
      </c>
      <c r="B3979" s="4" t="s">
        <v>88</v>
      </c>
      <c r="C3979" s="4" t="s">
        <v>89</v>
      </c>
      <c r="D3979" s="11" t="s">
        <v>7994</v>
      </c>
      <c r="E3979" s="4">
        <v>4303608</v>
      </c>
      <c r="F3979" s="11" t="s">
        <v>7995</v>
      </c>
      <c r="G3979" s="4" t="s">
        <v>215</v>
      </c>
      <c r="H3979" s="4"/>
    </row>
    <row r="3980" s="1" customFormat="1" spans="1:8">
      <c r="A3980" s="4" t="s">
        <v>205</v>
      </c>
      <c r="B3980" s="4" t="s">
        <v>88</v>
      </c>
      <c r="C3980" s="4" t="s">
        <v>89</v>
      </c>
      <c r="D3980" s="11" t="s">
        <v>7996</v>
      </c>
      <c r="E3980" s="4">
        <v>4303673</v>
      </c>
      <c r="F3980" s="11" t="s">
        <v>7997</v>
      </c>
      <c r="G3980" s="4" t="s">
        <v>215</v>
      </c>
      <c r="H3980" s="4"/>
    </row>
    <row r="3981" s="1" customFormat="1" spans="1:8">
      <c r="A3981" s="4" t="s">
        <v>205</v>
      </c>
      <c r="B3981" s="4" t="s">
        <v>88</v>
      </c>
      <c r="C3981" s="4" t="s">
        <v>89</v>
      </c>
      <c r="D3981" s="11" t="s">
        <v>7998</v>
      </c>
      <c r="E3981" s="4">
        <v>4303905</v>
      </c>
      <c r="F3981" s="11" t="s">
        <v>7999</v>
      </c>
      <c r="G3981" s="4" t="s">
        <v>215</v>
      </c>
      <c r="H3981" s="4"/>
    </row>
    <row r="3982" s="1" customFormat="1" spans="1:8">
      <c r="A3982" s="4" t="s">
        <v>205</v>
      </c>
      <c r="B3982" s="4" t="s">
        <v>88</v>
      </c>
      <c r="C3982" s="4" t="s">
        <v>89</v>
      </c>
      <c r="D3982" s="11" t="s">
        <v>8000</v>
      </c>
      <c r="E3982" s="4">
        <v>4304200</v>
      </c>
      <c r="F3982" s="11" t="s">
        <v>8001</v>
      </c>
      <c r="G3982" s="4" t="s">
        <v>215</v>
      </c>
      <c r="H3982" s="4"/>
    </row>
    <row r="3983" s="1" customFormat="1" spans="1:8">
      <c r="A3983" s="4" t="s">
        <v>205</v>
      </c>
      <c r="B3983" s="4" t="s">
        <v>88</v>
      </c>
      <c r="C3983" s="4" t="s">
        <v>89</v>
      </c>
      <c r="D3983" s="11" t="s">
        <v>8002</v>
      </c>
      <c r="E3983" s="4">
        <v>4304408</v>
      </c>
      <c r="F3983" s="11" t="s">
        <v>8003</v>
      </c>
      <c r="G3983" s="4" t="s">
        <v>215</v>
      </c>
      <c r="H3983" s="4"/>
    </row>
    <row r="3984" s="1" customFormat="1" spans="1:8">
      <c r="A3984" s="4" t="s">
        <v>205</v>
      </c>
      <c r="B3984" s="4" t="s">
        <v>88</v>
      </c>
      <c r="C3984" s="4" t="s">
        <v>89</v>
      </c>
      <c r="D3984" s="11" t="s">
        <v>8004</v>
      </c>
      <c r="E3984" s="4">
        <v>4304614</v>
      </c>
      <c r="F3984" s="11" t="s">
        <v>8005</v>
      </c>
      <c r="G3984" s="4" t="s">
        <v>215</v>
      </c>
      <c r="H3984" s="4"/>
    </row>
    <row r="3985" s="1" customFormat="1" spans="1:8">
      <c r="A3985" s="4" t="s">
        <v>205</v>
      </c>
      <c r="B3985" s="4" t="s">
        <v>88</v>
      </c>
      <c r="C3985" s="4" t="s">
        <v>89</v>
      </c>
      <c r="D3985" s="11" t="s">
        <v>8006</v>
      </c>
      <c r="E3985" s="4">
        <v>4304689</v>
      </c>
      <c r="F3985" s="11" t="s">
        <v>8007</v>
      </c>
      <c r="G3985" s="4" t="s">
        <v>215</v>
      </c>
      <c r="H3985" s="4"/>
    </row>
    <row r="3986" s="1" customFormat="1" spans="1:8">
      <c r="A3986" s="4" t="s">
        <v>205</v>
      </c>
      <c r="B3986" s="4" t="s">
        <v>88</v>
      </c>
      <c r="C3986" s="4" t="s">
        <v>89</v>
      </c>
      <c r="D3986" s="11" t="s">
        <v>8008</v>
      </c>
      <c r="E3986" s="4">
        <v>4304697</v>
      </c>
      <c r="F3986" s="11" t="s">
        <v>8009</v>
      </c>
      <c r="G3986" s="4" t="s">
        <v>215</v>
      </c>
      <c r="H3986" s="4"/>
    </row>
    <row r="3987" s="1" customFormat="1" spans="1:8">
      <c r="A3987" s="4" t="s">
        <v>205</v>
      </c>
      <c r="B3987" s="4" t="s">
        <v>88</v>
      </c>
      <c r="C3987" s="4" t="s">
        <v>89</v>
      </c>
      <c r="D3987" s="11" t="s">
        <v>8010</v>
      </c>
      <c r="E3987" s="4">
        <v>4304671</v>
      </c>
      <c r="F3987" s="11" t="s">
        <v>8011</v>
      </c>
      <c r="G3987" s="4" t="s">
        <v>215</v>
      </c>
      <c r="H3987" s="4"/>
    </row>
    <row r="3988" s="1" customFormat="1" spans="1:8">
      <c r="A3988" s="4" t="s">
        <v>205</v>
      </c>
      <c r="B3988" s="4" t="s">
        <v>88</v>
      </c>
      <c r="C3988" s="4" t="s">
        <v>89</v>
      </c>
      <c r="D3988" s="11" t="s">
        <v>8012</v>
      </c>
      <c r="E3988" s="4">
        <v>4304630</v>
      </c>
      <c r="F3988" s="11" t="s">
        <v>8013</v>
      </c>
      <c r="G3988" s="4" t="s">
        <v>215</v>
      </c>
      <c r="H3988" s="4"/>
    </row>
    <row r="3989" s="1" customFormat="1" spans="1:8">
      <c r="A3989" s="4" t="s">
        <v>205</v>
      </c>
      <c r="B3989" s="4" t="s">
        <v>88</v>
      </c>
      <c r="C3989" s="4" t="s">
        <v>89</v>
      </c>
      <c r="D3989" s="11" t="s">
        <v>8014</v>
      </c>
      <c r="E3989" s="4">
        <v>4304713</v>
      </c>
      <c r="F3989" s="11" t="s">
        <v>8015</v>
      </c>
      <c r="G3989" s="4" t="s">
        <v>215</v>
      </c>
      <c r="H3989" s="4"/>
    </row>
    <row r="3990" s="1" customFormat="1" spans="1:8">
      <c r="A3990" s="4" t="s">
        <v>205</v>
      </c>
      <c r="B3990" s="4" t="s">
        <v>88</v>
      </c>
      <c r="C3990" s="4" t="s">
        <v>89</v>
      </c>
      <c r="D3990" s="11" t="s">
        <v>8016</v>
      </c>
      <c r="E3990" s="4">
        <v>4304804</v>
      </c>
      <c r="F3990" s="11" t="s">
        <v>8017</v>
      </c>
      <c r="G3990" s="4" t="s">
        <v>215</v>
      </c>
      <c r="H3990" s="4"/>
    </row>
    <row r="3991" s="1" customFormat="1" spans="1:8">
      <c r="A3991" s="4" t="s">
        <v>205</v>
      </c>
      <c r="B3991" s="4" t="s">
        <v>88</v>
      </c>
      <c r="C3991" s="4" t="s">
        <v>89</v>
      </c>
      <c r="D3991" s="11" t="s">
        <v>8018</v>
      </c>
      <c r="E3991" s="4">
        <v>4304903</v>
      </c>
      <c r="F3991" s="11" t="s">
        <v>8019</v>
      </c>
      <c r="G3991" s="4" t="s">
        <v>215</v>
      </c>
      <c r="H3991" s="4"/>
    </row>
    <row r="3992" s="1" customFormat="1" spans="1:8">
      <c r="A3992" s="4" t="s">
        <v>205</v>
      </c>
      <c r="B3992" s="4" t="s">
        <v>88</v>
      </c>
      <c r="C3992" s="4" t="s">
        <v>89</v>
      </c>
      <c r="D3992" s="11" t="s">
        <v>8020</v>
      </c>
      <c r="E3992" s="4">
        <v>4305108</v>
      </c>
      <c r="F3992" s="11" t="s">
        <v>8021</v>
      </c>
      <c r="G3992" s="4" t="s">
        <v>215</v>
      </c>
      <c r="H3992" s="4"/>
    </row>
    <row r="3993" s="1" customFormat="1" spans="1:8">
      <c r="A3993" s="4" t="s">
        <v>205</v>
      </c>
      <c r="B3993" s="4" t="s">
        <v>88</v>
      </c>
      <c r="C3993" s="4" t="s">
        <v>89</v>
      </c>
      <c r="D3993" s="11" t="s">
        <v>8022</v>
      </c>
      <c r="E3993" s="4">
        <v>4305132</v>
      </c>
      <c r="F3993" s="11" t="s">
        <v>8023</v>
      </c>
      <c r="G3993" s="4" t="s">
        <v>215</v>
      </c>
      <c r="H3993" s="4"/>
    </row>
    <row r="3994" s="1" customFormat="1" spans="1:8">
      <c r="A3994" s="4" t="s">
        <v>205</v>
      </c>
      <c r="B3994" s="4" t="s">
        <v>88</v>
      </c>
      <c r="C3994" s="4" t="s">
        <v>89</v>
      </c>
      <c r="D3994" s="11" t="s">
        <v>8024</v>
      </c>
      <c r="E3994" s="4">
        <v>4305173</v>
      </c>
      <c r="F3994" s="11" t="s">
        <v>8025</v>
      </c>
      <c r="G3994" s="4" t="s">
        <v>215</v>
      </c>
      <c r="H3994" s="4"/>
    </row>
    <row r="3995" s="1" customFormat="1" spans="1:8">
      <c r="A3995" s="4" t="s">
        <v>205</v>
      </c>
      <c r="B3995" s="4" t="s">
        <v>88</v>
      </c>
      <c r="C3995" s="4" t="s">
        <v>89</v>
      </c>
      <c r="D3995" s="11" t="s">
        <v>8026</v>
      </c>
      <c r="E3995" s="4">
        <v>4305355</v>
      </c>
      <c r="F3995" s="11" t="s">
        <v>8027</v>
      </c>
      <c r="G3995" s="4" t="s">
        <v>215</v>
      </c>
      <c r="H3995" s="4"/>
    </row>
    <row r="3996" s="1" customFormat="1" spans="1:8">
      <c r="A3996" s="4" t="s">
        <v>205</v>
      </c>
      <c r="B3996" s="4" t="s">
        <v>88</v>
      </c>
      <c r="C3996" s="4" t="s">
        <v>89</v>
      </c>
      <c r="D3996" s="11" t="s">
        <v>8028</v>
      </c>
      <c r="E3996" s="4">
        <v>4305447</v>
      </c>
      <c r="F3996" s="11" t="s">
        <v>8029</v>
      </c>
      <c r="G3996" s="4" t="s">
        <v>215</v>
      </c>
      <c r="H3996" s="4"/>
    </row>
    <row r="3997" s="1" customFormat="1" spans="1:8">
      <c r="A3997" s="4" t="s">
        <v>205</v>
      </c>
      <c r="B3997" s="4" t="s">
        <v>88</v>
      </c>
      <c r="C3997" s="4" t="s">
        <v>89</v>
      </c>
      <c r="D3997" s="11" t="s">
        <v>8030</v>
      </c>
      <c r="E3997" s="4">
        <v>4305454</v>
      </c>
      <c r="F3997" s="11" t="s">
        <v>8031</v>
      </c>
      <c r="G3997" s="4" t="s">
        <v>215</v>
      </c>
      <c r="H3997" s="4"/>
    </row>
    <row r="3998" s="1" customFormat="1" spans="1:8">
      <c r="A3998" s="4" t="s">
        <v>205</v>
      </c>
      <c r="B3998" s="4" t="s">
        <v>88</v>
      </c>
      <c r="C3998" s="4" t="s">
        <v>89</v>
      </c>
      <c r="D3998" s="11" t="s">
        <v>2854</v>
      </c>
      <c r="E3998" s="4">
        <v>4305587</v>
      </c>
      <c r="F3998" s="11" t="s">
        <v>8032</v>
      </c>
      <c r="G3998" s="4" t="s">
        <v>215</v>
      </c>
      <c r="H3998" s="4"/>
    </row>
    <row r="3999" s="1" customFormat="1" spans="1:8">
      <c r="A3999" s="4" t="s">
        <v>205</v>
      </c>
      <c r="B3999" s="4" t="s">
        <v>88</v>
      </c>
      <c r="C3999" s="4" t="s">
        <v>89</v>
      </c>
      <c r="D3999" s="11" t="s">
        <v>8033</v>
      </c>
      <c r="E3999" s="4">
        <v>4305835</v>
      </c>
      <c r="F3999" s="11" t="s">
        <v>8034</v>
      </c>
      <c r="G3999" s="4" t="s">
        <v>215</v>
      </c>
      <c r="H3999" s="4"/>
    </row>
    <row r="4000" s="1" customFormat="1" spans="1:8">
      <c r="A4000" s="4" t="s">
        <v>205</v>
      </c>
      <c r="B4000" s="4" t="s">
        <v>88</v>
      </c>
      <c r="C4000" s="4" t="s">
        <v>89</v>
      </c>
      <c r="D4000" s="11" t="s">
        <v>8035</v>
      </c>
      <c r="E4000" s="4">
        <v>4305934</v>
      </c>
      <c r="F4000" s="11" t="s">
        <v>8036</v>
      </c>
      <c r="G4000" s="4" t="s">
        <v>215</v>
      </c>
      <c r="H4000" s="4"/>
    </row>
    <row r="4001" s="1" customFormat="1" spans="1:8">
      <c r="A4001" s="4" t="s">
        <v>205</v>
      </c>
      <c r="B4001" s="4" t="s">
        <v>88</v>
      </c>
      <c r="C4001" s="4" t="s">
        <v>89</v>
      </c>
      <c r="D4001" s="11" t="s">
        <v>8037</v>
      </c>
      <c r="E4001" s="4">
        <v>4305959</v>
      </c>
      <c r="F4001" s="11" t="s">
        <v>8038</v>
      </c>
      <c r="G4001" s="4" t="s">
        <v>215</v>
      </c>
      <c r="H4001" s="4"/>
    </row>
    <row r="4002" s="1" customFormat="1" spans="1:8">
      <c r="A4002" s="4" t="s">
        <v>205</v>
      </c>
      <c r="B4002" s="4" t="s">
        <v>88</v>
      </c>
      <c r="C4002" s="4" t="s">
        <v>89</v>
      </c>
      <c r="D4002" s="11" t="s">
        <v>8039</v>
      </c>
      <c r="E4002" s="4">
        <v>4306056</v>
      </c>
      <c r="F4002" s="11" t="s">
        <v>8040</v>
      </c>
      <c r="G4002" s="4" t="s">
        <v>215</v>
      </c>
      <c r="H4002" s="4"/>
    </row>
    <row r="4003" s="1" customFormat="1" spans="1:8">
      <c r="A4003" s="4" t="s">
        <v>205</v>
      </c>
      <c r="B4003" s="4" t="s">
        <v>88</v>
      </c>
      <c r="C4003" s="4" t="s">
        <v>89</v>
      </c>
      <c r="D4003" s="11" t="s">
        <v>241</v>
      </c>
      <c r="E4003" s="4">
        <v>4306205</v>
      </c>
      <c r="F4003" s="11" t="s">
        <v>8041</v>
      </c>
      <c r="G4003" s="4" t="s">
        <v>215</v>
      </c>
      <c r="H4003" s="4"/>
    </row>
    <row r="4004" s="1" customFormat="1" spans="1:8">
      <c r="A4004" s="4" t="s">
        <v>205</v>
      </c>
      <c r="B4004" s="4" t="s">
        <v>88</v>
      </c>
      <c r="C4004" s="4" t="s">
        <v>89</v>
      </c>
      <c r="D4004" s="11" t="s">
        <v>8042</v>
      </c>
      <c r="E4004" s="4">
        <v>4306403</v>
      </c>
      <c r="F4004" s="11" t="s">
        <v>8043</v>
      </c>
      <c r="G4004" s="4" t="s">
        <v>215</v>
      </c>
      <c r="H4004" s="4"/>
    </row>
    <row r="4005" s="1" customFormat="1" spans="1:8">
      <c r="A4005" s="4" t="s">
        <v>205</v>
      </c>
      <c r="B4005" s="4" t="s">
        <v>88</v>
      </c>
      <c r="C4005" s="4" t="s">
        <v>89</v>
      </c>
      <c r="D4005" s="11" t="s">
        <v>8044</v>
      </c>
      <c r="E4005" s="4">
        <v>4306452</v>
      </c>
      <c r="F4005" s="11" t="s">
        <v>8045</v>
      </c>
      <c r="G4005" s="4" t="s">
        <v>215</v>
      </c>
      <c r="H4005" s="4"/>
    </row>
    <row r="4006" s="1" customFormat="1" spans="1:8">
      <c r="A4006" s="4" t="s">
        <v>205</v>
      </c>
      <c r="B4006" s="4" t="s">
        <v>88</v>
      </c>
      <c r="C4006" s="4" t="s">
        <v>89</v>
      </c>
      <c r="D4006" s="11" t="s">
        <v>8046</v>
      </c>
      <c r="E4006" s="4">
        <v>4306502</v>
      </c>
      <c r="F4006" s="11" t="s">
        <v>8047</v>
      </c>
      <c r="G4006" s="4" t="s">
        <v>215</v>
      </c>
      <c r="H4006" s="4"/>
    </row>
    <row r="4007" s="1" customFormat="1" spans="1:8">
      <c r="A4007" s="4" t="s">
        <v>205</v>
      </c>
      <c r="B4007" s="4" t="s">
        <v>88</v>
      </c>
      <c r="C4007" s="4" t="s">
        <v>89</v>
      </c>
      <c r="D4007" s="11" t="s">
        <v>8048</v>
      </c>
      <c r="E4007" s="4">
        <v>4306551</v>
      </c>
      <c r="F4007" s="11" t="s">
        <v>8049</v>
      </c>
      <c r="G4007" s="4" t="s">
        <v>215</v>
      </c>
      <c r="H4007" s="4"/>
    </row>
    <row r="4008" s="1" customFormat="1" spans="1:8">
      <c r="A4008" s="4" t="s">
        <v>205</v>
      </c>
      <c r="B4008" s="4" t="s">
        <v>88</v>
      </c>
      <c r="C4008" s="4" t="s">
        <v>89</v>
      </c>
      <c r="D4008" s="11" t="s">
        <v>8050</v>
      </c>
      <c r="E4008" s="4">
        <v>4306759</v>
      </c>
      <c r="F4008" s="11" t="s">
        <v>8051</v>
      </c>
      <c r="G4008" s="4" t="s">
        <v>215</v>
      </c>
      <c r="H4008" s="4"/>
    </row>
    <row r="4009" s="1" customFormat="1" spans="1:8">
      <c r="A4009" s="4" t="s">
        <v>205</v>
      </c>
      <c r="B4009" s="4" t="s">
        <v>88</v>
      </c>
      <c r="C4009" s="4" t="s">
        <v>89</v>
      </c>
      <c r="D4009" s="11" t="s">
        <v>8052</v>
      </c>
      <c r="E4009" s="4">
        <v>4306809</v>
      </c>
      <c r="F4009" s="11" t="s">
        <v>8053</v>
      </c>
      <c r="G4009" s="4" t="s">
        <v>215</v>
      </c>
      <c r="H4009" s="4"/>
    </row>
    <row r="4010" s="1" customFormat="1" spans="1:8">
      <c r="A4010" s="4" t="s">
        <v>205</v>
      </c>
      <c r="B4010" s="4" t="s">
        <v>88</v>
      </c>
      <c r="C4010" s="4" t="s">
        <v>89</v>
      </c>
      <c r="D4010" s="11" t="s">
        <v>8054</v>
      </c>
      <c r="E4010" s="4">
        <v>4306908</v>
      </c>
      <c r="F4010" s="11" t="s">
        <v>8055</v>
      </c>
      <c r="G4010" s="4" t="s">
        <v>215</v>
      </c>
      <c r="H4010" s="4"/>
    </row>
    <row r="4011" s="1" customFormat="1" spans="1:8">
      <c r="A4011" s="4" t="s">
        <v>205</v>
      </c>
      <c r="B4011" s="4" t="s">
        <v>88</v>
      </c>
      <c r="C4011" s="4" t="s">
        <v>89</v>
      </c>
      <c r="D4011" s="11" t="s">
        <v>8056</v>
      </c>
      <c r="E4011" s="4">
        <v>4307807</v>
      </c>
      <c r="F4011" s="11" t="s">
        <v>8057</v>
      </c>
      <c r="G4011" s="4" t="s">
        <v>215</v>
      </c>
      <c r="H4011" s="4"/>
    </row>
    <row r="4012" s="1" customFormat="1" spans="1:8">
      <c r="A4012" s="4" t="s">
        <v>205</v>
      </c>
      <c r="B4012" s="4" t="s">
        <v>88</v>
      </c>
      <c r="C4012" s="4" t="s">
        <v>89</v>
      </c>
      <c r="D4012" s="11" t="s">
        <v>8058</v>
      </c>
      <c r="E4012" s="4">
        <v>4307609</v>
      </c>
      <c r="F4012" s="11" t="s">
        <v>8059</v>
      </c>
      <c r="G4012" s="4" t="s">
        <v>215</v>
      </c>
      <c r="H4012" s="4"/>
    </row>
    <row r="4013" s="1" customFormat="1" spans="1:8">
      <c r="A4013" s="4" t="s">
        <v>205</v>
      </c>
      <c r="B4013" s="4" t="s">
        <v>88</v>
      </c>
      <c r="C4013" s="4" t="s">
        <v>89</v>
      </c>
      <c r="D4013" s="11" t="s">
        <v>8060</v>
      </c>
      <c r="E4013" s="4">
        <v>4307864</v>
      </c>
      <c r="F4013" s="11" t="s">
        <v>8061</v>
      </c>
      <c r="G4013" s="4" t="s">
        <v>215</v>
      </c>
      <c r="H4013" s="4"/>
    </row>
    <row r="4014" s="1" customFormat="1" spans="1:8">
      <c r="A4014" s="4" t="s">
        <v>205</v>
      </c>
      <c r="B4014" s="4" t="s">
        <v>88</v>
      </c>
      <c r="C4014" s="4" t="s">
        <v>89</v>
      </c>
      <c r="D4014" s="11" t="s">
        <v>8062</v>
      </c>
      <c r="E4014" s="4">
        <v>4307906</v>
      </c>
      <c r="F4014" s="11" t="s">
        <v>8063</v>
      </c>
      <c r="G4014" s="4" t="s">
        <v>215</v>
      </c>
      <c r="H4014" s="4"/>
    </row>
    <row r="4015" s="1" customFormat="1" spans="1:8">
      <c r="A4015" s="4" t="s">
        <v>205</v>
      </c>
      <c r="B4015" s="4" t="s">
        <v>88</v>
      </c>
      <c r="C4015" s="4" t="s">
        <v>89</v>
      </c>
      <c r="D4015" s="11" t="s">
        <v>8064</v>
      </c>
      <c r="E4015" s="4">
        <v>4308078</v>
      </c>
      <c r="F4015" s="11" t="s">
        <v>8065</v>
      </c>
      <c r="G4015" s="4" t="s">
        <v>215</v>
      </c>
      <c r="H4015" s="4"/>
    </row>
    <row r="4016" s="1" customFormat="1" spans="1:8">
      <c r="A4016" s="4" t="s">
        <v>205</v>
      </c>
      <c r="B4016" s="4" t="s">
        <v>88</v>
      </c>
      <c r="C4016" s="4" t="s">
        <v>89</v>
      </c>
      <c r="D4016" s="11" t="s">
        <v>8066</v>
      </c>
      <c r="E4016" s="4">
        <v>4308102</v>
      </c>
      <c r="F4016" s="11" t="s">
        <v>8067</v>
      </c>
      <c r="G4016" s="4" t="s">
        <v>215</v>
      </c>
      <c r="H4016" s="4"/>
    </row>
    <row r="4017" s="1" customFormat="1" spans="1:8">
      <c r="A4017" s="4" t="s">
        <v>205</v>
      </c>
      <c r="B4017" s="4" t="s">
        <v>88</v>
      </c>
      <c r="C4017" s="4" t="s">
        <v>89</v>
      </c>
      <c r="D4017" s="11" t="s">
        <v>8068</v>
      </c>
      <c r="E4017" s="4">
        <v>4308201</v>
      </c>
      <c r="F4017" s="11" t="s">
        <v>8069</v>
      </c>
      <c r="G4017" s="4" t="s">
        <v>215</v>
      </c>
      <c r="H4017" s="4"/>
    </row>
    <row r="4018" s="1" customFormat="1" spans="1:8">
      <c r="A4018" s="4" t="s">
        <v>205</v>
      </c>
      <c r="B4018" s="4" t="s">
        <v>88</v>
      </c>
      <c r="C4018" s="4" t="s">
        <v>89</v>
      </c>
      <c r="D4018" s="11" t="s">
        <v>8070</v>
      </c>
      <c r="E4018" s="4">
        <v>4308300</v>
      </c>
      <c r="F4018" s="11" t="s">
        <v>8071</v>
      </c>
      <c r="G4018" s="4" t="s">
        <v>215</v>
      </c>
      <c r="H4018" s="4"/>
    </row>
    <row r="4019" s="1" customFormat="1" spans="1:8">
      <c r="A4019" s="4" t="s">
        <v>205</v>
      </c>
      <c r="B4019" s="4" t="s">
        <v>88</v>
      </c>
      <c r="C4019" s="4" t="s">
        <v>89</v>
      </c>
      <c r="D4019" s="11" t="s">
        <v>8072</v>
      </c>
      <c r="E4019" s="4">
        <v>4308433</v>
      </c>
      <c r="F4019" s="11" t="s">
        <v>8073</v>
      </c>
      <c r="G4019" s="4" t="s">
        <v>215</v>
      </c>
      <c r="H4019" s="4"/>
    </row>
    <row r="4020" s="1" customFormat="1" spans="1:8">
      <c r="A4020" s="4" t="s">
        <v>205</v>
      </c>
      <c r="B4020" s="4" t="s">
        <v>88</v>
      </c>
      <c r="C4020" s="4" t="s">
        <v>89</v>
      </c>
      <c r="D4020" s="11" t="s">
        <v>8074</v>
      </c>
      <c r="E4020" s="4">
        <v>4308607</v>
      </c>
      <c r="F4020" s="11" t="s">
        <v>8075</v>
      </c>
      <c r="G4020" s="4" t="s">
        <v>215</v>
      </c>
      <c r="H4020" s="4"/>
    </row>
    <row r="4021" s="1" customFormat="1" spans="1:8">
      <c r="A4021" s="4" t="s">
        <v>205</v>
      </c>
      <c r="B4021" s="4" t="s">
        <v>88</v>
      </c>
      <c r="C4021" s="4" t="s">
        <v>89</v>
      </c>
      <c r="D4021" s="11" t="s">
        <v>8076</v>
      </c>
      <c r="E4021" s="4">
        <v>4308805</v>
      </c>
      <c r="F4021" s="11" t="s">
        <v>8077</v>
      </c>
      <c r="G4021" s="4" t="s">
        <v>215</v>
      </c>
      <c r="H4021" s="4"/>
    </row>
    <row r="4022" s="1" customFormat="1" spans="1:8">
      <c r="A4022" s="4" t="s">
        <v>205</v>
      </c>
      <c r="B4022" s="4" t="s">
        <v>88</v>
      </c>
      <c r="C4022" s="4" t="s">
        <v>89</v>
      </c>
      <c r="D4022" s="11" t="s">
        <v>8078</v>
      </c>
      <c r="E4022" s="4">
        <v>4309050</v>
      </c>
      <c r="F4022" s="11" t="s">
        <v>8079</v>
      </c>
      <c r="G4022" s="4" t="s">
        <v>215</v>
      </c>
      <c r="H4022" s="4"/>
    </row>
    <row r="4023" s="1" customFormat="1" spans="1:8">
      <c r="A4023" s="4" t="s">
        <v>205</v>
      </c>
      <c r="B4023" s="4" t="s">
        <v>88</v>
      </c>
      <c r="C4023" s="4" t="s">
        <v>89</v>
      </c>
      <c r="D4023" s="11" t="s">
        <v>8080</v>
      </c>
      <c r="E4023" s="4">
        <v>4309100</v>
      </c>
      <c r="F4023" s="11" t="s">
        <v>8081</v>
      </c>
      <c r="G4023" s="4" t="s">
        <v>215</v>
      </c>
      <c r="H4023" s="4"/>
    </row>
    <row r="4024" s="1" customFormat="1" spans="1:8">
      <c r="A4024" s="4" t="s">
        <v>205</v>
      </c>
      <c r="B4024" s="4" t="s">
        <v>88</v>
      </c>
      <c r="C4024" s="4" t="s">
        <v>89</v>
      </c>
      <c r="D4024" s="11" t="s">
        <v>8082</v>
      </c>
      <c r="E4024" s="4">
        <v>4309159</v>
      </c>
      <c r="F4024" s="11" t="s">
        <v>8083</v>
      </c>
      <c r="G4024" s="4" t="s">
        <v>215</v>
      </c>
      <c r="H4024" s="4"/>
    </row>
    <row r="4025" s="1" customFormat="1" spans="1:8">
      <c r="A4025" s="4" t="s">
        <v>205</v>
      </c>
      <c r="B4025" s="4" t="s">
        <v>88</v>
      </c>
      <c r="C4025" s="4" t="s">
        <v>89</v>
      </c>
      <c r="D4025" s="11" t="s">
        <v>8084</v>
      </c>
      <c r="E4025" s="4">
        <v>4309258</v>
      </c>
      <c r="F4025" s="11" t="s">
        <v>8085</v>
      </c>
      <c r="G4025" s="4" t="s">
        <v>215</v>
      </c>
      <c r="H4025" s="4"/>
    </row>
    <row r="4026" s="1" customFormat="1" spans="1:8">
      <c r="A4026" s="4" t="s">
        <v>205</v>
      </c>
      <c r="B4026" s="4" t="s">
        <v>88</v>
      </c>
      <c r="C4026" s="4" t="s">
        <v>89</v>
      </c>
      <c r="D4026" s="11" t="s">
        <v>8086</v>
      </c>
      <c r="E4026" s="4">
        <v>4309407</v>
      </c>
      <c r="F4026" s="11" t="s">
        <v>8087</v>
      </c>
      <c r="G4026" s="4" t="s">
        <v>215</v>
      </c>
      <c r="H4026" s="4"/>
    </row>
    <row r="4027" s="1" customFormat="1" spans="1:8">
      <c r="A4027" s="4" t="s">
        <v>205</v>
      </c>
      <c r="B4027" s="4" t="s">
        <v>88</v>
      </c>
      <c r="C4027" s="4" t="s">
        <v>89</v>
      </c>
      <c r="D4027" s="11" t="s">
        <v>8088</v>
      </c>
      <c r="E4027" s="4">
        <v>4309555</v>
      </c>
      <c r="F4027" s="11" t="s">
        <v>8089</v>
      </c>
      <c r="G4027" s="4" t="s">
        <v>215</v>
      </c>
      <c r="H4027" s="4"/>
    </row>
    <row r="4028" s="1" customFormat="1" spans="1:8">
      <c r="A4028" s="4" t="s">
        <v>205</v>
      </c>
      <c r="B4028" s="4" t="s">
        <v>88</v>
      </c>
      <c r="C4028" s="4" t="s">
        <v>89</v>
      </c>
      <c r="D4028" s="11" t="s">
        <v>8090</v>
      </c>
      <c r="E4028" s="4">
        <v>4309571</v>
      </c>
      <c r="F4028" s="11" t="s">
        <v>8091</v>
      </c>
      <c r="G4028" s="4" t="s">
        <v>215</v>
      </c>
      <c r="H4028" s="4"/>
    </row>
    <row r="4029" s="1" customFormat="1" spans="1:8">
      <c r="A4029" s="4" t="s">
        <v>205</v>
      </c>
      <c r="B4029" s="4" t="s">
        <v>88</v>
      </c>
      <c r="C4029" s="4" t="s">
        <v>89</v>
      </c>
      <c r="D4029" s="11" t="s">
        <v>8092</v>
      </c>
      <c r="E4029" s="4">
        <v>4310108</v>
      </c>
      <c r="F4029" s="11" t="s">
        <v>8093</v>
      </c>
      <c r="G4029" s="4" t="s">
        <v>215</v>
      </c>
      <c r="H4029" s="4"/>
    </row>
    <row r="4030" s="1" customFormat="1" spans="1:8">
      <c r="A4030" s="4" t="s">
        <v>205</v>
      </c>
      <c r="B4030" s="4" t="s">
        <v>88</v>
      </c>
      <c r="C4030" s="4" t="s">
        <v>89</v>
      </c>
      <c r="D4030" s="11" t="s">
        <v>8094</v>
      </c>
      <c r="E4030" s="4">
        <v>4310306</v>
      </c>
      <c r="F4030" s="11" t="s">
        <v>8095</v>
      </c>
      <c r="G4030" s="4" t="s">
        <v>215</v>
      </c>
      <c r="H4030" s="4"/>
    </row>
    <row r="4031" s="1" customFormat="1" spans="1:8">
      <c r="A4031" s="4" t="s">
        <v>205</v>
      </c>
      <c r="B4031" s="4" t="s">
        <v>88</v>
      </c>
      <c r="C4031" s="4" t="s">
        <v>89</v>
      </c>
      <c r="D4031" s="11" t="s">
        <v>8096</v>
      </c>
      <c r="E4031" s="4">
        <v>4310330</v>
      </c>
      <c r="F4031" s="11" t="s">
        <v>8097</v>
      </c>
      <c r="G4031" s="4" t="s">
        <v>215</v>
      </c>
      <c r="H4031" s="4"/>
    </row>
    <row r="4032" s="1" customFormat="1" spans="1:8">
      <c r="A4032" s="4" t="s">
        <v>205</v>
      </c>
      <c r="B4032" s="4" t="s">
        <v>88</v>
      </c>
      <c r="C4032" s="4" t="s">
        <v>89</v>
      </c>
      <c r="D4032" s="11" t="s">
        <v>8098</v>
      </c>
      <c r="E4032" s="4">
        <v>4310363</v>
      </c>
      <c r="F4032" s="11" t="s">
        <v>8099</v>
      </c>
      <c r="G4032" s="4" t="s">
        <v>215</v>
      </c>
      <c r="H4032" s="4"/>
    </row>
    <row r="4033" s="1" customFormat="1" spans="1:8">
      <c r="A4033" s="4" t="s">
        <v>205</v>
      </c>
      <c r="B4033" s="4" t="s">
        <v>88</v>
      </c>
      <c r="C4033" s="4" t="s">
        <v>89</v>
      </c>
      <c r="D4033" s="11" t="s">
        <v>8100</v>
      </c>
      <c r="E4033" s="4">
        <v>4310439</v>
      </c>
      <c r="F4033" s="11" t="s">
        <v>8101</v>
      </c>
      <c r="G4033" s="4" t="s">
        <v>215</v>
      </c>
      <c r="H4033" s="4"/>
    </row>
    <row r="4034" s="1" customFormat="1" spans="1:8">
      <c r="A4034" s="4" t="s">
        <v>205</v>
      </c>
      <c r="B4034" s="4" t="s">
        <v>88</v>
      </c>
      <c r="C4034" s="4" t="s">
        <v>89</v>
      </c>
      <c r="D4034" s="11" t="s">
        <v>8102</v>
      </c>
      <c r="E4034" s="4">
        <v>4310579</v>
      </c>
      <c r="F4034" s="11" t="s">
        <v>8103</v>
      </c>
      <c r="G4034" s="4" t="s">
        <v>215</v>
      </c>
      <c r="H4034" s="4"/>
    </row>
    <row r="4035" s="1" customFormat="1" spans="1:8">
      <c r="A4035" s="4" t="s">
        <v>205</v>
      </c>
      <c r="B4035" s="4" t="s">
        <v>88</v>
      </c>
      <c r="C4035" s="4" t="s">
        <v>89</v>
      </c>
      <c r="D4035" s="11" t="s">
        <v>8104</v>
      </c>
      <c r="E4035" s="4">
        <v>4310652</v>
      </c>
      <c r="F4035" s="11" t="s">
        <v>8105</v>
      </c>
      <c r="G4035" s="4" t="s">
        <v>215</v>
      </c>
      <c r="H4035" s="4"/>
    </row>
    <row r="4036" s="1" customFormat="1" spans="1:8">
      <c r="A4036" s="4" t="s">
        <v>205</v>
      </c>
      <c r="B4036" s="4" t="s">
        <v>88</v>
      </c>
      <c r="C4036" s="4" t="s">
        <v>89</v>
      </c>
      <c r="D4036" s="11" t="s">
        <v>8106</v>
      </c>
      <c r="E4036" s="4">
        <v>4310801</v>
      </c>
      <c r="F4036" s="11" t="s">
        <v>8107</v>
      </c>
      <c r="G4036" s="4" t="s">
        <v>215</v>
      </c>
      <c r="H4036" s="4"/>
    </row>
    <row r="4037" s="1" customFormat="1" spans="1:8">
      <c r="A4037" s="4" t="s">
        <v>205</v>
      </c>
      <c r="B4037" s="4" t="s">
        <v>88</v>
      </c>
      <c r="C4037" s="4" t="s">
        <v>89</v>
      </c>
      <c r="D4037" s="11" t="s">
        <v>8108</v>
      </c>
      <c r="E4037" s="4">
        <v>4311122</v>
      </c>
      <c r="F4037" s="11" t="s">
        <v>8109</v>
      </c>
      <c r="G4037" s="4" t="s">
        <v>215</v>
      </c>
      <c r="H4037" s="4"/>
    </row>
    <row r="4038" s="1" customFormat="1" spans="1:8">
      <c r="A4038" s="4" t="s">
        <v>205</v>
      </c>
      <c r="B4038" s="4" t="s">
        <v>88</v>
      </c>
      <c r="C4038" s="4" t="s">
        <v>89</v>
      </c>
      <c r="D4038" s="11" t="s">
        <v>8110</v>
      </c>
      <c r="E4038" s="4">
        <v>4311239</v>
      </c>
      <c r="F4038" s="11" t="s">
        <v>8111</v>
      </c>
      <c r="G4038" s="4" t="s">
        <v>215</v>
      </c>
      <c r="H4038" s="4"/>
    </row>
    <row r="4039" s="1" customFormat="1" spans="1:8">
      <c r="A4039" s="4" t="s">
        <v>205</v>
      </c>
      <c r="B4039" s="4" t="s">
        <v>88</v>
      </c>
      <c r="C4039" s="4" t="s">
        <v>89</v>
      </c>
      <c r="D4039" s="11" t="s">
        <v>8112</v>
      </c>
      <c r="E4039" s="4">
        <v>4311403</v>
      </c>
      <c r="F4039" s="11" t="s">
        <v>8113</v>
      </c>
      <c r="G4039" s="4" t="s">
        <v>215</v>
      </c>
      <c r="H4039" s="4"/>
    </row>
    <row r="4040" s="1" customFormat="1" spans="1:8">
      <c r="A4040" s="4" t="s">
        <v>205</v>
      </c>
      <c r="B4040" s="4" t="s">
        <v>88</v>
      </c>
      <c r="C4040" s="4" t="s">
        <v>89</v>
      </c>
      <c r="D4040" s="11" t="s">
        <v>8114</v>
      </c>
      <c r="E4040" s="4">
        <v>4311627</v>
      </c>
      <c r="F4040" s="11" t="s">
        <v>8115</v>
      </c>
      <c r="G4040" s="4" t="s">
        <v>215</v>
      </c>
      <c r="H4040" s="4"/>
    </row>
    <row r="4041" s="1" customFormat="1" spans="1:8">
      <c r="A4041" s="4" t="s">
        <v>205</v>
      </c>
      <c r="B4041" s="4" t="s">
        <v>88</v>
      </c>
      <c r="C4041" s="4" t="s">
        <v>89</v>
      </c>
      <c r="D4041" s="11" t="s">
        <v>8116</v>
      </c>
      <c r="E4041" s="4">
        <v>4311643</v>
      </c>
      <c r="F4041" s="11" t="s">
        <v>8117</v>
      </c>
      <c r="G4041" s="4" t="s">
        <v>215</v>
      </c>
      <c r="H4041" s="4"/>
    </row>
    <row r="4042" s="1" customFormat="1" spans="1:8">
      <c r="A4042" s="4" t="s">
        <v>205</v>
      </c>
      <c r="B4042" s="4" t="s">
        <v>88</v>
      </c>
      <c r="C4042" s="4" t="s">
        <v>89</v>
      </c>
      <c r="D4042" s="11" t="s">
        <v>8118</v>
      </c>
      <c r="E4042" s="4">
        <v>4311734</v>
      </c>
      <c r="F4042" s="11" t="s">
        <v>8119</v>
      </c>
      <c r="G4042" s="4" t="s">
        <v>215</v>
      </c>
      <c r="H4042" s="4"/>
    </row>
    <row r="4043" s="1" customFormat="1" spans="1:8">
      <c r="A4043" s="4" t="s">
        <v>205</v>
      </c>
      <c r="B4043" s="4" t="s">
        <v>88</v>
      </c>
      <c r="C4043" s="4" t="s">
        <v>89</v>
      </c>
      <c r="D4043" s="11" t="s">
        <v>8120</v>
      </c>
      <c r="E4043" s="4">
        <v>4311775</v>
      </c>
      <c r="F4043" s="11" t="s">
        <v>8121</v>
      </c>
      <c r="G4043" s="4" t="s">
        <v>215</v>
      </c>
      <c r="H4043" s="4"/>
    </row>
    <row r="4044" s="1" customFormat="1" spans="1:8">
      <c r="A4044" s="4" t="s">
        <v>205</v>
      </c>
      <c r="B4044" s="4" t="s">
        <v>88</v>
      </c>
      <c r="C4044" s="4" t="s">
        <v>89</v>
      </c>
      <c r="D4044" s="11" t="s">
        <v>8122</v>
      </c>
      <c r="E4044" s="4">
        <v>4311791</v>
      </c>
      <c r="F4044" s="11" t="s">
        <v>8123</v>
      </c>
      <c r="G4044" s="4" t="s">
        <v>215</v>
      </c>
      <c r="H4044" s="4"/>
    </row>
    <row r="4045" s="1" customFormat="1" spans="1:8">
      <c r="A4045" s="4" t="s">
        <v>205</v>
      </c>
      <c r="B4045" s="4" t="s">
        <v>88</v>
      </c>
      <c r="C4045" s="4" t="s">
        <v>89</v>
      </c>
      <c r="D4045" s="11" t="s">
        <v>8124</v>
      </c>
      <c r="E4045" s="4">
        <v>4311981</v>
      </c>
      <c r="F4045" s="11" t="s">
        <v>8125</v>
      </c>
      <c r="G4045" s="4" t="s">
        <v>215</v>
      </c>
      <c r="H4045" s="4"/>
    </row>
    <row r="4046" s="1" customFormat="1" spans="1:8">
      <c r="A4046" s="4" t="s">
        <v>205</v>
      </c>
      <c r="B4046" s="4" t="s">
        <v>88</v>
      </c>
      <c r="C4046" s="4" t="s">
        <v>89</v>
      </c>
      <c r="D4046" s="11" t="s">
        <v>8126</v>
      </c>
      <c r="E4046" s="4">
        <v>4312054</v>
      </c>
      <c r="F4046" s="11" t="s">
        <v>8127</v>
      </c>
      <c r="G4046" s="4" t="s">
        <v>215</v>
      </c>
      <c r="H4046" s="4"/>
    </row>
    <row r="4047" s="1" customFormat="1" spans="1:8">
      <c r="A4047" s="4" t="s">
        <v>205</v>
      </c>
      <c r="B4047" s="4" t="s">
        <v>88</v>
      </c>
      <c r="C4047" s="4" t="s">
        <v>89</v>
      </c>
      <c r="D4047" s="11" t="s">
        <v>8128</v>
      </c>
      <c r="E4047" s="4">
        <v>4312153</v>
      </c>
      <c r="F4047" s="11" t="s">
        <v>8129</v>
      </c>
      <c r="G4047" s="4" t="s">
        <v>215</v>
      </c>
      <c r="H4047" s="4"/>
    </row>
    <row r="4048" s="1" customFormat="1" spans="1:8">
      <c r="A4048" s="4" t="s">
        <v>205</v>
      </c>
      <c r="B4048" s="4" t="s">
        <v>88</v>
      </c>
      <c r="C4048" s="4" t="s">
        <v>89</v>
      </c>
      <c r="D4048" s="11" t="s">
        <v>8130</v>
      </c>
      <c r="E4048" s="4">
        <v>4312252</v>
      </c>
      <c r="F4048" s="11" t="s">
        <v>8131</v>
      </c>
      <c r="G4048" s="4" t="s">
        <v>215</v>
      </c>
      <c r="H4048" s="4"/>
    </row>
    <row r="4049" s="1" customFormat="1" spans="1:8">
      <c r="A4049" s="4" t="s">
        <v>205</v>
      </c>
      <c r="B4049" s="4" t="s">
        <v>88</v>
      </c>
      <c r="C4049" s="4" t="s">
        <v>89</v>
      </c>
      <c r="D4049" s="11" t="s">
        <v>8132</v>
      </c>
      <c r="E4049" s="4">
        <v>4312351</v>
      </c>
      <c r="F4049" s="11" t="s">
        <v>8133</v>
      </c>
      <c r="G4049" s="4" t="s">
        <v>215</v>
      </c>
      <c r="H4049" s="4"/>
    </row>
    <row r="4050" s="1" customFormat="1" spans="1:8">
      <c r="A4050" s="4" t="s">
        <v>205</v>
      </c>
      <c r="B4050" s="4" t="s">
        <v>88</v>
      </c>
      <c r="C4050" s="4" t="s">
        <v>89</v>
      </c>
      <c r="D4050" s="11" t="s">
        <v>8134</v>
      </c>
      <c r="E4050" s="4">
        <v>4312385</v>
      </c>
      <c r="F4050" s="11" t="s">
        <v>8135</v>
      </c>
      <c r="G4050" s="4" t="s">
        <v>215</v>
      </c>
      <c r="H4050" s="4"/>
    </row>
    <row r="4051" s="1" customFormat="1" spans="1:8">
      <c r="A4051" s="4" t="s">
        <v>205</v>
      </c>
      <c r="B4051" s="4" t="s">
        <v>88</v>
      </c>
      <c r="C4051" s="4" t="s">
        <v>89</v>
      </c>
      <c r="D4051" s="11" t="s">
        <v>8136</v>
      </c>
      <c r="E4051" s="4">
        <v>4312401</v>
      </c>
      <c r="F4051" s="11" t="s">
        <v>8137</v>
      </c>
      <c r="G4051" s="4" t="s">
        <v>215</v>
      </c>
      <c r="H4051" s="4"/>
    </row>
    <row r="4052" s="1" customFormat="1" spans="1:8">
      <c r="A4052" s="4" t="s">
        <v>205</v>
      </c>
      <c r="B4052" s="4" t="s">
        <v>88</v>
      </c>
      <c r="C4052" s="4" t="s">
        <v>89</v>
      </c>
      <c r="D4052" s="11" t="s">
        <v>8138</v>
      </c>
      <c r="E4052" s="4">
        <v>4312443</v>
      </c>
      <c r="F4052" s="11" t="s">
        <v>8139</v>
      </c>
      <c r="G4052" s="4" t="s">
        <v>215</v>
      </c>
      <c r="H4052" s="4"/>
    </row>
    <row r="4053" s="1" customFormat="1" spans="1:8">
      <c r="A4053" s="4" t="s">
        <v>205</v>
      </c>
      <c r="B4053" s="4" t="s">
        <v>88</v>
      </c>
      <c r="C4053" s="4" t="s">
        <v>89</v>
      </c>
      <c r="D4053" s="11" t="s">
        <v>8140</v>
      </c>
      <c r="E4053" s="4">
        <v>4312476</v>
      </c>
      <c r="F4053" s="11" t="s">
        <v>8141</v>
      </c>
      <c r="G4053" s="4" t="s">
        <v>215</v>
      </c>
      <c r="H4053" s="4"/>
    </row>
    <row r="4054" s="1" customFormat="1" spans="1:8">
      <c r="A4054" s="4" t="s">
        <v>205</v>
      </c>
      <c r="B4054" s="4" t="s">
        <v>88</v>
      </c>
      <c r="C4054" s="4" t="s">
        <v>89</v>
      </c>
      <c r="D4054" s="11" t="s">
        <v>8142</v>
      </c>
      <c r="E4054" s="4">
        <v>4312500</v>
      </c>
      <c r="F4054" s="11" t="s">
        <v>8143</v>
      </c>
      <c r="G4054" s="4" t="s">
        <v>215</v>
      </c>
      <c r="H4054" s="4"/>
    </row>
    <row r="4055" s="1" customFormat="1" spans="1:8">
      <c r="A4055" s="4" t="s">
        <v>205</v>
      </c>
      <c r="B4055" s="4" t="s">
        <v>88</v>
      </c>
      <c r="C4055" s="4" t="s">
        <v>89</v>
      </c>
      <c r="D4055" s="11" t="s">
        <v>8144</v>
      </c>
      <c r="E4055" s="4">
        <v>4312609</v>
      </c>
      <c r="F4055" s="11" t="s">
        <v>8145</v>
      </c>
      <c r="G4055" s="4" t="s">
        <v>215</v>
      </c>
      <c r="H4055" s="4"/>
    </row>
    <row r="4056" s="1" customFormat="1" spans="1:8">
      <c r="A4056" s="4" t="s">
        <v>205</v>
      </c>
      <c r="B4056" s="4" t="s">
        <v>88</v>
      </c>
      <c r="C4056" s="4" t="s">
        <v>89</v>
      </c>
      <c r="D4056" s="11" t="s">
        <v>8146</v>
      </c>
      <c r="E4056" s="4">
        <v>4312807</v>
      </c>
      <c r="F4056" s="11" t="s">
        <v>8147</v>
      </c>
      <c r="G4056" s="4" t="s">
        <v>215</v>
      </c>
      <c r="H4056" s="4"/>
    </row>
    <row r="4057" s="1" customFormat="1" spans="1:8">
      <c r="A4057" s="4" t="s">
        <v>205</v>
      </c>
      <c r="B4057" s="4" t="s">
        <v>88</v>
      </c>
      <c r="C4057" s="4" t="s">
        <v>89</v>
      </c>
      <c r="D4057" s="11" t="s">
        <v>8148</v>
      </c>
      <c r="E4057" s="4">
        <v>4312906</v>
      </c>
      <c r="F4057" s="11" t="s">
        <v>8149</v>
      </c>
      <c r="G4057" s="4" t="s">
        <v>215</v>
      </c>
      <c r="H4057" s="4"/>
    </row>
    <row r="4058" s="1" customFormat="1" spans="1:8">
      <c r="A4058" s="4" t="s">
        <v>205</v>
      </c>
      <c r="B4058" s="4" t="s">
        <v>88</v>
      </c>
      <c r="C4058" s="4" t="s">
        <v>89</v>
      </c>
      <c r="D4058" s="11" t="s">
        <v>8150</v>
      </c>
      <c r="E4058" s="4">
        <v>4313003</v>
      </c>
      <c r="F4058" s="11" t="s">
        <v>8151</v>
      </c>
      <c r="G4058" s="4" t="s">
        <v>215</v>
      </c>
      <c r="H4058" s="4"/>
    </row>
    <row r="4059" s="1" customFormat="1" spans="1:8">
      <c r="A4059" s="4" t="s">
        <v>205</v>
      </c>
      <c r="B4059" s="4" t="s">
        <v>88</v>
      </c>
      <c r="C4059" s="4" t="s">
        <v>89</v>
      </c>
      <c r="D4059" s="11" t="s">
        <v>8152</v>
      </c>
      <c r="E4059" s="4">
        <v>4313060</v>
      </c>
      <c r="F4059" s="11" t="s">
        <v>8153</v>
      </c>
      <c r="G4059" s="4" t="s">
        <v>215</v>
      </c>
      <c r="H4059" s="4"/>
    </row>
    <row r="4060" s="1" customFormat="1" spans="1:8">
      <c r="A4060" s="4" t="s">
        <v>205</v>
      </c>
      <c r="B4060" s="4" t="s">
        <v>88</v>
      </c>
      <c r="C4060" s="4" t="s">
        <v>89</v>
      </c>
      <c r="D4060" s="11" t="s">
        <v>8154</v>
      </c>
      <c r="E4060" s="4">
        <v>4313201</v>
      </c>
      <c r="F4060" s="11" t="s">
        <v>8155</v>
      </c>
      <c r="G4060" s="4" t="s">
        <v>215</v>
      </c>
      <c r="H4060" s="4"/>
    </row>
    <row r="4061" s="1" customFormat="1" spans="1:8">
      <c r="A4061" s="4" t="s">
        <v>205</v>
      </c>
      <c r="B4061" s="4" t="s">
        <v>88</v>
      </c>
      <c r="C4061" s="4" t="s">
        <v>89</v>
      </c>
      <c r="D4061" s="11" t="s">
        <v>8156</v>
      </c>
      <c r="E4061" s="4">
        <v>4313300</v>
      </c>
      <c r="F4061" s="11" t="s">
        <v>8157</v>
      </c>
      <c r="G4061" s="4" t="s">
        <v>215</v>
      </c>
      <c r="H4061" s="4"/>
    </row>
    <row r="4062" s="1" customFormat="1" spans="1:8">
      <c r="A4062" s="4" t="s">
        <v>205</v>
      </c>
      <c r="B4062" s="4" t="s">
        <v>88</v>
      </c>
      <c r="C4062" s="4" t="s">
        <v>89</v>
      </c>
      <c r="D4062" s="11" t="s">
        <v>8158</v>
      </c>
      <c r="E4062" s="4">
        <v>4313086</v>
      </c>
      <c r="F4062" s="11" t="s">
        <v>8159</v>
      </c>
      <c r="G4062" s="4" t="s">
        <v>215</v>
      </c>
      <c r="H4062" s="4"/>
    </row>
    <row r="4063" s="1" customFormat="1" spans="1:8">
      <c r="A4063" s="4" t="s">
        <v>205</v>
      </c>
      <c r="B4063" s="4" t="s">
        <v>88</v>
      </c>
      <c r="C4063" s="4" t="s">
        <v>89</v>
      </c>
      <c r="D4063" s="11" t="s">
        <v>8160</v>
      </c>
      <c r="E4063" s="4">
        <v>4313359</v>
      </c>
      <c r="F4063" s="11" t="s">
        <v>8161</v>
      </c>
      <c r="G4063" s="4" t="s">
        <v>215</v>
      </c>
      <c r="H4063" s="4"/>
    </row>
    <row r="4064" s="1" customFormat="1" spans="1:8">
      <c r="A4064" s="4" t="s">
        <v>205</v>
      </c>
      <c r="B4064" s="4" t="s">
        <v>88</v>
      </c>
      <c r="C4064" s="4" t="s">
        <v>89</v>
      </c>
      <c r="D4064" s="11" t="s">
        <v>8162</v>
      </c>
      <c r="E4064" s="4">
        <v>4313391</v>
      </c>
      <c r="F4064" s="11" t="s">
        <v>8163</v>
      </c>
      <c r="G4064" s="4" t="s">
        <v>215</v>
      </c>
      <c r="H4064" s="4"/>
    </row>
    <row r="4065" s="1" customFormat="1" spans="1:8">
      <c r="A4065" s="4" t="s">
        <v>205</v>
      </c>
      <c r="B4065" s="4" t="s">
        <v>88</v>
      </c>
      <c r="C4065" s="4" t="s">
        <v>89</v>
      </c>
      <c r="D4065" s="11" t="s">
        <v>8164</v>
      </c>
      <c r="E4065" s="4">
        <v>4313409</v>
      </c>
      <c r="F4065" s="11" t="s">
        <v>8165</v>
      </c>
      <c r="G4065" s="4" t="s">
        <v>215</v>
      </c>
      <c r="H4065" s="4"/>
    </row>
    <row r="4066" s="1" customFormat="1" spans="1:8">
      <c r="A4066" s="4" t="s">
        <v>205</v>
      </c>
      <c r="B4066" s="4" t="s">
        <v>88</v>
      </c>
      <c r="C4066" s="4" t="s">
        <v>89</v>
      </c>
      <c r="D4066" s="11" t="s">
        <v>8166</v>
      </c>
      <c r="E4066" s="4">
        <v>4313508</v>
      </c>
      <c r="F4066" s="11" t="s">
        <v>8167</v>
      </c>
      <c r="G4066" s="4" t="s">
        <v>215</v>
      </c>
      <c r="H4066" s="4"/>
    </row>
    <row r="4067" s="1" customFormat="1" spans="1:8">
      <c r="A4067" s="4" t="s">
        <v>205</v>
      </c>
      <c r="B4067" s="4" t="s">
        <v>88</v>
      </c>
      <c r="C4067" s="4" t="s">
        <v>89</v>
      </c>
      <c r="D4067" s="11" t="s">
        <v>8168</v>
      </c>
      <c r="E4067" s="4">
        <v>4313656</v>
      </c>
      <c r="F4067" s="11" t="s">
        <v>8169</v>
      </c>
      <c r="G4067" s="4" t="s">
        <v>215</v>
      </c>
      <c r="H4067" s="4"/>
    </row>
    <row r="4068" s="1" customFormat="1" spans="1:8">
      <c r="A4068" s="4" t="s">
        <v>205</v>
      </c>
      <c r="B4068" s="4" t="s">
        <v>88</v>
      </c>
      <c r="C4068" s="4" t="s">
        <v>89</v>
      </c>
      <c r="D4068" s="11" t="s">
        <v>8170</v>
      </c>
      <c r="E4068" s="4">
        <v>4313953</v>
      </c>
      <c r="F4068" s="11" t="s">
        <v>8171</v>
      </c>
      <c r="G4068" s="4" t="s">
        <v>215</v>
      </c>
      <c r="H4068" s="4"/>
    </row>
    <row r="4069" s="1" customFormat="1" spans="1:8">
      <c r="A4069" s="4" t="s">
        <v>205</v>
      </c>
      <c r="B4069" s="4" t="s">
        <v>88</v>
      </c>
      <c r="C4069" s="4" t="s">
        <v>89</v>
      </c>
      <c r="D4069" s="11" t="s">
        <v>8172</v>
      </c>
      <c r="E4069" s="4">
        <v>4314001</v>
      </c>
      <c r="F4069" s="11" t="s">
        <v>8173</v>
      </c>
      <c r="G4069" s="4" t="s">
        <v>215</v>
      </c>
      <c r="H4069" s="4"/>
    </row>
    <row r="4070" s="1" customFormat="1" spans="1:8">
      <c r="A4070" s="4" t="s">
        <v>205</v>
      </c>
      <c r="B4070" s="4" t="s">
        <v>88</v>
      </c>
      <c r="C4070" s="4" t="s">
        <v>89</v>
      </c>
      <c r="D4070" s="11" t="s">
        <v>8174</v>
      </c>
      <c r="E4070" s="4">
        <v>4314027</v>
      </c>
      <c r="F4070" s="11" t="s">
        <v>8175</v>
      </c>
      <c r="G4070" s="4" t="s">
        <v>215</v>
      </c>
      <c r="H4070" s="4"/>
    </row>
    <row r="4071" s="1" customFormat="1" spans="1:8">
      <c r="A4071" s="4" t="s">
        <v>205</v>
      </c>
      <c r="B4071" s="4" t="s">
        <v>88</v>
      </c>
      <c r="C4071" s="4" t="s">
        <v>89</v>
      </c>
      <c r="D4071" s="11" t="s">
        <v>8176</v>
      </c>
      <c r="E4071" s="4">
        <v>4314035</v>
      </c>
      <c r="F4071" s="11" t="s">
        <v>8177</v>
      </c>
      <c r="G4071" s="4" t="s">
        <v>215</v>
      </c>
      <c r="H4071" s="4"/>
    </row>
    <row r="4072" s="1" customFormat="1" spans="1:8">
      <c r="A4072" s="4" t="s">
        <v>205</v>
      </c>
      <c r="B4072" s="4" t="s">
        <v>88</v>
      </c>
      <c r="C4072" s="4" t="s">
        <v>89</v>
      </c>
      <c r="D4072" s="11" t="s">
        <v>8178</v>
      </c>
      <c r="E4072" s="4">
        <v>4314050</v>
      </c>
      <c r="F4072" s="11" t="s">
        <v>8179</v>
      </c>
      <c r="G4072" s="4" t="s">
        <v>215</v>
      </c>
      <c r="H4072" s="4"/>
    </row>
    <row r="4073" s="1" customFormat="1" spans="1:8">
      <c r="A4073" s="4" t="s">
        <v>205</v>
      </c>
      <c r="B4073" s="4" t="s">
        <v>88</v>
      </c>
      <c r="C4073" s="4" t="s">
        <v>89</v>
      </c>
      <c r="D4073" s="11" t="s">
        <v>8180</v>
      </c>
      <c r="E4073" s="4">
        <v>4314068</v>
      </c>
      <c r="F4073" s="11" t="s">
        <v>8181</v>
      </c>
      <c r="G4073" s="4" t="s">
        <v>215</v>
      </c>
      <c r="H4073" s="4"/>
    </row>
    <row r="4074" s="1" customFormat="1" spans="1:8">
      <c r="A4074" s="4" t="s">
        <v>205</v>
      </c>
      <c r="B4074" s="4" t="s">
        <v>88</v>
      </c>
      <c r="C4074" s="4" t="s">
        <v>89</v>
      </c>
      <c r="D4074" s="11" t="s">
        <v>8182</v>
      </c>
      <c r="E4074" s="4">
        <v>4314076</v>
      </c>
      <c r="F4074" s="11" t="s">
        <v>8183</v>
      </c>
      <c r="G4074" s="4" t="s">
        <v>215</v>
      </c>
      <c r="H4074" s="4"/>
    </row>
    <row r="4075" s="1" customFormat="1" spans="1:8">
      <c r="A4075" s="4" t="s">
        <v>205</v>
      </c>
      <c r="B4075" s="4" t="s">
        <v>88</v>
      </c>
      <c r="C4075" s="4" t="s">
        <v>89</v>
      </c>
      <c r="D4075" s="11" t="s">
        <v>8184</v>
      </c>
      <c r="E4075" s="4">
        <v>4314159</v>
      </c>
      <c r="F4075" s="11" t="s">
        <v>8185</v>
      </c>
      <c r="G4075" s="4" t="s">
        <v>215</v>
      </c>
      <c r="H4075" s="4"/>
    </row>
    <row r="4076" s="1" customFormat="1" spans="1:8">
      <c r="A4076" s="4" t="s">
        <v>205</v>
      </c>
      <c r="B4076" s="4" t="s">
        <v>88</v>
      </c>
      <c r="C4076" s="4" t="s">
        <v>89</v>
      </c>
      <c r="D4076" s="11" t="s">
        <v>8186</v>
      </c>
      <c r="E4076" s="4">
        <v>4314423</v>
      </c>
      <c r="F4076" s="11" t="s">
        <v>8187</v>
      </c>
      <c r="G4076" s="4" t="s">
        <v>215</v>
      </c>
      <c r="H4076" s="4"/>
    </row>
    <row r="4077" s="1" customFormat="1" spans="1:8">
      <c r="A4077" s="4" t="s">
        <v>205</v>
      </c>
      <c r="B4077" s="4" t="s">
        <v>88</v>
      </c>
      <c r="C4077" s="4" t="s">
        <v>89</v>
      </c>
      <c r="D4077" s="11" t="s">
        <v>8188</v>
      </c>
      <c r="E4077" s="4">
        <v>4314548</v>
      </c>
      <c r="F4077" s="11" t="s">
        <v>8189</v>
      </c>
      <c r="G4077" s="4" t="s">
        <v>215</v>
      </c>
      <c r="H4077" s="4"/>
    </row>
    <row r="4078" s="1" customFormat="1" spans="1:8">
      <c r="A4078" s="4" t="s">
        <v>205</v>
      </c>
      <c r="B4078" s="4" t="s">
        <v>88</v>
      </c>
      <c r="C4078" s="4" t="s">
        <v>89</v>
      </c>
      <c r="D4078" s="11" t="s">
        <v>8190</v>
      </c>
      <c r="E4078" s="4">
        <v>4314803</v>
      </c>
      <c r="F4078" s="11" t="s">
        <v>8191</v>
      </c>
      <c r="G4078" s="4" t="s">
        <v>215</v>
      </c>
      <c r="H4078" s="4"/>
    </row>
    <row r="4079" s="1" customFormat="1" spans="1:8">
      <c r="A4079" s="4" t="s">
        <v>205</v>
      </c>
      <c r="B4079" s="4" t="s">
        <v>88</v>
      </c>
      <c r="C4079" s="4" t="s">
        <v>89</v>
      </c>
      <c r="D4079" s="11" t="s">
        <v>8192</v>
      </c>
      <c r="E4079" s="4">
        <v>4315131</v>
      </c>
      <c r="F4079" s="11" t="s">
        <v>8193</v>
      </c>
      <c r="G4079" s="4" t="s">
        <v>215</v>
      </c>
      <c r="H4079" s="4"/>
    </row>
    <row r="4080" s="1" customFormat="1" spans="1:8">
      <c r="A4080" s="4" t="s">
        <v>205</v>
      </c>
      <c r="B4080" s="4" t="s">
        <v>88</v>
      </c>
      <c r="C4080" s="4" t="s">
        <v>89</v>
      </c>
      <c r="D4080" s="11" t="s">
        <v>8194</v>
      </c>
      <c r="E4080" s="4">
        <v>4314753</v>
      </c>
      <c r="F4080" s="11" t="s">
        <v>8195</v>
      </c>
      <c r="G4080" s="4" t="s">
        <v>215</v>
      </c>
      <c r="H4080" s="4"/>
    </row>
    <row r="4081" s="1" customFormat="1" spans="1:8">
      <c r="A4081" s="4" t="s">
        <v>205</v>
      </c>
      <c r="B4081" s="4" t="s">
        <v>88</v>
      </c>
      <c r="C4081" s="4" t="s">
        <v>89</v>
      </c>
      <c r="D4081" s="11" t="s">
        <v>8196</v>
      </c>
      <c r="E4081" s="4">
        <v>4315149</v>
      </c>
      <c r="F4081" s="11" t="s">
        <v>8197</v>
      </c>
      <c r="G4081" s="4" t="s">
        <v>215</v>
      </c>
      <c r="H4081" s="4"/>
    </row>
    <row r="4082" s="1" customFormat="1" spans="1:8">
      <c r="A4082" s="4" t="s">
        <v>205</v>
      </c>
      <c r="B4082" s="4" t="s">
        <v>88</v>
      </c>
      <c r="C4082" s="4" t="s">
        <v>89</v>
      </c>
      <c r="D4082" s="11" t="s">
        <v>8198</v>
      </c>
      <c r="E4082" s="4">
        <v>4315156</v>
      </c>
      <c r="F4082" s="11" t="s">
        <v>8199</v>
      </c>
      <c r="G4082" s="4" t="s">
        <v>215</v>
      </c>
      <c r="H4082" s="4"/>
    </row>
    <row r="4083" s="1" customFormat="1" spans="1:8">
      <c r="A4083" s="4" t="s">
        <v>205</v>
      </c>
      <c r="B4083" s="4" t="s">
        <v>88</v>
      </c>
      <c r="C4083" s="4" t="s">
        <v>89</v>
      </c>
      <c r="D4083" s="11" t="s">
        <v>8200</v>
      </c>
      <c r="E4083" s="4">
        <v>4315172</v>
      </c>
      <c r="F4083" s="11" t="s">
        <v>8201</v>
      </c>
      <c r="G4083" s="4" t="s">
        <v>215</v>
      </c>
      <c r="H4083" s="4"/>
    </row>
    <row r="4084" s="1" customFormat="1" spans="1:8">
      <c r="A4084" s="4" t="s">
        <v>205</v>
      </c>
      <c r="B4084" s="4" t="s">
        <v>88</v>
      </c>
      <c r="C4084" s="4" t="s">
        <v>89</v>
      </c>
      <c r="D4084" s="11" t="s">
        <v>8202</v>
      </c>
      <c r="E4084" s="4">
        <v>4315206</v>
      </c>
      <c r="F4084" s="11" t="s">
        <v>8203</v>
      </c>
      <c r="G4084" s="4" t="s">
        <v>215</v>
      </c>
      <c r="H4084" s="4"/>
    </row>
    <row r="4085" s="1" customFormat="1" spans="1:8">
      <c r="A4085" s="4" t="s">
        <v>205</v>
      </c>
      <c r="B4085" s="4" t="s">
        <v>88</v>
      </c>
      <c r="C4085" s="4" t="s">
        <v>89</v>
      </c>
      <c r="D4085" s="11" t="s">
        <v>8204</v>
      </c>
      <c r="E4085" s="4">
        <v>4315453</v>
      </c>
      <c r="F4085" s="11" t="s">
        <v>8205</v>
      </c>
      <c r="G4085" s="4" t="s">
        <v>215</v>
      </c>
      <c r="H4085" s="4"/>
    </row>
    <row r="4086" s="1" customFormat="1" spans="1:8">
      <c r="A4086" s="4" t="s">
        <v>205</v>
      </c>
      <c r="B4086" s="4" t="s">
        <v>88</v>
      </c>
      <c r="C4086" s="4" t="s">
        <v>89</v>
      </c>
      <c r="D4086" s="11" t="s">
        <v>8206</v>
      </c>
      <c r="E4086" s="4">
        <v>4315701</v>
      </c>
      <c r="F4086" s="11" t="s">
        <v>8207</v>
      </c>
      <c r="G4086" s="4" t="s">
        <v>215</v>
      </c>
      <c r="H4086" s="4"/>
    </row>
    <row r="4087" s="1" customFormat="1" spans="1:8">
      <c r="A4087" s="4" t="s">
        <v>205</v>
      </c>
      <c r="B4087" s="4" t="s">
        <v>88</v>
      </c>
      <c r="C4087" s="4" t="s">
        <v>89</v>
      </c>
      <c r="D4087" s="11" t="s">
        <v>8208</v>
      </c>
      <c r="E4087" s="4">
        <v>4315750</v>
      </c>
      <c r="F4087" s="11" t="s">
        <v>8209</v>
      </c>
      <c r="G4087" s="4" t="s">
        <v>215</v>
      </c>
      <c r="H4087" s="4"/>
    </row>
    <row r="4088" s="1" customFormat="1" spans="1:8">
      <c r="A4088" s="4" t="s">
        <v>205</v>
      </c>
      <c r="B4088" s="4" t="s">
        <v>88</v>
      </c>
      <c r="C4088" s="4" t="s">
        <v>89</v>
      </c>
      <c r="D4088" s="11" t="s">
        <v>8210</v>
      </c>
      <c r="E4088" s="4">
        <v>4315800</v>
      </c>
      <c r="F4088" s="11" t="s">
        <v>8211</v>
      </c>
      <c r="G4088" s="4" t="s">
        <v>215</v>
      </c>
      <c r="H4088" s="4"/>
    </row>
    <row r="4089" s="1" customFormat="1" spans="1:8">
      <c r="A4089" s="4" t="s">
        <v>205</v>
      </c>
      <c r="B4089" s="4" t="s">
        <v>88</v>
      </c>
      <c r="C4089" s="4" t="s">
        <v>89</v>
      </c>
      <c r="D4089" s="11" t="s">
        <v>8212</v>
      </c>
      <c r="E4089" s="4">
        <v>4316006</v>
      </c>
      <c r="F4089" s="11" t="s">
        <v>8213</v>
      </c>
      <c r="G4089" s="4" t="s">
        <v>215</v>
      </c>
      <c r="H4089" s="4"/>
    </row>
    <row r="4090" s="1" customFormat="1" spans="1:8">
      <c r="A4090" s="4" t="s">
        <v>205</v>
      </c>
      <c r="B4090" s="4" t="s">
        <v>88</v>
      </c>
      <c r="C4090" s="4" t="s">
        <v>89</v>
      </c>
      <c r="D4090" s="11" t="s">
        <v>8214</v>
      </c>
      <c r="E4090" s="4">
        <v>4316501</v>
      </c>
      <c r="F4090" s="11" t="s">
        <v>8215</v>
      </c>
      <c r="G4090" s="4" t="s">
        <v>215</v>
      </c>
      <c r="H4090" s="4"/>
    </row>
    <row r="4091" s="1" customFormat="1" spans="1:8">
      <c r="A4091" s="4" t="s">
        <v>205</v>
      </c>
      <c r="B4091" s="4" t="s">
        <v>88</v>
      </c>
      <c r="C4091" s="4" t="s">
        <v>89</v>
      </c>
      <c r="D4091" s="11" t="s">
        <v>8216</v>
      </c>
      <c r="E4091" s="4">
        <v>4316758</v>
      </c>
      <c r="F4091" s="11" t="s">
        <v>8217</v>
      </c>
      <c r="G4091" s="4" t="s">
        <v>215</v>
      </c>
      <c r="H4091" s="4"/>
    </row>
    <row r="4092" s="1" customFormat="1" spans="1:8">
      <c r="A4092" s="4" t="s">
        <v>205</v>
      </c>
      <c r="B4092" s="4" t="s">
        <v>88</v>
      </c>
      <c r="C4092" s="4" t="s">
        <v>89</v>
      </c>
      <c r="D4092" s="11" t="s">
        <v>8218</v>
      </c>
      <c r="E4092" s="4">
        <v>4316808</v>
      </c>
      <c r="F4092" s="11" t="s">
        <v>8219</v>
      </c>
      <c r="G4092" s="4" t="s">
        <v>215</v>
      </c>
      <c r="H4092" s="4"/>
    </row>
    <row r="4093" s="1" customFormat="1" spans="1:8">
      <c r="A4093" s="4" t="s">
        <v>205</v>
      </c>
      <c r="B4093" s="4" t="s">
        <v>88</v>
      </c>
      <c r="C4093" s="4" t="s">
        <v>89</v>
      </c>
      <c r="D4093" s="11" t="s">
        <v>8220</v>
      </c>
      <c r="E4093" s="4">
        <v>4316956</v>
      </c>
      <c r="F4093" s="11" t="s">
        <v>8221</v>
      </c>
      <c r="G4093" s="4" t="s">
        <v>215</v>
      </c>
      <c r="H4093" s="4"/>
    </row>
    <row r="4094" s="1" customFormat="1" spans="1:8">
      <c r="A4094" s="4" t="s">
        <v>205</v>
      </c>
      <c r="B4094" s="4" t="s">
        <v>88</v>
      </c>
      <c r="C4094" s="4" t="s">
        <v>89</v>
      </c>
      <c r="D4094" s="11" t="s">
        <v>8222</v>
      </c>
      <c r="E4094" s="4">
        <v>4317251</v>
      </c>
      <c r="F4094" s="11" t="s">
        <v>8223</v>
      </c>
      <c r="G4094" s="4" t="s">
        <v>215</v>
      </c>
      <c r="H4094" s="4"/>
    </row>
    <row r="4095" s="1" customFormat="1" spans="1:8">
      <c r="A4095" s="4" t="s">
        <v>205</v>
      </c>
      <c r="B4095" s="4" t="s">
        <v>88</v>
      </c>
      <c r="C4095" s="4" t="s">
        <v>89</v>
      </c>
      <c r="D4095" s="11" t="s">
        <v>8224</v>
      </c>
      <c r="E4095" s="4">
        <v>4317608</v>
      </c>
      <c r="F4095" s="11" t="s">
        <v>8225</v>
      </c>
      <c r="G4095" s="4" t="s">
        <v>215</v>
      </c>
      <c r="H4095" s="4"/>
    </row>
    <row r="4096" s="1" customFormat="1" spans="1:8">
      <c r="A4096" s="4" t="s">
        <v>205</v>
      </c>
      <c r="B4096" s="4" t="s">
        <v>88</v>
      </c>
      <c r="C4096" s="4" t="s">
        <v>89</v>
      </c>
      <c r="D4096" s="11" t="s">
        <v>8226</v>
      </c>
      <c r="E4096" s="4">
        <v>4319901</v>
      </c>
      <c r="F4096" s="11" t="s">
        <v>8227</v>
      </c>
      <c r="G4096" s="4" t="s">
        <v>215</v>
      </c>
      <c r="H4096" s="4"/>
    </row>
    <row r="4097" s="1" customFormat="1" spans="1:8">
      <c r="A4097" s="4" t="s">
        <v>205</v>
      </c>
      <c r="B4097" s="4" t="s">
        <v>88</v>
      </c>
      <c r="C4097" s="4" t="s">
        <v>89</v>
      </c>
      <c r="D4097" s="11" t="s">
        <v>6921</v>
      </c>
      <c r="E4097" s="4">
        <v>4320107</v>
      </c>
      <c r="F4097" s="11" t="s">
        <v>8228</v>
      </c>
      <c r="G4097" s="4" t="s">
        <v>215</v>
      </c>
      <c r="H4097" s="4"/>
    </row>
    <row r="4098" s="1" customFormat="1" spans="1:8">
      <c r="A4098" s="4" t="s">
        <v>205</v>
      </c>
      <c r="B4098" s="4" t="s">
        <v>88</v>
      </c>
      <c r="C4098" s="4" t="s">
        <v>89</v>
      </c>
      <c r="D4098" s="11" t="s">
        <v>8229</v>
      </c>
      <c r="E4098" s="4">
        <v>4320206</v>
      </c>
      <c r="F4098" s="11" t="s">
        <v>8230</v>
      </c>
      <c r="G4098" s="4" t="s">
        <v>215</v>
      </c>
      <c r="H4098" s="4"/>
    </row>
    <row r="4099" s="1" customFormat="1" spans="1:8">
      <c r="A4099" s="4" t="s">
        <v>205</v>
      </c>
      <c r="B4099" s="4" t="s">
        <v>88</v>
      </c>
      <c r="C4099" s="4" t="s">
        <v>89</v>
      </c>
      <c r="D4099" s="11" t="s">
        <v>8231</v>
      </c>
      <c r="E4099" s="4">
        <v>4320354</v>
      </c>
      <c r="F4099" s="11" t="s">
        <v>8232</v>
      </c>
      <c r="G4099" s="4" t="s">
        <v>215</v>
      </c>
      <c r="H4099" s="4"/>
    </row>
    <row r="4100" s="1" customFormat="1" spans="1:8">
      <c r="A4100" s="4" t="s">
        <v>205</v>
      </c>
      <c r="B4100" s="4" t="s">
        <v>88</v>
      </c>
      <c r="C4100" s="4" t="s">
        <v>89</v>
      </c>
      <c r="D4100" s="11" t="s">
        <v>8233</v>
      </c>
      <c r="E4100" s="4">
        <v>4320404</v>
      </c>
      <c r="F4100" s="11" t="s">
        <v>8234</v>
      </c>
      <c r="G4100" s="4" t="s">
        <v>215</v>
      </c>
      <c r="H4100" s="4"/>
    </row>
    <row r="4101" s="1" customFormat="1" spans="1:8">
      <c r="A4101" s="4" t="s">
        <v>205</v>
      </c>
      <c r="B4101" s="4" t="s">
        <v>88</v>
      </c>
      <c r="C4101" s="4" t="s">
        <v>89</v>
      </c>
      <c r="D4101" s="11" t="s">
        <v>8235</v>
      </c>
      <c r="E4101" s="4">
        <v>4320552</v>
      </c>
      <c r="F4101" s="11" t="s">
        <v>8236</v>
      </c>
      <c r="G4101" s="4" t="s">
        <v>215</v>
      </c>
      <c r="H4101" s="4"/>
    </row>
    <row r="4102" s="1" customFormat="1" spans="1:8">
      <c r="A4102" s="4" t="s">
        <v>205</v>
      </c>
      <c r="B4102" s="4" t="s">
        <v>88</v>
      </c>
      <c r="C4102" s="4" t="s">
        <v>89</v>
      </c>
      <c r="D4102" s="11" t="s">
        <v>8237</v>
      </c>
      <c r="E4102" s="4">
        <v>4320677</v>
      </c>
      <c r="F4102" s="11" t="s">
        <v>8238</v>
      </c>
      <c r="G4102" s="4" t="s">
        <v>215</v>
      </c>
      <c r="H4102" s="4"/>
    </row>
    <row r="4103" s="1" customFormat="1" spans="1:8">
      <c r="A4103" s="4" t="s">
        <v>205</v>
      </c>
      <c r="B4103" s="4" t="s">
        <v>88</v>
      </c>
      <c r="C4103" s="4" t="s">
        <v>89</v>
      </c>
      <c r="D4103" s="11" t="s">
        <v>1241</v>
      </c>
      <c r="E4103" s="4">
        <v>4320701</v>
      </c>
      <c r="F4103" s="11" t="s">
        <v>8239</v>
      </c>
      <c r="G4103" s="4" t="s">
        <v>215</v>
      </c>
      <c r="H4103" s="4"/>
    </row>
    <row r="4104" s="1" customFormat="1" spans="1:8">
      <c r="A4104" s="4" t="s">
        <v>205</v>
      </c>
      <c r="B4104" s="4" t="s">
        <v>88</v>
      </c>
      <c r="C4104" s="4" t="s">
        <v>89</v>
      </c>
      <c r="D4104" s="11" t="s">
        <v>5580</v>
      </c>
      <c r="E4104" s="4">
        <v>4320800</v>
      </c>
      <c r="F4104" s="11" t="s">
        <v>8240</v>
      </c>
      <c r="G4104" s="4" t="s">
        <v>215</v>
      </c>
      <c r="H4104" s="4"/>
    </row>
    <row r="4105" s="1" customFormat="1" spans="1:8">
      <c r="A4105" s="4" t="s">
        <v>205</v>
      </c>
      <c r="B4105" s="4" t="s">
        <v>88</v>
      </c>
      <c r="C4105" s="4" t="s">
        <v>89</v>
      </c>
      <c r="D4105" s="11" t="s">
        <v>8241</v>
      </c>
      <c r="E4105" s="4">
        <v>4318051</v>
      </c>
      <c r="F4105" s="11" t="s">
        <v>8242</v>
      </c>
      <c r="G4105" s="4" t="s">
        <v>215</v>
      </c>
      <c r="H4105" s="4"/>
    </row>
    <row r="4106" s="1" customFormat="1" spans="1:8">
      <c r="A4106" s="4" t="s">
        <v>205</v>
      </c>
      <c r="B4106" s="4" t="s">
        <v>88</v>
      </c>
      <c r="C4106" s="4" t="s">
        <v>89</v>
      </c>
      <c r="D4106" s="11" t="s">
        <v>3520</v>
      </c>
      <c r="E4106" s="4">
        <v>4318200</v>
      </c>
      <c r="F4106" s="11" t="s">
        <v>8243</v>
      </c>
      <c r="G4106" s="4" t="s">
        <v>215</v>
      </c>
      <c r="H4106" s="4"/>
    </row>
    <row r="4107" s="1" customFormat="1" spans="1:8">
      <c r="A4107" s="4" t="s">
        <v>205</v>
      </c>
      <c r="B4107" s="4" t="s">
        <v>88</v>
      </c>
      <c r="C4107" s="4" t="s">
        <v>89</v>
      </c>
      <c r="D4107" s="11" t="s">
        <v>8244</v>
      </c>
      <c r="E4107" s="4">
        <v>4318408</v>
      </c>
      <c r="F4107" s="11" t="s">
        <v>8245</v>
      </c>
      <c r="G4107" s="4" t="s">
        <v>215</v>
      </c>
      <c r="H4107" s="4"/>
    </row>
    <row r="4108" s="1" customFormat="1" spans="1:8">
      <c r="A4108" s="4" t="s">
        <v>205</v>
      </c>
      <c r="B4108" s="4" t="s">
        <v>88</v>
      </c>
      <c r="C4108" s="4" t="s">
        <v>89</v>
      </c>
      <c r="D4108" s="11" t="s">
        <v>8246</v>
      </c>
      <c r="E4108" s="4">
        <v>4318440</v>
      </c>
      <c r="F4108" s="11" t="s">
        <v>8247</v>
      </c>
      <c r="G4108" s="4" t="s">
        <v>215</v>
      </c>
      <c r="H4108" s="4"/>
    </row>
    <row r="4109" s="1" customFormat="1" spans="1:8">
      <c r="A4109" s="4" t="s">
        <v>205</v>
      </c>
      <c r="B4109" s="4" t="s">
        <v>88</v>
      </c>
      <c r="C4109" s="4" t="s">
        <v>89</v>
      </c>
      <c r="D4109" s="11" t="s">
        <v>8248</v>
      </c>
      <c r="E4109" s="4">
        <v>4318465</v>
      </c>
      <c r="F4109" s="11" t="s">
        <v>8249</v>
      </c>
      <c r="G4109" s="4" t="s">
        <v>215</v>
      </c>
      <c r="H4109" s="4"/>
    </row>
    <row r="4110" s="1" customFormat="1" spans="1:8">
      <c r="A4110" s="4" t="s">
        <v>205</v>
      </c>
      <c r="B4110" s="4" t="s">
        <v>88</v>
      </c>
      <c r="C4110" s="4" t="s">
        <v>89</v>
      </c>
      <c r="D4110" s="11" t="s">
        <v>8250</v>
      </c>
      <c r="E4110" s="4">
        <v>4318481</v>
      </c>
      <c r="F4110" s="11" t="s">
        <v>8251</v>
      </c>
      <c r="G4110" s="4" t="s">
        <v>215</v>
      </c>
      <c r="H4110" s="4"/>
    </row>
    <row r="4111" s="1" customFormat="1" spans="1:8">
      <c r="A4111" s="4" t="s">
        <v>205</v>
      </c>
      <c r="B4111" s="4" t="s">
        <v>88</v>
      </c>
      <c r="C4111" s="4" t="s">
        <v>89</v>
      </c>
      <c r="D4111" s="11" t="s">
        <v>8252</v>
      </c>
      <c r="E4111" s="4">
        <v>4318614</v>
      </c>
      <c r="F4111" s="11" t="s">
        <v>8253</v>
      </c>
      <c r="G4111" s="4" t="s">
        <v>215</v>
      </c>
      <c r="H4111" s="4"/>
    </row>
    <row r="4112" s="1" customFormat="1" spans="1:8">
      <c r="A4112" s="4" t="s">
        <v>205</v>
      </c>
      <c r="B4112" s="4" t="s">
        <v>88</v>
      </c>
      <c r="C4112" s="4" t="s">
        <v>89</v>
      </c>
      <c r="D4112" s="11" t="s">
        <v>8254</v>
      </c>
      <c r="E4112" s="4">
        <v>4318804</v>
      </c>
      <c r="F4112" s="11" t="s">
        <v>8255</v>
      </c>
      <c r="G4112" s="4" t="s">
        <v>215</v>
      </c>
      <c r="H4112" s="4"/>
    </row>
    <row r="4113" s="1" customFormat="1" spans="1:8">
      <c r="A4113" s="4" t="s">
        <v>205</v>
      </c>
      <c r="B4113" s="4" t="s">
        <v>88</v>
      </c>
      <c r="C4113" s="4" t="s">
        <v>89</v>
      </c>
      <c r="D4113" s="11" t="s">
        <v>8256</v>
      </c>
      <c r="E4113" s="4">
        <v>4319000</v>
      </c>
      <c r="F4113" s="11" t="s">
        <v>8257</v>
      </c>
      <c r="G4113" s="4" t="s">
        <v>215</v>
      </c>
      <c r="H4113" s="4"/>
    </row>
    <row r="4114" s="1" customFormat="1" spans="1:8">
      <c r="A4114" s="4" t="s">
        <v>205</v>
      </c>
      <c r="B4114" s="4" t="s">
        <v>88</v>
      </c>
      <c r="C4114" s="4" t="s">
        <v>89</v>
      </c>
      <c r="D4114" s="11" t="s">
        <v>8258</v>
      </c>
      <c r="E4114" s="4">
        <v>4319356</v>
      </c>
      <c r="F4114" s="11" t="s">
        <v>8259</v>
      </c>
      <c r="G4114" s="4" t="s">
        <v>215</v>
      </c>
      <c r="H4114" s="4"/>
    </row>
    <row r="4115" s="1" customFormat="1" spans="1:8">
      <c r="A4115" s="4" t="s">
        <v>205</v>
      </c>
      <c r="B4115" s="4" t="s">
        <v>88</v>
      </c>
      <c r="C4115" s="4" t="s">
        <v>89</v>
      </c>
      <c r="D4115" s="11" t="s">
        <v>8260</v>
      </c>
      <c r="E4115" s="4">
        <v>4319505</v>
      </c>
      <c r="F4115" s="11" t="s">
        <v>8261</v>
      </c>
      <c r="G4115" s="4" t="s">
        <v>215</v>
      </c>
      <c r="H4115" s="4"/>
    </row>
    <row r="4116" s="1" customFormat="1" spans="1:8">
      <c r="A4116" s="4" t="s">
        <v>205</v>
      </c>
      <c r="B4116" s="4" t="s">
        <v>88</v>
      </c>
      <c r="C4116" s="4" t="s">
        <v>89</v>
      </c>
      <c r="D4116" s="11" t="s">
        <v>8262</v>
      </c>
      <c r="E4116" s="4">
        <v>4319711</v>
      </c>
      <c r="F4116" s="11" t="s">
        <v>8263</v>
      </c>
      <c r="G4116" s="4" t="s">
        <v>215</v>
      </c>
      <c r="H4116" s="4"/>
    </row>
    <row r="4117" s="1" customFormat="1" spans="1:8">
      <c r="A4117" s="4" t="s">
        <v>205</v>
      </c>
      <c r="B4117" s="4" t="s">
        <v>88</v>
      </c>
      <c r="C4117" s="4" t="s">
        <v>89</v>
      </c>
      <c r="D4117" s="11" t="s">
        <v>8264</v>
      </c>
      <c r="E4117" s="4">
        <v>4319752</v>
      </c>
      <c r="F4117" s="11" t="s">
        <v>8265</v>
      </c>
      <c r="G4117" s="4" t="s">
        <v>215</v>
      </c>
      <c r="H4117" s="4"/>
    </row>
    <row r="4118" s="1" customFormat="1" spans="1:8">
      <c r="A4118" s="4" t="s">
        <v>205</v>
      </c>
      <c r="B4118" s="4" t="s">
        <v>88</v>
      </c>
      <c r="C4118" s="4" t="s">
        <v>89</v>
      </c>
      <c r="D4118" s="11" t="s">
        <v>8266</v>
      </c>
      <c r="E4118" s="4">
        <v>4320453</v>
      </c>
      <c r="F4118" s="11" t="s">
        <v>8267</v>
      </c>
      <c r="G4118" s="4" t="s">
        <v>215</v>
      </c>
      <c r="H4118" s="4"/>
    </row>
    <row r="4119" s="1" customFormat="1" spans="1:8">
      <c r="A4119" s="4" t="s">
        <v>205</v>
      </c>
      <c r="B4119" s="4" t="s">
        <v>88</v>
      </c>
      <c r="C4119" s="4" t="s">
        <v>89</v>
      </c>
      <c r="D4119" s="11" t="s">
        <v>8268</v>
      </c>
      <c r="E4119" s="4">
        <v>4320859</v>
      </c>
      <c r="F4119" s="11" t="s">
        <v>8269</v>
      </c>
      <c r="G4119" s="4" t="s">
        <v>215</v>
      </c>
      <c r="H4119" s="4"/>
    </row>
    <row r="4120" s="1" customFormat="1" spans="1:8">
      <c r="A4120" s="4" t="s">
        <v>205</v>
      </c>
      <c r="B4120" s="4" t="s">
        <v>88</v>
      </c>
      <c r="C4120" s="4" t="s">
        <v>89</v>
      </c>
      <c r="D4120" s="11" t="s">
        <v>8270</v>
      </c>
      <c r="E4120" s="4">
        <v>4321105</v>
      </c>
      <c r="F4120" s="11" t="s">
        <v>8271</v>
      </c>
      <c r="G4120" s="4" t="s">
        <v>215</v>
      </c>
      <c r="H4120" s="4"/>
    </row>
    <row r="4121" s="1" customFormat="1" spans="1:8">
      <c r="A4121" s="4" t="s">
        <v>205</v>
      </c>
      <c r="B4121" s="4" t="s">
        <v>88</v>
      </c>
      <c r="C4121" s="4" t="s">
        <v>89</v>
      </c>
      <c r="D4121" s="11" t="s">
        <v>8272</v>
      </c>
      <c r="E4121" s="4">
        <v>4321204</v>
      </c>
      <c r="F4121" s="11" t="s">
        <v>8273</v>
      </c>
      <c r="G4121" s="4" t="s">
        <v>215</v>
      </c>
      <c r="H4121" s="4"/>
    </row>
    <row r="4122" s="1" customFormat="1" spans="1:8">
      <c r="A4122" s="4" t="s">
        <v>205</v>
      </c>
      <c r="B4122" s="4" t="s">
        <v>88</v>
      </c>
      <c r="C4122" s="4" t="s">
        <v>89</v>
      </c>
      <c r="D4122" s="11" t="s">
        <v>8274</v>
      </c>
      <c r="E4122" s="4">
        <v>4321303</v>
      </c>
      <c r="F4122" s="11" t="s">
        <v>8275</v>
      </c>
      <c r="G4122" s="4" t="s">
        <v>215</v>
      </c>
      <c r="H4122" s="4"/>
    </row>
    <row r="4123" s="1" customFormat="1" spans="1:8">
      <c r="A4123" s="4" t="s">
        <v>205</v>
      </c>
      <c r="B4123" s="4" t="s">
        <v>88</v>
      </c>
      <c r="C4123" s="4" t="s">
        <v>89</v>
      </c>
      <c r="D4123" s="11" t="s">
        <v>5739</v>
      </c>
      <c r="E4123" s="4">
        <v>4321352</v>
      </c>
      <c r="F4123" s="11" t="s">
        <v>8276</v>
      </c>
      <c r="G4123" s="4" t="s">
        <v>215</v>
      </c>
      <c r="H4123" s="4"/>
    </row>
    <row r="4124" s="1" customFormat="1" spans="1:8">
      <c r="A4124" s="4" t="s">
        <v>205</v>
      </c>
      <c r="B4124" s="4" t="s">
        <v>88</v>
      </c>
      <c r="C4124" s="4" t="s">
        <v>89</v>
      </c>
      <c r="D4124" s="11" t="s">
        <v>8277</v>
      </c>
      <c r="E4124" s="4">
        <v>4321436</v>
      </c>
      <c r="F4124" s="11" t="s">
        <v>8278</v>
      </c>
      <c r="G4124" s="4" t="s">
        <v>215</v>
      </c>
      <c r="H4124" s="4"/>
    </row>
    <row r="4125" s="1" customFormat="1" spans="1:8">
      <c r="A4125" s="4" t="s">
        <v>205</v>
      </c>
      <c r="B4125" s="4" t="s">
        <v>88</v>
      </c>
      <c r="C4125" s="4" t="s">
        <v>89</v>
      </c>
      <c r="D4125" s="11" t="s">
        <v>8279</v>
      </c>
      <c r="E4125" s="4">
        <v>4321451</v>
      </c>
      <c r="F4125" s="11" t="s">
        <v>8280</v>
      </c>
      <c r="G4125" s="4" t="s">
        <v>215</v>
      </c>
      <c r="H4125" s="4"/>
    </row>
    <row r="4126" s="1" customFormat="1" spans="1:8">
      <c r="A4126" s="4" t="s">
        <v>205</v>
      </c>
      <c r="B4126" s="4" t="s">
        <v>88</v>
      </c>
      <c r="C4126" s="4" t="s">
        <v>89</v>
      </c>
      <c r="D4126" s="11" t="s">
        <v>8281</v>
      </c>
      <c r="E4126" s="4">
        <v>4321501</v>
      </c>
      <c r="F4126" s="11" t="s">
        <v>8282</v>
      </c>
      <c r="G4126" s="4" t="s">
        <v>215</v>
      </c>
      <c r="H4126" s="4"/>
    </row>
    <row r="4127" s="1" customFormat="1" spans="1:8">
      <c r="A4127" s="4" t="s">
        <v>205</v>
      </c>
      <c r="B4127" s="4" t="s">
        <v>88</v>
      </c>
      <c r="C4127" s="4" t="s">
        <v>89</v>
      </c>
      <c r="D4127" s="11" t="s">
        <v>8283</v>
      </c>
      <c r="E4127" s="4">
        <v>4321600</v>
      </c>
      <c r="F4127" s="11" t="s">
        <v>8284</v>
      </c>
      <c r="G4127" s="4" t="s">
        <v>215</v>
      </c>
      <c r="H4127" s="4"/>
    </row>
    <row r="4128" s="1" customFormat="1" spans="1:8">
      <c r="A4128" s="4" t="s">
        <v>205</v>
      </c>
      <c r="B4128" s="4" t="s">
        <v>88</v>
      </c>
      <c r="C4128" s="4" t="s">
        <v>89</v>
      </c>
      <c r="D4128" s="11" t="s">
        <v>8285</v>
      </c>
      <c r="E4128" s="4">
        <v>4321626</v>
      </c>
      <c r="F4128" s="11" t="s">
        <v>8286</v>
      </c>
      <c r="G4128" s="4" t="s">
        <v>215</v>
      </c>
      <c r="H4128" s="4"/>
    </row>
    <row r="4129" s="1" customFormat="1" spans="1:8">
      <c r="A4129" s="4" t="s">
        <v>205</v>
      </c>
      <c r="B4129" s="4" t="s">
        <v>88</v>
      </c>
      <c r="C4129" s="4" t="s">
        <v>89</v>
      </c>
      <c r="D4129" s="11" t="s">
        <v>5741</v>
      </c>
      <c r="E4129" s="4">
        <v>4322004</v>
      </c>
      <c r="F4129" s="11" t="s">
        <v>8287</v>
      </c>
      <c r="G4129" s="4" t="s">
        <v>215</v>
      </c>
      <c r="H4129" s="4"/>
    </row>
    <row r="4130" s="1" customFormat="1" spans="1:8">
      <c r="A4130" s="4" t="s">
        <v>205</v>
      </c>
      <c r="B4130" s="4" t="s">
        <v>88</v>
      </c>
      <c r="C4130" s="4" t="s">
        <v>89</v>
      </c>
      <c r="D4130" s="11" t="s">
        <v>8288</v>
      </c>
      <c r="E4130" s="4">
        <v>4321667</v>
      </c>
      <c r="F4130" s="11" t="s">
        <v>8289</v>
      </c>
      <c r="G4130" s="4" t="s">
        <v>215</v>
      </c>
      <c r="H4130" s="4"/>
    </row>
    <row r="4131" s="1" customFormat="1" spans="1:8">
      <c r="A4131" s="4" t="s">
        <v>205</v>
      </c>
      <c r="B4131" s="4" t="s">
        <v>88</v>
      </c>
      <c r="C4131" s="4" t="s">
        <v>89</v>
      </c>
      <c r="D4131" s="11" t="s">
        <v>8290</v>
      </c>
      <c r="E4131" s="4">
        <v>4321709</v>
      </c>
      <c r="F4131" s="11" t="s">
        <v>8291</v>
      </c>
      <c r="G4131" s="4" t="s">
        <v>215</v>
      </c>
      <c r="H4131" s="4"/>
    </row>
    <row r="4132" s="1" customFormat="1" spans="1:8">
      <c r="A4132" s="4" t="s">
        <v>205</v>
      </c>
      <c r="B4132" s="4" t="s">
        <v>88</v>
      </c>
      <c r="C4132" s="4" t="s">
        <v>89</v>
      </c>
      <c r="D4132" s="11" t="s">
        <v>8292</v>
      </c>
      <c r="E4132" s="4">
        <v>4321832</v>
      </c>
      <c r="F4132" s="11" t="s">
        <v>8293</v>
      </c>
      <c r="G4132" s="4" t="s">
        <v>215</v>
      </c>
      <c r="H4132" s="4"/>
    </row>
    <row r="4133" s="1" customFormat="1" spans="1:8">
      <c r="A4133" s="4" t="s">
        <v>205</v>
      </c>
      <c r="B4133" s="4" t="s">
        <v>88</v>
      </c>
      <c r="C4133" s="4" t="s">
        <v>89</v>
      </c>
      <c r="D4133" s="11" t="s">
        <v>8294</v>
      </c>
      <c r="E4133" s="4">
        <v>4322251</v>
      </c>
      <c r="F4133" s="11" t="s">
        <v>8295</v>
      </c>
      <c r="G4133" s="4" t="s">
        <v>215</v>
      </c>
      <c r="H4133" s="4"/>
    </row>
    <row r="4134" s="1" customFormat="1" spans="1:8">
      <c r="A4134" s="4" t="s">
        <v>205</v>
      </c>
      <c r="B4134" s="4" t="s">
        <v>88</v>
      </c>
      <c r="C4134" s="4" t="s">
        <v>89</v>
      </c>
      <c r="D4134" s="11" t="s">
        <v>8296</v>
      </c>
      <c r="E4134" s="4">
        <v>4322327</v>
      </c>
      <c r="F4134" s="11" t="s">
        <v>8297</v>
      </c>
      <c r="G4134" s="4" t="s">
        <v>215</v>
      </c>
      <c r="H4134" s="4"/>
    </row>
    <row r="4135" s="1" customFormat="1" spans="1:8">
      <c r="A4135" s="4" t="s">
        <v>205</v>
      </c>
      <c r="B4135" s="4" t="s">
        <v>88</v>
      </c>
      <c r="C4135" s="4" t="s">
        <v>89</v>
      </c>
      <c r="D4135" s="11" t="s">
        <v>8298</v>
      </c>
      <c r="E4135" s="4">
        <v>4322350</v>
      </c>
      <c r="F4135" s="11" t="s">
        <v>8299</v>
      </c>
      <c r="G4135" s="4" t="s">
        <v>215</v>
      </c>
      <c r="H4135" s="4"/>
    </row>
    <row r="4136" s="1" customFormat="1" spans="1:8">
      <c r="A4136" s="4" t="s">
        <v>205</v>
      </c>
      <c r="B4136" s="4" t="s">
        <v>88</v>
      </c>
      <c r="C4136" s="4" t="s">
        <v>89</v>
      </c>
      <c r="D4136" s="11" t="s">
        <v>8300</v>
      </c>
      <c r="E4136" s="4">
        <v>4322533</v>
      </c>
      <c r="F4136" s="11" t="s">
        <v>8301</v>
      </c>
      <c r="G4136" s="4" t="s">
        <v>215</v>
      </c>
      <c r="H4136" s="4"/>
    </row>
    <row r="4137" s="1" customFormat="1" spans="1:8">
      <c r="A4137" s="4" t="s">
        <v>205</v>
      </c>
      <c r="B4137" s="4" t="s">
        <v>88</v>
      </c>
      <c r="C4137" s="4" t="s">
        <v>89</v>
      </c>
      <c r="D4137" s="11" t="s">
        <v>8302</v>
      </c>
      <c r="E4137" s="4">
        <v>4322541</v>
      </c>
      <c r="F4137" s="11" t="s">
        <v>8303</v>
      </c>
      <c r="G4137" s="4" t="s">
        <v>215</v>
      </c>
      <c r="H4137" s="4"/>
    </row>
    <row r="4138" s="1" customFormat="1" spans="1:8">
      <c r="A4138" s="4" t="s">
        <v>205</v>
      </c>
      <c r="B4138" s="4" t="s">
        <v>88</v>
      </c>
      <c r="C4138" s="4" t="s">
        <v>89</v>
      </c>
      <c r="D4138" s="11" t="s">
        <v>8304</v>
      </c>
      <c r="E4138" s="4">
        <v>4322525</v>
      </c>
      <c r="F4138" s="11" t="s">
        <v>8305</v>
      </c>
      <c r="G4138" s="4" t="s">
        <v>215</v>
      </c>
      <c r="H4138" s="4"/>
    </row>
    <row r="4139" s="1" customFormat="1" spans="1:8">
      <c r="A4139" s="4" t="s">
        <v>205</v>
      </c>
      <c r="B4139" s="4" t="s">
        <v>88</v>
      </c>
      <c r="C4139" s="4" t="s">
        <v>89</v>
      </c>
      <c r="D4139" s="11" t="s">
        <v>8306</v>
      </c>
      <c r="E4139" s="4">
        <v>4322608</v>
      </c>
      <c r="F4139" s="11" t="s">
        <v>8307</v>
      </c>
      <c r="G4139" s="4" t="s">
        <v>215</v>
      </c>
      <c r="H4139" s="4"/>
    </row>
    <row r="4140" s="1" customFormat="1" spans="1:8">
      <c r="A4140" s="4" t="s">
        <v>205</v>
      </c>
      <c r="B4140" s="4" t="s">
        <v>88</v>
      </c>
      <c r="C4140" s="4" t="s">
        <v>89</v>
      </c>
      <c r="D4140" s="11" t="s">
        <v>887</v>
      </c>
      <c r="E4140" s="4">
        <v>4322707</v>
      </c>
      <c r="F4140" s="11" t="s">
        <v>8308</v>
      </c>
      <c r="G4140" s="4" t="s">
        <v>215</v>
      </c>
      <c r="H4140" s="4"/>
    </row>
    <row r="4141" s="1" customFormat="1" spans="1:8">
      <c r="A4141" s="4" t="s">
        <v>205</v>
      </c>
      <c r="B4141" s="4" t="s">
        <v>88</v>
      </c>
      <c r="C4141" s="4" t="s">
        <v>89</v>
      </c>
      <c r="D4141" s="11" t="s">
        <v>8309</v>
      </c>
      <c r="E4141" s="4">
        <v>4322806</v>
      </c>
      <c r="F4141" s="11" t="s">
        <v>8310</v>
      </c>
      <c r="G4141" s="4" t="s">
        <v>215</v>
      </c>
      <c r="H4141" s="4"/>
    </row>
    <row r="4142" s="1" customFormat="1" spans="1:8">
      <c r="A4142" s="4" t="s">
        <v>205</v>
      </c>
      <c r="B4142" s="4" t="s">
        <v>88</v>
      </c>
      <c r="C4142" s="4" t="s">
        <v>89</v>
      </c>
      <c r="D4142" s="7" t="s">
        <v>8311</v>
      </c>
      <c r="E4142" s="4">
        <v>4322855</v>
      </c>
      <c r="F4142" s="11" t="s">
        <v>8312</v>
      </c>
      <c r="G4142" s="4" t="s">
        <v>215</v>
      </c>
      <c r="H4142" s="4"/>
    </row>
    <row r="4143" s="1" customFormat="1" spans="1:8">
      <c r="A4143" s="4" t="s">
        <v>205</v>
      </c>
      <c r="B4143" s="4" t="s">
        <v>88</v>
      </c>
      <c r="C4143" s="4" t="s">
        <v>89</v>
      </c>
      <c r="D4143" s="11" t="s">
        <v>8313</v>
      </c>
      <c r="E4143" s="4">
        <v>4323309</v>
      </c>
      <c r="F4143" s="11" t="s">
        <v>8314</v>
      </c>
      <c r="G4143" s="4" t="s">
        <v>215</v>
      </c>
      <c r="H4143" s="4"/>
    </row>
    <row r="4144" s="1" customFormat="1" spans="1:8">
      <c r="A4144" s="4" t="s">
        <v>205</v>
      </c>
      <c r="B4144" s="4" t="s">
        <v>88</v>
      </c>
      <c r="C4144" s="4" t="s">
        <v>89</v>
      </c>
      <c r="D4144" s="11" t="s">
        <v>8315</v>
      </c>
      <c r="E4144" s="4">
        <v>4323606</v>
      </c>
      <c r="F4144" s="11" t="s">
        <v>8316</v>
      </c>
      <c r="G4144" s="4" t="s">
        <v>215</v>
      </c>
      <c r="H4144" s="4"/>
    </row>
    <row r="4145" s="1" customFormat="1" spans="1:8">
      <c r="A4145" s="4" t="s">
        <v>205</v>
      </c>
      <c r="B4145" s="4" t="s">
        <v>88</v>
      </c>
      <c r="C4145" s="4" t="s">
        <v>89</v>
      </c>
      <c r="D4145" s="11" t="s">
        <v>8317</v>
      </c>
      <c r="E4145" s="4">
        <v>4323770</v>
      </c>
      <c r="F4145" s="11" t="s">
        <v>8318</v>
      </c>
      <c r="G4145" s="4" t="s">
        <v>215</v>
      </c>
      <c r="H4145" s="4"/>
    </row>
    <row r="4146" s="1" customFormat="1" spans="1:8">
      <c r="A4146" s="4" t="s">
        <v>205</v>
      </c>
      <c r="B4146" s="4" t="s">
        <v>88</v>
      </c>
      <c r="C4146" s="4" t="s">
        <v>89</v>
      </c>
      <c r="D4146" s="11" t="s">
        <v>8319</v>
      </c>
      <c r="E4146" s="4">
        <v>4323804</v>
      </c>
      <c r="F4146" s="11" t="s">
        <v>8320</v>
      </c>
      <c r="G4146" s="4" t="s">
        <v>215</v>
      </c>
      <c r="H4146" s="4"/>
    </row>
    <row r="4147" s="1" customFormat="1" spans="1:8">
      <c r="A4147" s="4" t="s">
        <v>205</v>
      </c>
      <c r="B4147" s="4" t="s">
        <v>88</v>
      </c>
      <c r="C4147" s="4" t="s">
        <v>89</v>
      </c>
      <c r="D4147" s="11" t="s">
        <v>8321</v>
      </c>
      <c r="E4147" s="4">
        <v>4300034</v>
      </c>
      <c r="F4147" s="11" t="s">
        <v>8322</v>
      </c>
      <c r="G4147" s="4" t="s">
        <v>232</v>
      </c>
      <c r="H4147" s="4"/>
    </row>
    <row r="4148" s="1" customFormat="1" spans="1:8">
      <c r="A4148" s="4" t="s">
        <v>205</v>
      </c>
      <c r="B4148" s="4" t="s">
        <v>88</v>
      </c>
      <c r="C4148" s="4" t="s">
        <v>89</v>
      </c>
      <c r="D4148" s="11" t="s">
        <v>8323</v>
      </c>
      <c r="E4148" s="4">
        <v>4300109</v>
      </c>
      <c r="F4148" s="11" t="s">
        <v>8324</v>
      </c>
      <c r="G4148" s="4" t="s">
        <v>232</v>
      </c>
      <c r="H4148" s="4"/>
    </row>
    <row r="4149" s="1" customFormat="1" spans="1:8">
      <c r="A4149" s="4" t="s">
        <v>205</v>
      </c>
      <c r="B4149" s="4" t="s">
        <v>88</v>
      </c>
      <c r="C4149" s="4" t="s">
        <v>89</v>
      </c>
      <c r="D4149" s="11" t="s">
        <v>8325</v>
      </c>
      <c r="E4149" s="4">
        <v>4300208</v>
      </c>
      <c r="F4149" s="11" t="s">
        <v>8326</v>
      </c>
      <c r="G4149" s="4" t="s">
        <v>232</v>
      </c>
      <c r="H4149" s="4"/>
    </row>
    <row r="4150" s="1" customFormat="1" spans="1:8">
      <c r="A4150" s="4" t="s">
        <v>205</v>
      </c>
      <c r="B4150" s="4" t="s">
        <v>88</v>
      </c>
      <c r="C4150" s="4" t="s">
        <v>89</v>
      </c>
      <c r="D4150" s="11" t="s">
        <v>8327</v>
      </c>
      <c r="E4150" s="4">
        <v>4300471</v>
      </c>
      <c r="F4150" s="11" t="s">
        <v>8328</v>
      </c>
      <c r="G4150" s="4" t="s">
        <v>232</v>
      </c>
      <c r="H4150" s="4"/>
    </row>
    <row r="4151" s="1" customFormat="1" spans="1:8">
      <c r="A4151" s="4" t="s">
        <v>205</v>
      </c>
      <c r="B4151" s="4" t="s">
        <v>88</v>
      </c>
      <c r="C4151" s="4" t="s">
        <v>89</v>
      </c>
      <c r="D4151" s="11" t="s">
        <v>8329</v>
      </c>
      <c r="E4151" s="4">
        <v>4300505</v>
      </c>
      <c r="F4151" s="11" t="s">
        <v>8330</v>
      </c>
      <c r="G4151" s="4" t="s">
        <v>232</v>
      </c>
      <c r="H4151" s="4"/>
    </row>
    <row r="4152" s="1" customFormat="1" spans="1:8">
      <c r="A4152" s="4" t="s">
        <v>205</v>
      </c>
      <c r="B4152" s="4" t="s">
        <v>88</v>
      </c>
      <c r="C4152" s="4" t="s">
        <v>89</v>
      </c>
      <c r="D4152" s="11" t="s">
        <v>7898</v>
      </c>
      <c r="E4152" s="4">
        <v>4300554</v>
      </c>
      <c r="F4152" s="11" t="s">
        <v>8331</v>
      </c>
      <c r="G4152" s="4" t="s">
        <v>232</v>
      </c>
      <c r="H4152" s="4"/>
    </row>
    <row r="4153" s="1" customFormat="1" spans="1:8">
      <c r="A4153" s="4" t="s">
        <v>205</v>
      </c>
      <c r="B4153" s="4" t="s">
        <v>88</v>
      </c>
      <c r="C4153" s="4" t="s">
        <v>89</v>
      </c>
      <c r="D4153" s="11" t="s">
        <v>8332</v>
      </c>
      <c r="E4153" s="4">
        <v>4300646</v>
      </c>
      <c r="F4153" s="11" t="s">
        <v>8333</v>
      </c>
      <c r="G4153" s="4" t="s">
        <v>232</v>
      </c>
      <c r="H4153" s="4"/>
    </row>
    <row r="4154" s="1" customFormat="1" spans="1:8">
      <c r="A4154" s="4" t="s">
        <v>205</v>
      </c>
      <c r="B4154" s="4" t="s">
        <v>88</v>
      </c>
      <c r="C4154" s="4" t="s">
        <v>89</v>
      </c>
      <c r="D4154" s="11" t="s">
        <v>8334</v>
      </c>
      <c r="E4154" s="4">
        <v>4300901</v>
      </c>
      <c r="F4154" s="11" t="s">
        <v>8335</v>
      </c>
      <c r="G4154" s="4" t="s">
        <v>232</v>
      </c>
      <c r="H4154" s="4"/>
    </row>
    <row r="4155" s="1" customFormat="1" spans="1:8">
      <c r="A4155" s="4" t="s">
        <v>205</v>
      </c>
      <c r="B4155" s="4" t="s">
        <v>88</v>
      </c>
      <c r="C4155" s="4" t="s">
        <v>89</v>
      </c>
      <c r="D4155" s="11" t="s">
        <v>8336</v>
      </c>
      <c r="E4155" s="4">
        <v>4301073</v>
      </c>
      <c r="F4155" s="11" t="s">
        <v>8337</v>
      </c>
      <c r="G4155" s="4" t="s">
        <v>232</v>
      </c>
      <c r="H4155" s="4"/>
    </row>
    <row r="4156" s="1" customFormat="1" spans="1:8">
      <c r="A4156" s="4" t="s">
        <v>205</v>
      </c>
      <c r="B4156" s="4" t="s">
        <v>88</v>
      </c>
      <c r="C4156" s="4" t="s">
        <v>89</v>
      </c>
      <c r="D4156" s="11" t="s">
        <v>8338</v>
      </c>
      <c r="E4156" s="4">
        <v>4301206</v>
      </c>
      <c r="F4156" s="11" t="s">
        <v>8339</v>
      </c>
      <c r="G4156" s="4" t="s">
        <v>232</v>
      </c>
      <c r="H4156" s="4"/>
    </row>
    <row r="4157" s="1" customFormat="1" spans="1:8">
      <c r="A4157" s="4" t="s">
        <v>205</v>
      </c>
      <c r="B4157" s="4" t="s">
        <v>88</v>
      </c>
      <c r="C4157" s="4" t="s">
        <v>89</v>
      </c>
      <c r="D4157" s="11" t="s">
        <v>8340</v>
      </c>
      <c r="E4157" s="4">
        <v>4301305</v>
      </c>
      <c r="F4157" s="11" t="s">
        <v>8341</v>
      </c>
      <c r="G4157" s="4" t="s">
        <v>232</v>
      </c>
      <c r="H4157" s="4"/>
    </row>
    <row r="4158" s="1" customFormat="1" spans="1:8">
      <c r="A4158" s="4" t="s">
        <v>205</v>
      </c>
      <c r="B4158" s="4" t="s">
        <v>88</v>
      </c>
      <c r="C4158" s="4" t="s">
        <v>89</v>
      </c>
      <c r="D4158" s="11" t="s">
        <v>8342</v>
      </c>
      <c r="E4158" s="4">
        <v>4301503</v>
      </c>
      <c r="F4158" s="11" t="s">
        <v>8343</v>
      </c>
      <c r="G4158" s="4" t="s">
        <v>232</v>
      </c>
      <c r="H4158" s="4"/>
    </row>
    <row r="4159" s="1" customFormat="1" spans="1:8">
      <c r="A4159" s="4" t="s">
        <v>205</v>
      </c>
      <c r="B4159" s="4" t="s">
        <v>88</v>
      </c>
      <c r="C4159" s="4" t="s">
        <v>89</v>
      </c>
      <c r="D4159" s="11" t="s">
        <v>8344</v>
      </c>
      <c r="E4159" s="4">
        <v>4301602</v>
      </c>
      <c r="F4159" s="11" t="s">
        <v>8345</v>
      </c>
      <c r="G4159" s="4" t="s">
        <v>232</v>
      </c>
      <c r="H4159" s="4"/>
    </row>
    <row r="4160" s="1" customFormat="1" spans="1:8">
      <c r="A4160" s="4" t="s">
        <v>205</v>
      </c>
      <c r="B4160" s="4" t="s">
        <v>88</v>
      </c>
      <c r="C4160" s="4" t="s">
        <v>89</v>
      </c>
      <c r="D4160" s="11" t="s">
        <v>8346</v>
      </c>
      <c r="E4160" s="4">
        <v>4301925</v>
      </c>
      <c r="F4160" s="11" t="s">
        <v>8347</v>
      </c>
      <c r="G4160" s="4" t="s">
        <v>232</v>
      </c>
      <c r="H4160" s="4"/>
    </row>
    <row r="4161" s="1" customFormat="1" spans="1:8">
      <c r="A4161" s="4" t="s">
        <v>205</v>
      </c>
      <c r="B4161" s="4" t="s">
        <v>88</v>
      </c>
      <c r="C4161" s="4" t="s">
        <v>89</v>
      </c>
      <c r="D4161" s="11" t="s">
        <v>8348</v>
      </c>
      <c r="E4161" s="4">
        <v>4301958</v>
      </c>
      <c r="F4161" s="11" t="s">
        <v>8349</v>
      </c>
      <c r="G4161" s="4" t="s">
        <v>232</v>
      </c>
      <c r="H4161" s="4"/>
    </row>
    <row r="4162" s="1" customFormat="1" spans="1:8">
      <c r="A4162" s="4" t="s">
        <v>205</v>
      </c>
      <c r="B4162" s="4" t="s">
        <v>88</v>
      </c>
      <c r="C4162" s="4" t="s">
        <v>89</v>
      </c>
      <c r="D4162" s="11" t="s">
        <v>6987</v>
      </c>
      <c r="E4162" s="4">
        <v>4301800</v>
      </c>
      <c r="F4162" s="11" t="s">
        <v>8350</v>
      </c>
      <c r="G4162" s="4" t="s">
        <v>232</v>
      </c>
      <c r="H4162" s="4"/>
    </row>
    <row r="4163" s="1" customFormat="1" spans="1:8">
      <c r="A4163" s="4" t="s">
        <v>205</v>
      </c>
      <c r="B4163" s="4" t="s">
        <v>88</v>
      </c>
      <c r="C4163" s="4" t="s">
        <v>89</v>
      </c>
      <c r="D4163" s="11" t="s">
        <v>8351</v>
      </c>
      <c r="E4163" s="4">
        <v>4301701</v>
      </c>
      <c r="F4163" s="11" t="s">
        <v>8352</v>
      </c>
      <c r="G4163" s="4" t="s">
        <v>232</v>
      </c>
      <c r="H4163" s="4"/>
    </row>
    <row r="4164" s="1" customFormat="1" spans="1:8">
      <c r="A4164" s="4" t="s">
        <v>205</v>
      </c>
      <c r="B4164" s="4" t="s">
        <v>88</v>
      </c>
      <c r="C4164" s="4" t="s">
        <v>89</v>
      </c>
      <c r="D4164" s="11" t="s">
        <v>8353</v>
      </c>
      <c r="E4164" s="4">
        <v>4302055</v>
      </c>
      <c r="F4164" s="11" t="s">
        <v>8354</v>
      </c>
      <c r="G4164" s="4" t="s">
        <v>232</v>
      </c>
      <c r="H4164" s="4"/>
    </row>
    <row r="4165" s="1" customFormat="1" spans="1:8">
      <c r="A4165" s="4" t="s">
        <v>205</v>
      </c>
      <c r="B4165" s="4" t="s">
        <v>88</v>
      </c>
      <c r="C4165" s="4" t="s">
        <v>89</v>
      </c>
      <c r="D4165" s="11" t="s">
        <v>8355</v>
      </c>
      <c r="E4165" s="4">
        <v>4302154</v>
      </c>
      <c r="F4165" s="11" t="s">
        <v>8356</v>
      </c>
      <c r="G4165" s="4" t="s">
        <v>232</v>
      </c>
      <c r="H4165" s="4"/>
    </row>
    <row r="4166" s="1" customFormat="1" spans="1:8">
      <c r="A4166" s="4" t="s">
        <v>205</v>
      </c>
      <c r="B4166" s="4" t="s">
        <v>88</v>
      </c>
      <c r="C4166" s="4" t="s">
        <v>89</v>
      </c>
      <c r="D4166" s="11" t="s">
        <v>8357</v>
      </c>
      <c r="E4166" s="4">
        <v>4302220</v>
      </c>
      <c r="F4166" s="11" t="s">
        <v>8358</v>
      </c>
      <c r="G4166" s="4" t="s">
        <v>232</v>
      </c>
      <c r="H4166" s="4"/>
    </row>
    <row r="4167" s="1" customFormat="1" spans="1:8">
      <c r="A4167" s="4" t="s">
        <v>205</v>
      </c>
      <c r="B4167" s="4" t="s">
        <v>88</v>
      </c>
      <c r="C4167" s="4" t="s">
        <v>89</v>
      </c>
      <c r="D4167" s="11" t="s">
        <v>8359</v>
      </c>
      <c r="E4167" s="4">
        <v>4302238</v>
      </c>
      <c r="F4167" s="11" t="s">
        <v>8360</v>
      </c>
      <c r="G4167" s="4" t="s">
        <v>232</v>
      </c>
      <c r="H4167" s="4"/>
    </row>
    <row r="4168" s="1" customFormat="1" spans="1:8">
      <c r="A4168" s="4" t="s">
        <v>205</v>
      </c>
      <c r="B4168" s="4" t="s">
        <v>88</v>
      </c>
      <c r="C4168" s="4" t="s">
        <v>89</v>
      </c>
      <c r="D4168" s="11" t="s">
        <v>8361</v>
      </c>
      <c r="E4168" s="4">
        <v>4302378</v>
      </c>
      <c r="F4168" s="11" t="s">
        <v>8362</v>
      </c>
      <c r="G4168" s="4" t="s">
        <v>232</v>
      </c>
      <c r="H4168" s="4"/>
    </row>
    <row r="4169" s="1" customFormat="1" spans="1:8">
      <c r="A4169" s="4" t="s">
        <v>205</v>
      </c>
      <c r="B4169" s="4" t="s">
        <v>88</v>
      </c>
      <c r="C4169" s="4" t="s">
        <v>89</v>
      </c>
      <c r="D4169" s="11" t="s">
        <v>8363</v>
      </c>
      <c r="E4169" s="4">
        <v>4302584</v>
      </c>
      <c r="F4169" s="11" t="s">
        <v>8364</v>
      </c>
      <c r="G4169" s="4" t="s">
        <v>232</v>
      </c>
      <c r="H4169" s="4"/>
    </row>
    <row r="4170" s="1" customFormat="1" spans="1:8">
      <c r="A4170" s="4" t="s">
        <v>205</v>
      </c>
      <c r="B4170" s="4" t="s">
        <v>88</v>
      </c>
      <c r="C4170" s="4" t="s">
        <v>89</v>
      </c>
      <c r="D4170" s="11" t="s">
        <v>8365</v>
      </c>
      <c r="E4170" s="4">
        <v>4302600</v>
      </c>
      <c r="F4170" s="11" t="s">
        <v>8366</v>
      </c>
      <c r="G4170" s="4" t="s">
        <v>232</v>
      </c>
      <c r="H4170" s="4"/>
    </row>
    <row r="4171" s="1" customFormat="1" spans="1:8">
      <c r="A4171" s="4" t="s">
        <v>205</v>
      </c>
      <c r="B4171" s="4" t="s">
        <v>88</v>
      </c>
      <c r="C4171" s="4" t="s">
        <v>89</v>
      </c>
      <c r="D4171" s="11" t="s">
        <v>8367</v>
      </c>
      <c r="E4171" s="4">
        <v>4302907</v>
      </c>
      <c r="F4171" s="11" t="s">
        <v>8368</v>
      </c>
      <c r="G4171" s="4" t="s">
        <v>232</v>
      </c>
      <c r="H4171" s="4"/>
    </row>
    <row r="4172" s="1" customFormat="1" spans="1:8">
      <c r="A4172" s="4" t="s">
        <v>205</v>
      </c>
      <c r="B4172" s="4" t="s">
        <v>88</v>
      </c>
      <c r="C4172" s="4" t="s">
        <v>89</v>
      </c>
      <c r="D4172" s="11" t="s">
        <v>8369</v>
      </c>
      <c r="E4172" s="4">
        <v>4303202</v>
      </c>
      <c r="F4172" s="11" t="s">
        <v>8370</v>
      </c>
      <c r="G4172" s="4" t="s">
        <v>232</v>
      </c>
      <c r="H4172" s="4"/>
    </row>
    <row r="4173" s="1" customFormat="1" spans="1:8">
      <c r="A4173" s="4" t="s">
        <v>205</v>
      </c>
      <c r="B4173" s="4" t="s">
        <v>88</v>
      </c>
      <c r="C4173" s="4" t="s">
        <v>89</v>
      </c>
      <c r="D4173" s="11" t="s">
        <v>5366</v>
      </c>
      <c r="E4173" s="4">
        <v>4303400</v>
      </c>
      <c r="F4173" s="11" t="s">
        <v>8371</v>
      </c>
      <c r="G4173" s="4" t="s">
        <v>232</v>
      </c>
      <c r="H4173" s="4"/>
    </row>
    <row r="4174" s="1" customFormat="1" spans="1:8">
      <c r="A4174" s="4" t="s">
        <v>205</v>
      </c>
      <c r="B4174" s="4" t="s">
        <v>88</v>
      </c>
      <c r="C4174" s="4" t="s">
        <v>89</v>
      </c>
      <c r="D4174" s="11" t="s">
        <v>8372</v>
      </c>
      <c r="E4174" s="4">
        <v>4303558</v>
      </c>
      <c r="F4174" s="11" t="s">
        <v>8373</v>
      </c>
      <c r="G4174" s="4" t="s">
        <v>232</v>
      </c>
      <c r="H4174" s="4"/>
    </row>
    <row r="4175" s="1" customFormat="1" spans="1:8">
      <c r="A4175" s="4" t="s">
        <v>205</v>
      </c>
      <c r="B4175" s="4" t="s">
        <v>88</v>
      </c>
      <c r="C4175" s="4" t="s">
        <v>89</v>
      </c>
      <c r="D4175" s="11" t="s">
        <v>8374</v>
      </c>
      <c r="E4175" s="4">
        <v>4303806</v>
      </c>
      <c r="F4175" s="11" t="s">
        <v>8375</v>
      </c>
      <c r="G4175" s="4" t="s">
        <v>232</v>
      </c>
      <c r="H4175" s="4"/>
    </row>
    <row r="4176" s="1" customFormat="1" spans="1:8">
      <c r="A4176" s="4" t="s">
        <v>205</v>
      </c>
      <c r="B4176" s="4" t="s">
        <v>88</v>
      </c>
      <c r="C4176" s="4" t="s">
        <v>89</v>
      </c>
      <c r="D4176" s="11" t="s">
        <v>8376</v>
      </c>
      <c r="E4176" s="4">
        <v>4304002</v>
      </c>
      <c r="F4176" s="11" t="s">
        <v>8377</v>
      </c>
      <c r="G4176" s="4" t="s">
        <v>232</v>
      </c>
      <c r="H4176" s="4"/>
    </row>
    <row r="4177" s="1" customFormat="1" spans="1:8">
      <c r="A4177" s="4" t="s">
        <v>205</v>
      </c>
      <c r="B4177" s="4" t="s">
        <v>88</v>
      </c>
      <c r="C4177" s="4" t="s">
        <v>89</v>
      </c>
      <c r="D4177" s="11" t="s">
        <v>8378</v>
      </c>
      <c r="E4177" s="4">
        <v>4304101</v>
      </c>
      <c r="F4177" s="11" t="s">
        <v>8379</v>
      </c>
      <c r="G4177" s="4" t="s">
        <v>232</v>
      </c>
      <c r="H4177" s="4"/>
    </row>
    <row r="4178" s="1" customFormat="1" spans="1:8">
      <c r="A4178" s="4" t="s">
        <v>205</v>
      </c>
      <c r="B4178" s="4" t="s">
        <v>88</v>
      </c>
      <c r="C4178" s="4" t="s">
        <v>89</v>
      </c>
      <c r="D4178" s="11" t="s">
        <v>8380</v>
      </c>
      <c r="E4178" s="4">
        <v>4304358</v>
      </c>
      <c r="F4178" s="11" t="s">
        <v>8381</v>
      </c>
      <c r="G4178" s="4" t="s">
        <v>232</v>
      </c>
      <c r="H4178" s="4"/>
    </row>
    <row r="4179" s="1" customFormat="1" spans="1:8">
      <c r="A4179" s="4" t="s">
        <v>205</v>
      </c>
      <c r="B4179" s="4" t="s">
        <v>88</v>
      </c>
      <c r="C4179" s="4" t="s">
        <v>89</v>
      </c>
      <c r="D4179" s="11" t="s">
        <v>8382</v>
      </c>
      <c r="E4179" s="4">
        <v>4304507</v>
      </c>
      <c r="F4179" s="11" t="s">
        <v>8383</v>
      </c>
      <c r="G4179" s="4" t="s">
        <v>232</v>
      </c>
      <c r="H4179" s="4"/>
    </row>
    <row r="4180" s="1" customFormat="1" spans="1:8">
      <c r="A4180" s="4" t="s">
        <v>205</v>
      </c>
      <c r="B4180" s="4" t="s">
        <v>88</v>
      </c>
      <c r="C4180" s="4" t="s">
        <v>89</v>
      </c>
      <c r="D4180" s="11" t="s">
        <v>8384</v>
      </c>
      <c r="E4180" s="4">
        <v>4304622</v>
      </c>
      <c r="F4180" s="11" t="s">
        <v>8385</v>
      </c>
      <c r="G4180" s="4" t="s">
        <v>232</v>
      </c>
      <c r="H4180" s="4"/>
    </row>
    <row r="4181" s="1" customFormat="1" spans="1:8">
      <c r="A4181" s="4" t="s">
        <v>205</v>
      </c>
      <c r="B4181" s="4" t="s">
        <v>88</v>
      </c>
      <c r="C4181" s="4" t="s">
        <v>89</v>
      </c>
      <c r="D4181" s="11" t="s">
        <v>8386</v>
      </c>
      <c r="E4181" s="4">
        <v>4304663</v>
      </c>
      <c r="F4181" s="11" t="s">
        <v>8387</v>
      </c>
      <c r="G4181" s="4" t="s">
        <v>232</v>
      </c>
      <c r="H4181" s="4"/>
    </row>
    <row r="4182" s="1" customFormat="1" spans="1:8">
      <c r="A4182" s="4" t="s">
        <v>205</v>
      </c>
      <c r="B4182" s="4" t="s">
        <v>88</v>
      </c>
      <c r="C4182" s="4" t="s">
        <v>89</v>
      </c>
      <c r="D4182" s="11" t="s">
        <v>8388</v>
      </c>
      <c r="E4182" s="4">
        <v>4304705</v>
      </c>
      <c r="F4182" s="11" t="s">
        <v>8389</v>
      </c>
      <c r="G4182" s="4" t="s">
        <v>232</v>
      </c>
      <c r="H4182" s="4"/>
    </row>
    <row r="4183" s="1" customFormat="1" spans="1:8">
      <c r="A4183" s="4" t="s">
        <v>205</v>
      </c>
      <c r="B4183" s="4" t="s">
        <v>88</v>
      </c>
      <c r="C4183" s="4" t="s">
        <v>89</v>
      </c>
      <c r="D4183" s="11" t="s">
        <v>8390</v>
      </c>
      <c r="E4183" s="4">
        <v>4304853</v>
      </c>
      <c r="F4183" s="11" t="s">
        <v>8391</v>
      </c>
      <c r="G4183" s="4" t="s">
        <v>232</v>
      </c>
      <c r="H4183" s="4"/>
    </row>
    <row r="4184" s="1" customFormat="1" spans="1:8">
      <c r="A4184" s="4" t="s">
        <v>205</v>
      </c>
      <c r="B4184" s="4" t="s">
        <v>88</v>
      </c>
      <c r="C4184" s="4" t="s">
        <v>89</v>
      </c>
      <c r="D4184" s="11" t="s">
        <v>8392</v>
      </c>
      <c r="E4184" s="4">
        <v>4304952</v>
      </c>
      <c r="F4184" s="11" t="s">
        <v>8393</v>
      </c>
      <c r="G4184" s="4" t="s">
        <v>232</v>
      </c>
      <c r="H4184" s="4"/>
    </row>
    <row r="4185" s="1" customFormat="1" spans="1:8">
      <c r="A4185" s="4" t="s">
        <v>205</v>
      </c>
      <c r="B4185" s="4" t="s">
        <v>88</v>
      </c>
      <c r="C4185" s="4" t="s">
        <v>89</v>
      </c>
      <c r="D4185" s="11" t="s">
        <v>8394</v>
      </c>
      <c r="E4185" s="4">
        <v>4305009</v>
      </c>
      <c r="F4185" s="11" t="s">
        <v>8395</v>
      </c>
      <c r="G4185" s="4" t="s">
        <v>232</v>
      </c>
      <c r="H4185" s="4"/>
    </row>
    <row r="4186" s="1" customFormat="1" spans="1:8">
      <c r="A4186" s="4" t="s">
        <v>205</v>
      </c>
      <c r="B4186" s="4" t="s">
        <v>88</v>
      </c>
      <c r="C4186" s="4" t="s">
        <v>89</v>
      </c>
      <c r="D4186" s="11" t="s">
        <v>8396</v>
      </c>
      <c r="E4186" s="4">
        <v>4302808</v>
      </c>
      <c r="F4186" s="11" t="s">
        <v>8397</v>
      </c>
      <c r="G4186" s="4" t="s">
        <v>232</v>
      </c>
      <c r="H4186" s="4"/>
    </row>
    <row r="4187" s="1" customFormat="1" spans="1:8">
      <c r="A4187" s="4" t="s">
        <v>205</v>
      </c>
      <c r="B4187" s="4" t="s">
        <v>88</v>
      </c>
      <c r="C4187" s="4" t="s">
        <v>89</v>
      </c>
      <c r="D4187" s="11" t="s">
        <v>8398</v>
      </c>
      <c r="E4187" s="4">
        <v>4305116</v>
      </c>
      <c r="F4187" s="11" t="s">
        <v>8399</v>
      </c>
      <c r="G4187" s="4" t="s">
        <v>232</v>
      </c>
      <c r="H4187" s="4"/>
    </row>
    <row r="4188" s="1" customFormat="1" spans="1:8">
      <c r="A4188" s="4" t="s">
        <v>205</v>
      </c>
      <c r="B4188" s="4" t="s">
        <v>88</v>
      </c>
      <c r="C4188" s="4" t="s">
        <v>89</v>
      </c>
      <c r="D4188" s="11" t="s">
        <v>8400</v>
      </c>
      <c r="E4188" s="4">
        <v>4305124</v>
      </c>
      <c r="F4188" s="11" t="s">
        <v>8401</v>
      </c>
      <c r="G4188" s="4" t="s">
        <v>232</v>
      </c>
      <c r="H4188" s="4"/>
    </row>
    <row r="4189" s="1" customFormat="1" spans="1:8">
      <c r="A4189" s="4" t="s">
        <v>205</v>
      </c>
      <c r="B4189" s="4" t="s">
        <v>88</v>
      </c>
      <c r="C4189" s="4" t="s">
        <v>89</v>
      </c>
      <c r="D4189" s="11" t="s">
        <v>8402</v>
      </c>
      <c r="E4189" s="4">
        <v>4305157</v>
      </c>
      <c r="F4189" s="11" t="s">
        <v>8403</v>
      </c>
      <c r="G4189" s="4" t="s">
        <v>232</v>
      </c>
      <c r="H4189" s="4"/>
    </row>
    <row r="4190" s="1" customFormat="1" spans="1:8">
      <c r="A4190" s="4" t="s">
        <v>205</v>
      </c>
      <c r="B4190" s="4" t="s">
        <v>88</v>
      </c>
      <c r="C4190" s="4" t="s">
        <v>89</v>
      </c>
      <c r="D4190" s="11" t="s">
        <v>8404</v>
      </c>
      <c r="E4190" s="4">
        <v>4305306</v>
      </c>
      <c r="F4190" s="11" t="s">
        <v>8405</v>
      </c>
      <c r="G4190" s="4" t="s">
        <v>232</v>
      </c>
      <c r="H4190" s="4"/>
    </row>
    <row r="4191" s="1" customFormat="1" spans="1:8">
      <c r="A4191" s="4" t="s">
        <v>205</v>
      </c>
      <c r="B4191" s="4" t="s">
        <v>88</v>
      </c>
      <c r="C4191" s="4" t="s">
        <v>89</v>
      </c>
      <c r="D4191" s="11" t="s">
        <v>8406</v>
      </c>
      <c r="E4191" s="4">
        <v>4305371</v>
      </c>
      <c r="F4191" s="11" t="s">
        <v>8407</v>
      </c>
      <c r="G4191" s="4" t="s">
        <v>232</v>
      </c>
      <c r="H4191" s="4"/>
    </row>
    <row r="4192" s="1" customFormat="1" spans="1:8">
      <c r="A4192" s="4" t="s">
        <v>205</v>
      </c>
      <c r="B4192" s="4" t="s">
        <v>88</v>
      </c>
      <c r="C4192" s="4" t="s">
        <v>89</v>
      </c>
      <c r="D4192" s="11" t="s">
        <v>8408</v>
      </c>
      <c r="E4192" s="4">
        <v>4305504</v>
      </c>
      <c r="F4192" s="11" t="s">
        <v>8409</v>
      </c>
      <c r="G4192" s="4" t="s">
        <v>232</v>
      </c>
      <c r="H4192" s="4"/>
    </row>
    <row r="4193" s="1" customFormat="1" spans="1:8">
      <c r="A4193" s="4" t="s">
        <v>205</v>
      </c>
      <c r="B4193" s="4" t="s">
        <v>88</v>
      </c>
      <c r="C4193" s="4" t="s">
        <v>89</v>
      </c>
      <c r="D4193" s="11" t="s">
        <v>7028</v>
      </c>
      <c r="E4193" s="4">
        <v>4305603</v>
      </c>
      <c r="F4193" s="11" t="s">
        <v>8410</v>
      </c>
      <c r="G4193" s="4" t="s">
        <v>232</v>
      </c>
      <c r="H4193" s="4"/>
    </row>
    <row r="4194" s="1" customFormat="1" spans="1:8">
      <c r="A4194" s="4" t="s">
        <v>205</v>
      </c>
      <c r="B4194" s="4" t="s">
        <v>88</v>
      </c>
      <c r="C4194" s="4" t="s">
        <v>89</v>
      </c>
      <c r="D4194" s="11" t="s">
        <v>8411</v>
      </c>
      <c r="E4194" s="4">
        <v>4305702</v>
      </c>
      <c r="F4194" s="11" t="s">
        <v>8412</v>
      </c>
      <c r="G4194" s="4" t="s">
        <v>232</v>
      </c>
      <c r="H4194" s="4"/>
    </row>
    <row r="4195" s="1" customFormat="1" spans="1:8">
      <c r="A4195" s="4" t="s">
        <v>205</v>
      </c>
      <c r="B4195" s="4" t="s">
        <v>88</v>
      </c>
      <c r="C4195" s="4" t="s">
        <v>89</v>
      </c>
      <c r="D4195" s="11" t="s">
        <v>8413</v>
      </c>
      <c r="E4195" s="4">
        <v>4305801</v>
      </c>
      <c r="F4195" s="11" t="s">
        <v>8414</v>
      </c>
      <c r="G4195" s="4" t="s">
        <v>232</v>
      </c>
      <c r="H4195" s="4"/>
    </row>
    <row r="4196" s="1" customFormat="1" spans="1:8">
      <c r="A4196" s="4" t="s">
        <v>205</v>
      </c>
      <c r="B4196" s="4" t="s">
        <v>88</v>
      </c>
      <c r="C4196" s="4" t="s">
        <v>89</v>
      </c>
      <c r="D4196" s="11" t="s">
        <v>8415</v>
      </c>
      <c r="E4196" s="4">
        <v>4305850</v>
      </c>
      <c r="F4196" s="11" t="s">
        <v>8416</v>
      </c>
      <c r="G4196" s="4" t="s">
        <v>232</v>
      </c>
      <c r="H4196" s="4"/>
    </row>
    <row r="4197" s="1" customFormat="1" spans="1:8">
      <c r="A4197" s="4" t="s">
        <v>205</v>
      </c>
      <c r="B4197" s="4" t="s">
        <v>88</v>
      </c>
      <c r="C4197" s="4" t="s">
        <v>89</v>
      </c>
      <c r="D4197" s="11" t="s">
        <v>8417</v>
      </c>
      <c r="E4197" s="4">
        <v>4305871</v>
      </c>
      <c r="F4197" s="11" t="s">
        <v>8418</v>
      </c>
      <c r="G4197" s="4" t="s">
        <v>232</v>
      </c>
      <c r="H4197" s="4"/>
    </row>
    <row r="4198" s="1" customFormat="1" spans="1:8">
      <c r="A4198" s="4" t="s">
        <v>205</v>
      </c>
      <c r="B4198" s="4" t="s">
        <v>88</v>
      </c>
      <c r="C4198" s="4" t="s">
        <v>89</v>
      </c>
      <c r="D4198" s="11" t="s">
        <v>8419</v>
      </c>
      <c r="E4198" s="4">
        <v>4305900</v>
      </c>
      <c r="F4198" s="11" t="s">
        <v>8420</v>
      </c>
      <c r="G4198" s="4" t="s">
        <v>232</v>
      </c>
      <c r="H4198" s="4"/>
    </row>
    <row r="4199" s="1" customFormat="1" spans="1:8">
      <c r="A4199" s="4" t="s">
        <v>205</v>
      </c>
      <c r="B4199" s="4" t="s">
        <v>88</v>
      </c>
      <c r="C4199" s="4" t="s">
        <v>89</v>
      </c>
      <c r="D4199" s="11" t="s">
        <v>8421</v>
      </c>
      <c r="E4199" s="4">
        <v>4305975</v>
      </c>
      <c r="F4199" s="11" t="s">
        <v>8422</v>
      </c>
      <c r="G4199" s="4" t="s">
        <v>232</v>
      </c>
      <c r="H4199" s="4"/>
    </row>
    <row r="4200" s="1" customFormat="1" spans="1:8">
      <c r="A4200" s="4" t="s">
        <v>205</v>
      </c>
      <c r="B4200" s="4" t="s">
        <v>88</v>
      </c>
      <c r="C4200" s="4" t="s">
        <v>89</v>
      </c>
      <c r="D4200" s="11" t="s">
        <v>8423</v>
      </c>
      <c r="E4200" s="4">
        <v>4306072</v>
      </c>
      <c r="F4200" s="11" t="s">
        <v>8424</v>
      </c>
      <c r="G4200" s="4" t="s">
        <v>232</v>
      </c>
      <c r="H4200" s="4"/>
    </row>
    <row r="4201" s="1" customFormat="1" spans="1:8">
      <c r="A4201" s="4" t="s">
        <v>205</v>
      </c>
      <c r="B4201" s="4" t="s">
        <v>88</v>
      </c>
      <c r="C4201" s="4" t="s">
        <v>89</v>
      </c>
      <c r="D4201" s="11" t="s">
        <v>8425</v>
      </c>
      <c r="E4201" s="4">
        <v>4306106</v>
      </c>
      <c r="F4201" s="11" t="s">
        <v>8426</v>
      </c>
      <c r="G4201" s="4" t="s">
        <v>232</v>
      </c>
      <c r="H4201" s="4"/>
    </row>
    <row r="4202" s="1" customFormat="1" spans="1:8">
      <c r="A4202" s="4" t="s">
        <v>205</v>
      </c>
      <c r="B4202" s="4" t="s">
        <v>88</v>
      </c>
      <c r="C4202" s="4" t="s">
        <v>89</v>
      </c>
      <c r="D4202" s="11" t="s">
        <v>8427</v>
      </c>
      <c r="E4202" s="4">
        <v>4306130</v>
      </c>
      <c r="F4202" s="11" t="s">
        <v>8428</v>
      </c>
      <c r="G4202" s="4" t="s">
        <v>232</v>
      </c>
      <c r="H4202" s="4"/>
    </row>
    <row r="4203" s="1" customFormat="1" spans="1:8">
      <c r="A4203" s="4" t="s">
        <v>205</v>
      </c>
      <c r="B4203" s="4" t="s">
        <v>88</v>
      </c>
      <c r="C4203" s="4" t="s">
        <v>89</v>
      </c>
      <c r="D4203" s="11" t="s">
        <v>8429</v>
      </c>
      <c r="E4203" s="4">
        <v>4306304</v>
      </c>
      <c r="F4203" s="11" t="s">
        <v>8430</v>
      </c>
      <c r="G4203" s="4" t="s">
        <v>232</v>
      </c>
      <c r="H4203" s="4"/>
    </row>
    <row r="4204" s="1" customFormat="1" spans="1:8">
      <c r="A4204" s="4" t="s">
        <v>205</v>
      </c>
      <c r="B4204" s="4" t="s">
        <v>88</v>
      </c>
      <c r="C4204" s="4" t="s">
        <v>89</v>
      </c>
      <c r="D4204" s="11" t="s">
        <v>8431</v>
      </c>
      <c r="E4204" s="4">
        <v>4306379</v>
      </c>
      <c r="F4204" s="11" t="s">
        <v>8432</v>
      </c>
      <c r="G4204" s="4" t="s">
        <v>232</v>
      </c>
      <c r="H4204" s="4"/>
    </row>
    <row r="4205" s="1" customFormat="1" spans="1:8">
      <c r="A4205" s="4" t="s">
        <v>205</v>
      </c>
      <c r="B4205" s="4" t="s">
        <v>88</v>
      </c>
      <c r="C4205" s="4" t="s">
        <v>89</v>
      </c>
      <c r="D4205" s="11" t="s">
        <v>8433</v>
      </c>
      <c r="E4205" s="4">
        <v>4306429</v>
      </c>
      <c r="F4205" s="11" t="s">
        <v>8434</v>
      </c>
      <c r="G4205" s="4" t="s">
        <v>232</v>
      </c>
      <c r="H4205" s="4"/>
    </row>
    <row r="4206" s="1" customFormat="1" spans="1:8">
      <c r="A4206" s="4" t="s">
        <v>205</v>
      </c>
      <c r="B4206" s="4" t="s">
        <v>88</v>
      </c>
      <c r="C4206" s="4" t="s">
        <v>89</v>
      </c>
      <c r="D4206" s="11" t="s">
        <v>8435</v>
      </c>
      <c r="E4206" s="4">
        <v>4306601</v>
      </c>
      <c r="F4206" s="11" t="s">
        <v>8436</v>
      </c>
      <c r="G4206" s="4" t="s">
        <v>232</v>
      </c>
      <c r="H4206" s="4"/>
    </row>
    <row r="4207" s="1" customFormat="1" spans="1:8">
      <c r="A4207" s="4" t="s">
        <v>205</v>
      </c>
      <c r="B4207" s="4" t="s">
        <v>88</v>
      </c>
      <c r="C4207" s="4" t="s">
        <v>89</v>
      </c>
      <c r="D4207" s="11" t="s">
        <v>8437</v>
      </c>
      <c r="E4207" s="4">
        <v>4306700</v>
      </c>
      <c r="F4207" s="11" t="s">
        <v>8438</v>
      </c>
      <c r="G4207" s="4" t="s">
        <v>232</v>
      </c>
      <c r="H4207" s="4"/>
    </row>
    <row r="4208" s="1" customFormat="1" spans="1:8">
      <c r="A4208" s="4" t="s">
        <v>205</v>
      </c>
      <c r="B4208" s="4" t="s">
        <v>88</v>
      </c>
      <c r="C4208" s="4" t="s">
        <v>89</v>
      </c>
      <c r="D4208" s="11" t="s">
        <v>8439</v>
      </c>
      <c r="E4208" s="4">
        <v>4306924</v>
      </c>
      <c r="F4208" s="11" t="s">
        <v>8440</v>
      </c>
      <c r="G4208" s="4" t="s">
        <v>232</v>
      </c>
      <c r="H4208" s="4"/>
    </row>
    <row r="4209" s="1" customFormat="1" spans="1:8">
      <c r="A4209" s="4" t="s">
        <v>205</v>
      </c>
      <c r="B4209" s="4" t="s">
        <v>88</v>
      </c>
      <c r="C4209" s="4" t="s">
        <v>89</v>
      </c>
      <c r="D4209" s="11" t="s">
        <v>8441</v>
      </c>
      <c r="E4209" s="4">
        <v>4306957</v>
      </c>
      <c r="F4209" s="11" t="s">
        <v>8442</v>
      </c>
      <c r="G4209" s="4" t="s">
        <v>232</v>
      </c>
      <c r="H4209" s="4"/>
    </row>
    <row r="4210" s="1" customFormat="1" spans="1:8">
      <c r="A4210" s="4" t="s">
        <v>205</v>
      </c>
      <c r="B4210" s="4" t="s">
        <v>88</v>
      </c>
      <c r="C4210" s="4" t="s">
        <v>89</v>
      </c>
      <c r="D4210" s="11" t="s">
        <v>8443</v>
      </c>
      <c r="E4210" s="4">
        <v>4306932</v>
      </c>
      <c r="F4210" s="11" t="s">
        <v>8444</v>
      </c>
      <c r="G4210" s="4" t="s">
        <v>232</v>
      </c>
      <c r="H4210" s="4"/>
    </row>
    <row r="4211" s="1" customFormat="1" spans="1:8">
      <c r="A4211" s="4" t="s">
        <v>205</v>
      </c>
      <c r="B4211" s="4" t="s">
        <v>88</v>
      </c>
      <c r="C4211" s="4" t="s">
        <v>89</v>
      </c>
      <c r="D4211" s="11" t="s">
        <v>8445</v>
      </c>
      <c r="E4211" s="4">
        <v>4306973</v>
      </c>
      <c r="F4211" s="11" t="s">
        <v>8446</v>
      </c>
      <c r="G4211" s="4" t="s">
        <v>232</v>
      </c>
      <c r="H4211" s="4"/>
    </row>
    <row r="4212" s="1" customFormat="1" spans="1:8">
      <c r="A4212" s="4" t="s">
        <v>205</v>
      </c>
      <c r="B4212" s="4" t="s">
        <v>88</v>
      </c>
      <c r="C4212" s="4" t="s">
        <v>89</v>
      </c>
      <c r="D4212" s="11" t="s">
        <v>8447</v>
      </c>
      <c r="E4212" s="4">
        <v>4307005</v>
      </c>
      <c r="F4212" s="11" t="s">
        <v>8448</v>
      </c>
      <c r="G4212" s="4" t="s">
        <v>232</v>
      </c>
      <c r="H4212" s="4"/>
    </row>
    <row r="4213" s="1" customFormat="1" spans="1:8">
      <c r="A4213" s="4" t="s">
        <v>205</v>
      </c>
      <c r="B4213" s="4" t="s">
        <v>88</v>
      </c>
      <c r="C4213" s="4" t="s">
        <v>89</v>
      </c>
      <c r="D4213" s="11" t="s">
        <v>8449</v>
      </c>
      <c r="E4213" s="4">
        <v>4307054</v>
      </c>
      <c r="F4213" s="11" t="s">
        <v>8450</v>
      </c>
      <c r="G4213" s="4" t="s">
        <v>232</v>
      </c>
      <c r="H4213" s="4"/>
    </row>
    <row r="4214" s="1" customFormat="1" spans="1:8">
      <c r="A4214" s="4" t="s">
        <v>205</v>
      </c>
      <c r="B4214" s="4" t="s">
        <v>88</v>
      </c>
      <c r="C4214" s="4" t="s">
        <v>89</v>
      </c>
      <c r="D4214" s="11" t="s">
        <v>8451</v>
      </c>
      <c r="E4214" s="4">
        <v>4307203</v>
      </c>
      <c r="F4214" s="11" t="s">
        <v>8452</v>
      </c>
      <c r="G4214" s="4" t="s">
        <v>232</v>
      </c>
      <c r="H4214" s="4"/>
    </row>
    <row r="4215" s="1" customFormat="1" spans="1:8">
      <c r="A4215" s="4" t="s">
        <v>205</v>
      </c>
      <c r="B4215" s="4" t="s">
        <v>88</v>
      </c>
      <c r="C4215" s="4" t="s">
        <v>89</v>
      </c>
      <c r="D4215" s="11" t="s">
        <v>8453</v>
      </c>
      <c r="E4215" s="4">
        <v>4307302</v>
      </c>
      <c r="F4215" s="11" t="s">
        <v>8454</v>
      </c>
      <c r="G4215" s="4" t="s">
        <v>232</v>
      </c>
      <c r="H4215" s="4"/>
    </row>
    <row r="4216" s="1" customFormat="1" spans="1:8">
      <c r="A4216" s="4" t="s">
        <v>205</v>
      </c>
      <c r="B4216" s="4" t="s">
        <v>88</v>
      </c>
      <c r="C4216" s="4" t="s">
        <v>89</v>
      </c>
      <c r="D4216" s="11" t="s">
        <v>8455</v>
      </c>
      <c r="E4216" s="4">
        <v>4307401</v>
      </c>
      <c r="F4216" s="11" t="s">
        <v>8456</v>
      </c>
      <c r="G4216" s="4" t="s">
        <v>232</v>
      </c>
      <c r="H4216" s="4"/>
    </row>
    <row r="4217" s="1" customFormat="1" spans="1:8">
      <c r="A4217" s="4" t="s">
        <v>205</v>
      </c>
      <c r="B4217" s="4" t="s">
        <v>88</v>
      </c>
      <c r="C4217" s="4" t="s">
        <v>89</v>
      </c>
      <c r="D4217" s="11" t="s">
        <v>8457</v>
      </c>
      <c r="E4217" s="4">
        <v>4307500</v>
      </c>
      <c r="F4217" s="11" t="s">
        <v>8458</v>
      </c>
      <c r="G4217" s="4" t="s">
        <v>232</v>
      </c>
      <c r="H4217" s="4"/>
    </row>
    <row r="4218" s="1" customFormat="1" spans="1:8">
      <c r="A4218" s="4" t="s">
        <v>205</v>
      </c>
      <c r="B4218" s="4" t="s">
        <v>88</v>
      </c>
      <c r="C4218" s="4" t="s">
        <v>89</v>
      </c>
      <c r="D4218" s="11" t="s">
        <v>8459</v>
      </c>
      <c r="E4218" s="4">
        <v>4307559</v>
      </c>
      <c r="F4218" s="11" t="s">
        <v>8460</v>
      </c>
      <c r="G4218" s="4" t="s">
        <v>232</v>
      </c>
      <c r="H4218" s="4"/>
    </row>
    <row r="4219" s="1" customFormat="1" spans="1:8">
      <c r="A4219" s="4" t="s">
        <v>205</v>
      </c>
      <c r="B4219" s="4" t="s">
        <v>88</v>
      </c>
      <c r="C4219" s="4" t="s">
        <v>89</v>
      </c>
      <c r="D4219" s="11" t="s">
        <v>8461</v>
      </c>
      <c r="E4219" s="4">
        <v>4307815</v>
      </c>
      <c r="F4219" s="11" t="s">
        <v>8462</v>
      </c>
      <c r="G4219" s="4" t="s">
        <v>232</v>
      </c>
      <c r="H4219" s="4"/>
    </row>
    <row r="4220" s="1" customFormat="1" spans="1:8">
      <c r="A4220" s="4" t="s">
        <v>205</v>
      </c>
      <c r="B4220" s="4" t="s">
        <v>88</v>
      </c>
      <c r="C4220" s="4" t="s">
        <v>89</v>
      </c>
      <c r="D4220" s="11" t="s">
        <v>8463</v>
      </c>
      <c r="E4220" s="4">
        <v>4307831</v>
      </c>
      <c r="F4220" s="11" t="s">
        <v>8464</v>
      </c>
      <c r="G4220" s="4" t="s">
        <v>232</v>
      </c>
      <c r="H4220" s="4"/>
    </row>
    <row r="4221" s="1" customFormat="1" spans="1:8">
      <c r="A4221" s="4" t="s">
        <v>205</v>
      </c>
      <c r="B4221" s="4" t="s">
        <v>88</v>
      </c>
      <c r="C4221" s="4" t="s">
        <v>89</v>
      </c>
      <c r="D4221" s="11" t="s">
        <v>8465</v>
      </c>
      <c r="E4221" s="4">
        <v>4308003</v>
      </c>
      <c r="F4221" s="11" t="s">
        <v>8466</v>
      </c>
      <c r="G4221" s="4" t="s">
        <v>232</v>
      </c>
      <c r="H4221" s="4"/>
    </row>
    <row r="4222" s="1" customFormat="1" spans="1:8">
      <c r="A4222" s="4" t="s">
        <v>205</v>
      </c>
      <c r="B4222" s="4" t="s">
        <v>88</v>
      </c>
      <c r="C4222" s="4" t="s">
        <v>89</v>
      </c>
      <c r="D4222" s="11" t="s">
        <v>8467</v>
      </c>
      <c r="E4222" s="4">
        <v>4308052</v>
      </c>
      <c r="F4222" s="11" t="s">
        <v>8468</v>
      </c>
      <c r="G4222" s="4" t="s">
        <v>232</v>
      </c>
      <c r="H4222" s="4"/>
    </row>
    <row r="4223" s="1" customFormat="1" spans="1:8">
      <c r="A4223" s="4" t="s">
        <v>205</v>
      </c>
      <c r="B4223" s="4" t="s">
        <v>88</v>
      </c>
      <c r="C4223" s="4" t="s">
        <v>89</v>
      </c>
      <c r="D4223" s="11" t="s">
        <v>8469</v>
      </c>
      <c r="E4223" s="4">
        <v>4308250</v>
      </c>
      <c r="F4223" s="11" t="s">
        <v>8470</v>
      </c>
      <c r="G4223" s="4" t="s">
        <v>232</v>
      </c>
      <c r="H4223" s="4"/>
    </row>
    <row r="4224" s="1" customFormat="1" spans="1:8">
      <c r="A4224" s="4" t="s">
        <v>205</v>
      </c>
      <c r="B4224" s="4" t="s">
        <v>88</v>
      </c>
      <c r="C4224" s="4" t="s">
        <v>89</v>
      </c>
      <c r="D4224" s="11" t="s">
        <v>8471</v>
      </c>
      <c r="E4224" s="4">
        <v>4308409</v>
      </c>
      <c r="F4224" s="11" t="s">
        <v>8472</v>
      </c>
      <c r="G4224" s="4" t="s">
        <v>232</v>
      </c>
      <c r="H4224" s="4"/>
    </row>
    <row r="4225" s="1" customFormat="1" spans="1:8">
      <c r="A4225" s="4" t="s">
        <v>205</v>
      </c>
      <c r="B4225" s="4" t="s">
        <v>88</v>
      </c>
      <c r="C4225" s="4" t="s">
        <v>89</v>
      </c>
      <c r="D4225" s="11" t="s">
        <v>8473</v>
      </c>
      <c r="E4225" s="4">
        <v>4308458</v>
      </c>
      <c r="F4225" s="11" t="s">
        <v>8474</v>
      </c>
      <c r="G4225" s="4" t="s">
        <v>232</v>
      </c>
      <c r="H4225" s="4"/>
    </row>
    <row r="4226" s="1" customFormat="1" spans="1:8">
      <c r="A4226" s="4" t="s">
        <v>205</v>
      </c>
      <c r="B4226" s="4" t="s">
        <v>88</v>
      </c>
      <c r="C4226" s="4" t="s">
        <v>89</v>
      </c>
      <c r="D4226" s="11" t="s">
        <v>8475</v>
      </c>
      <c r="E4226" s="4">
        <v>4308508</v>
      </c>
      <c r="F4226" s="11" t="s">
        <v>8476</v>
      </c>
      <c r="G4226" s="4" t="s">
        <v>232</v>
      </c>
      <c r="H4226" s="4"/>
    </row>
    <row r="4227" s="1" customFormat="1" spans="1:8">
      <c r="A4227" s="4" t="s">
        <v>205</v>
      </c>
      <c r="B4227" s="4" t="s">
        <v>88</v>
      </c>
      <c r="C4227" s="4" t="s">
        <v>89</v>
      </c>
      <c r="D4227" s="11" t="s">
        <v>8477</v>
      </c>
      <c r="E4227" s="4">
        <v>4308706</v>
      </c>
      <c r="F4227" s="11" t="s">
        <v>8478</v>
      </c>
      <c r="G4227" s="4" t="s">
        <v>232</v>
      </c>
      <c r="H4227" s="4"/>
    </row>
    <row r="4228" s="1" customFormat="1" spans="1:8">
      <c r="A4228" s="4" t="s">
        <v>205</v>
      </c>
      <c r="B4228" s="4" t="s">
        <v>88</v>
      </c>
      <c r="C4228" s="4" t="s">
        <v>89</v>
      </c>
      <c r="D4228" s="11" t="s">
        <v>8479</v>
      </c>
      <c r="E4228" s="4">
        <v>4308854</v>
      </c>
      <c r="F4228" s="11" t="s">
        <v>8480</v>
      </c>
      <c r="G4228" s="4" t="s">
        <v>232</v>
      </c>
      <c r="H4228" s="4"/>
    </row>
    <row r="4229" s="1" customFormat="1" spans="1:8">
      <c r="A4229" s="4" t="s">
        <v>205</v>
      </c>
      <c r="B4229" s="4" t="s">
        <v>88</v>
      </c>
      <c r="C4229" s="4" t="s">
        <v>89</v>
      </c>
      <c r="D4229" s="11" t="s">
        <v>8481</v>
      </c>
      <c r="E4229" s="4">
        <v>4308904</v>
      </c>
      <c r="F4229" s="11" t="s">
        <v>8482</v>
      </c>
      <c r="G4229" s="4" t="s">
        <v>232</v>
      </c>
      <c r="H4229" s="4"/>
    </row>
    <row r="4230" s="1" customFormat="1" spans="1:8">
      <c r="A4230" s="4" t="s">
        <v>205</v>
      </c>
      <c r="B4230" s="4" t="s">
        <v>88</v>
      </c>
      <c r="C4230" s="4" t="s">
        <v>89</v>
      </c>
      <c r="D4230" s="11" t="s">
        <v>8483</v>
      </c>
      <c r="E4230" s="4">
        <v>4309001</v>
      </c>
      <c r="F4230" s="11" t="s">
        <v>8484</v>
      </c>
      <c r="G4230" s="4" t="s">
        <v>232</v>
      </c>
      <c r="H4230" s="4"/>
    </row>
    <row r="4231" s="1" customFormat="1" spans="1:8">
      <c r="A4231" s="4" t="s">
        <v>205</v>
      </c>
      <c r="B4231" s="4" t="s">
        <v>88</v>
      </c>
      <c r="C4231" s="4" t="s">
        <v>89</v>
      </c>
      <c r="D4231" s="11" t="s">
        <v>8485</v>
      </c>
      <c r="E4231" s="4">
        <v>4309126</v>
      </c>
      <c r="F4231" s="11" t="s">
        <v>8486</v>
      </c>
      <c r="G4231" s="4" t="s">
        <v>232</v>
      </c>
      <c r="H4231" s="4"/>
    </row>
    <row r="4232" s="1" customFormat="1" spans="1:8">
      <c r="A4232" s="4" t="s">
        <v>205</v>
      </c>
      <c r="B4232" s="4" t="s">
        <v>88</v>
      </c>
      <c r="C4232" s="4" t="s">
        <v>89</v>
      </c>
      <c r="D4232" s="11" t="s">
        <v>8487</v>
      </c>
      <c r="E4232" s="4">
        <v>4307104</v>
      </c>
      <c r="F4232" s="11" t="s">
        <v>8488</v>
      </c>
      <c r="G4232" s="4" t="s">
        <v>232</v>
      </c>
      <c r="H4232" s="4"/>
    </row>
    <row r="4233" s="1" customFormat="1" spans="1:8">
      <c r="A4233" s="4" t="s">
        <v>205</v>
      </c>
      <c r="B4233" s="4" t="s">
        <v>88</v>
      </c>
      <c r="C4233" s="4" t="s">
        <v>89</v>
      </c>
      <c r="D4233" s="11" t="s">
        <v>8489</v>
      </c>
      <c r="E4233" s="4">
        <v>4309654</v>
      </c>
      <c r="F4233" s="11" t="s">
        <v>8490</v>
      </c>
      <c r="G4233" s="4" t="s">
        <v>232</v>
      </c>
      <c r="H4233" s="4"/>
    </row>
    <row r="4234" s="1" customFormat="1" spans="1:8">
      <c r="A4234" s="4" t="s">
        <v>205</v>
      </c>
      <c r="B4234" s="4" t="s">
        <v>88</v>
      </c>
      <c r="C4234" s="4" t="s">
        <v>89</v>
      </c>
      <c r="D4234" s="11" t="s">
        <v>487</v>
      </c>
      <c r="E4234" s="4">
        <v>4309704</v>
      </c>
      <c r="F4234" s="11" t="s">
        <v>8491</v>
      </c>
      <c r="G4234" s="4" t="s">
        <v>232</v>
      </c>
      <c r="H4234" s="4"/>
    </row>
    <row r="4235" s="1" customFormat="1" spans="1:8">
      <c r="A4235" s="4" t="s">
        <v>205</v>
      </c>
      <c r="B4235" s="4" t="s">
        <v>88</v>
      </c>
      <c r="C4235" s="4" t="s">
        <v>89</v>
      </c>
      <c r="D4235" s="11" t="s">
        <v>8492</v>
      </c>
      <c r="E4235" s="4">
        <v>4309753</v>
      </c>
      <c r="F4235" s="11" t="s">
        <v>8493</v>
      </c>
      <c r="G4235" s="4" t="s">
        <v>232</v>
      </c>
      <c r="H4235" s="4"/>
    </row>
    <row r="4236" s="1" customFormat="1" spans="1:8">
      <c r="A4236" s="4" t="s">
        <v>205</v>
      </c>
      <c r="B4236" s="4" t="s">
        <v>88</v>
      </c>
      <c r="C4236" s="4" t="s">
        <v>89</v>
      </c>
      <c r="D4236" s="11" t="s">
        <v>8494</v>
      </c>
      <c r="E4236" s="4">
        <v>4309803</v>
      </c>
      <c r="F4236" s="11" t="s">
        <v>8495</v>
      </c>
      <c r="G4236" s="4" t="s">
        <v>232</v>
      </c>
      <c r="H4236" s="4"/>
    </row>
    <row r="4237" s="1" customFormat="1" spans="1:8">
      <c r="A4237" s="4" t="s">
        <v>205</v>
      </c>
      <c r="B4237" s="4" t="s">
        <v>88</v>
      </c>
      <c r="C4237" s="4" t="s">
        <v>89</v>
      </c>
      <c r="D4237" s="11" t="s">
        <v>8496</v>
      </c>
      <c r="E4237" s="4">
        <v>4309902</v>
      </c>
      <c r="F4237" s="11" t="s">
        <v>8497</v>
      </c>
      <c r="G4237" s="4" t="s">
        <v>232</v>
      </c>
      <c r="H4237" s="4"/>
    </row>
    <row r="4238" s="1" customFormat="1" spans="1:8">
      <c r="A4238" s="4" t="s">
        <v>205</v>
      </c>
      <c r="B4238" s="4" t="s">
        <v>88</v>
      </c>
      <c r="C4238" s="4" t="s">
        <v>89</v>
      </c>
      <c r="D4238" s="11" t="s">
        <v>8498</v>
      </c>
      <c r="E4238" s="4">
        <v>4309951</v>
      </c>
      <c r="F4238" s="11" t="s">
        <v>8499</v>
      </c>
      <c r="G4238" s="4" t="s">
        <v>232</v>
      </c>
      <c r="H4238" s="4"/>
    </row>
    <row r="4239" s="1" customFormat="1" spans="1:8">
      <c r="A4239" s="4" t="s">
        <v>205</v>
      </c>
      <c r="B4239" s="4" t="s">
        <v>88</v>
      </c>
      <c r="C4239" s="4" t="s">
        <v>89</v>
      </c>
      <c r="D4239" s="11" t="s">
        <v>8500</v>
      </c>
      <c r="E4239" s="4">
        <v>4310009</v>
      </c>
      <c r="F4239" s="11" t="s">
        <v>8501</v>
      </c>
      <c r="G4239" s="4" t="s">
        <v>232</v>
      </c>
      <c r="H4239" s="4"/>
    </row>
    <row r="4240" s="1" customFormat="1" spans="1:8">
      <c r="A4240" s="4" t="s">
        <v>205</v>
      </c>
      <c r="B4240" s="4" t="s">
        <v>88</v>
      </c>
      <c r="C4240" s="4" t="s">
        <v>89</v>
      </c>
      <c r="D4240" s="11" t="s">
        <v>8502</v>
      </c>
      <c r="E4240" s="4">
        <v>4310207</v>
      </c>
      <c r="F4240" s="11" t="s">
        <v>8503</v>
      </c>
      <c r="G4240" s="4" t="s">
        <v>232</v>
      </c>
      <c r="H4240" s="4"/>
    </row>
    <row r="4241" s="1" customFormat="1" spans="1:8">
      <c r="A4241" s="4" t="s">
        <v>205</v>
      </c>
      <c r="B4241" s="4" t="s">
        <v>88</v>
      </c>
      <c r="C4241" s="4" t="s">
        <v>89</v>
      </c>
      <c r="D4241" s="11" t="s">
        <v>1625</v>
      </c>
      <c r="E4241" s="4">
        <v>4310405</v>
      </c>
      <c r="F4241" s="11" t="s">
        <v>8504</v>
      </c>
      <c r="G4241" s="4" t="s">
        <v>232</v>
      </c>
      <c r="H4241" s="4"/>
    </row>
    <row r="4242" s="1" customFormat="1" spans="1:8">
      <c r="A4242" s="4" t="s">
        <v>205</v>
      </c>
      <c r="B4242" s="4" t="s">
        <v>88</v>
      </c>
      <c r="C4242" s="4" t="s">
        <v>89</v>
      </c>
      <c r="D4242" s="11" t="s">
        <v>8505</v>
      </c>
      <c r="E4242" s="4">
        <v>4310413</v>
      </c>
      <c r="F4242" s="11" t="s">
        <v>8506</v>
      </c>
      <c r="G4242" s="4" t="s">
        <v>232</v>
      </c>
      <c r="H4242" s="4"/>
    </row>
    <row r="4243" s="1" customFormat="1" spans="1:8">
      <c r="A4243" s="4" t="s">
        <v>205</v>
      </c>
      <c r="B4243" s="4" t="s">
        <v>88</v>
      </c>
      <c r="C4243" s="4" t="s">
        <v>89</v>
      </c>
      <c r="D4243" s="11" t="s">
        <v>8507</v>
      </c>
      <c r="E4243" s="4">
        <v>4310462</v>
      </c>
      <c r="F4243" s="11" t="s">
        <v>8508</v>
      </c>
      <c r="G4243" s="4" t="s">
        <v>232</v>
      </c>
      <c r="H4243" s="4"/>
    </row>
    <row r="4244" s="1" customFormat="1" spans="1:8">
      <c r="A4244" s="4" t="s">
        <v>205</v>
      </c>
      <c r="B4244" s="4" t="s">
        <v>88</v>
      </c>
      <c r="C4244" s="4" t="s">
        <v>89</v>
      </c>
      <c r="D4244" s="11" t="s">
        <v>8509</v>
      </c>
      <c r="E4244" s="4">
        <v>4310504</v>
      </c>
      <c r="F4244" s="11" t="s">
        <v>8510</v>
      </c>
      <c r="G4244" s="4" t="s">
        <v>232</v>
      </c>
      <c r="H4244" s="4"/>
    </row>
    <row r="4245" s="1" customFormat="1" spans="1:8">
      <c r="A4245" s="4" t="s">
        <v>205</v>
      </c>
      <c r="B4245" s="4" t="s">
        <v>88</v>
      </c>
      <c r="C4245" s="4" t="s">
        <v>89</v>
      </c>
      <c r="D4245" s="11" t="s">
        <v>8511</v>
      </c>
      <c r="E4245" s="4">
        <v>4310538</v>
      </c>
      <c r="F4245" s="11" t="s">
        <v>8512</v>
      </c>
      <c r="G4245" s="4" t="s">
        <v>232</v>
      </c>
      <c r="H4245" s="4"/>
    </row>
    <row r="4246" s="1" customFormat="1" spans="1:8">
      <c r="A4246" s="4" t="s">
        <v>205</v>
      </c>
      <c r="B4246" s="4" t="s">
        <v>88</v>
      </c>
      <c r="C4246" s="4" t="s">
        <v>89</v>
      </c>
      <c r="D4246" s="11" t="s">
        <v>8513</v>
      </c>
      <c r="E4246" s="4">
        <v>4310702</v>
      </c>
      <c r="F4246" s="11" t="s">
        <v>8514</v>
      </c>
      <c r="G4246" s="4" t="s">
        <v>232</v>
      </c>
      <c r="H4246" s="4"/>
    </row>
    <row r="4247" s="1" customFormat="1" spans="1:8">
      <c r="A4247" s="4" t="s">
        <v>205</v>
      </c>
      <c r="B4247" s="4" t="s">
        <v>88</v>
      </c>
      <c r="C4247" s="4" t="s">
        <v>89</v>
      </c>
      <c r="D4247" s="11" t="s">
        <v>8515</v>
      </c>
      <c r="E4247" s="4">
        <v>4310751</v>
      </c>
      <c r="F4247" s="11" t="s">
        <v>8516</v>
      </c>
      <c r="G4247" s="4" t="s">
        <v>232</v>
      </c>
      <c r="H4247" s="4"/>
    </row>
    <row r="4248" s="1" customFormat="1" spans="1:8">
      <c r="A4248" s="4" t="s">
        <v>205</v>
      </c>
      <c r="B4248" s="4" t="s">
        <v>88</v>
      </c>
      <c r="C4248" s="4" t="s">
        <v>89</v>
      </c>
      <c r="D4248" s="11" t="s">
        <v>8517</v>
      </c>
      <c r="E4248" s="4">
        <v>4310850</v>
      </c>
      <c r="F4248" s="11" t="s">
        <v>8518</v>
      </c>
      <c r="G4248" s="4" t="s">
        <v>232</v>
      </c>
      <c r="H4248" s="4"/>
    </row>
    <row r="4249" s="1" customFormat="1" spans="1:8">
      <c r="A4249" s="4" t="s">
        <v>205</v>
      </c>
      <c r="B4249" s="4" t="s">
        <v>88</v>
      </c>
      <c r="C4249" s="4" t="s">
        <v>89</v>
      </c>
      <c r="D4249" s="11" t="s">
        <v>8519</v>
      </c>
      <c r="E4249" s="4">
        <v>4310876</v>
      </c>
      <c r="F4249" s="11" t="s">
        <v>8520</v>
      </c>
      <c r="G4249" s="4" t="s">
        <v>232</v>
      </c>
      <c r="H4249" s="4"/>
    </row>
    <row r="4250" s="1" customFormat="1" spans="1:8">
      <c r="A4250" s="4" t="s">
        <v>205</v>
      </c>
      <c r="B4250" s="4" t="s">
        <v>88</v>
      </c>
      <c r="C4250" s="4" t="s">
        <v>89</v>
      </c>
      <c r="D4250" s="11" t="s">
        <v>3962</v>
      </c>
      <c r="E4250" s="4">
        <v>4310900</v>
      </c>
      <c r="F4250" s="11" t="s">
        <v>8521</v>
      </c>
      <c r="G4250" s="4" t="s">
        <v>232</v>
      </c>
      <c r="H4250" s="4"/>
    </row>
    <row r="4251" s="1" customFormat="1" spans="1:8">
      <c r="A4251" s="4" t="s">
        <v>205</v>
      </c>
      <c r="B4251" s="4" t="s">
        <v>88</v>
      </c>
      <c r="C4251" s="4" t="s">
        <v>89</v>
      </c>
      <c r="D4251" s="11" t="s">
        <v>8522</v>
      </c>
      <c r="E4251" s="4">
        <v>4311106</v>
      </c>
      <c r="F4251" s="11" t="s">
        <v>8523</v>
      </c>
      <c r="G4251" s="4" t="s">
        <v>232</v>
      </c>
      <c r="H4251" s="4"/>
    </row>
    <row r="4252" s="1" customFormat="1" spans="1:8">
      <c r="A4252" s="4" t="s">
        <v>205</v>
      </c>
      <c r="B4252" s="4" t="s">
        <v>88</v>
      </c>
      <c r="C4252" s="4" t="s">
        <v>89</v>
      </c>
      <c r="D4252" s="11" t="s">
        <v>8524</v>
      </c>
      <c r="E4252" s="4">
        <v>4311007</v>
      </c>
      <c r="F4252" s="11" t="s">
        <v>8525</v>
      </c>
      <c r="G4252" s="4" t="s">
        <v>232</v>
      </c>
      <c r="H4252" s="4"/>
    </row>
    <row r="4253" s="1" customFormat="1" spans="1:8">
      <c r="A4253" s="4" t="s">
        <v>205</v>
      </c>
      <c r="B4253" s="4" t="s">
        <v>88</v>
      </c>
      <c r="C4253" s="4" t="s">
        <v>89</v>
      </c>
      <c r="D4253" s="11" t="s">
        <v>8526</v>
      </c>
      <c r="E4253" s="4">
        <v>4311130</v>
      </c>
      <c r="F4253" s="11" t="s">
        <v>8527</v>
      </c>
      <c r="G4253" s="4" t="s">
        <v>232</v>
      </c>
      <c r="H4253" s="4"/>
    </row>
    <row r="4254" s="1" customFormat="1" spans="1:8">
      <c r="A4254" s="4" t="s">
        <v>205</v>
      </c>
      <c r="B4254" s="4" t="s">
        <v>88</v>
      </c>
      <c r="C4254" s="4" t="s">
        <v>89</v>
      </c>
      <c r="D4254" s="11" t="s">
        <v>8528</v>
      </c>
      <c r="E4254" s="4">
        <v>4311155</v>
      </c>
      <c r="F4254" s="11" t="s">
        <v>8529</v>
      </c>
      <c r="G4254" s="4" t="s">
        <v>232</v>
      </c>
      <c r="H4254" s="4"/>
    </row>
    <row r="4255" s="1" customFormat="1" spans="1:8">
      <c r="A4255" s="4" t="s">
        <v>205</v>
      </c>
      <c r="B4255" s="4" t="s">
        <v>88</v>
      </c>
      <c r="C4255" s="4" t="s">
        <v>89</v>
      </c>
      <c r="D4255" s="11" t="s">
        <v>8530</v>
      </c>
      <c r="E4255" s="4">
        <v>4311205</v>
      </c>
      <c r="F4255" s="11" t="s">
        <v>8531</v>
      </c>
      <c r="G4255" s="4" t="s">
        <v>232</v>
      </c>
      <c r="H4255" s="4"/>
    </row>
    <row r="4256" s="1" customFormat="1" spans="1:8">
      <c r="A4256" s="4" t="s">
        <v>205</v>
      </c>
      <c r="B4256" s="4" t="s">
        <v>88</v>
      </c>
      <c r="C4256" s="4" t="s">
        <v>89</v>
      </c>
      <c r="D4256" s="11" t="s">
        <v>8532</v>
      </c>
      <c r="E4256" s="4">
        <v>4311270</v>
      </c>
      <c r="F4256" s="11" t="s">
        <v>8533</v>
      </c>
      <c r="G4256" s="4" t="s">
        <v>232</v>
      </c>
      <c r="H4256" s="4"/>
    </row>
    <row r="4257" s="1" customFormat="1" spans="1:8">
      <c r="A4257" s="4" t="s">
        <v>205</v>
      </c>
      <c r="B4257" s="4" t="s">
        <v>88</v>
      </c>
      <c r="C4257" s="4" t="s">
        <v>89</v>
      </c>
      <c r="D4257" s="11" t="s">
        <v>8534</v>
      </c>
      <c r="E4257" s="4">
        <v>4311304</v>
      </c>
      <c r="F4257" s="11" t="s">
        <v>8535</v>
      </c>
      <c r="G4257" s="4" t="s">
        <v>232</v>
      </c>
      <c r="H4257" s="4"/>
    </row>
    <row r="4258" s="1" customFormat="1" spans="1:8">
      <c r="A4258" s="4" t="s">
        <v>205</v>
      </c>
      <c r="B4258" s="4" t="s">
        <v>88</v>
      </c>
      <c r="C4258" s="4" t="s">
        <v>89</v>
      </c>
      <c r="D4258" s="11" t="s">
        <v>8536</v>
      </c>
      <c r="E4258" s="4">
        <v>4311254</v>
      </c>
      <c r="F4258" s="11" t="s">
        <v>8537</v>
      </c>
      <c r="G4258" s="4" t="s">
        <v>232</v>
      </c>
      <c r="H4258" s="4"/>
    </row>
    <row r="4259" s="1" customFormat="1" spans="1:8">
      <c r="A4259" s="4" t="s">
        <v>205</v>
      </c>
      <c r="B4259" s="4" t="s">
        <v>88</v>
      </c>
      <c r="C4259" s="4" t="s">
        <v>89</v>
      </c>
      <c r="D4259" s="11" t="s">
        <v>8538</v>
      </c>
      <c r="E4259" s="4">
        <v>4311429</v>
      </c>
      <c r="F4259" s="11" t="s">
        <v>8539</v>
      </c>
      <c r="G4259" s="4" t="s">
        <v>232</v>
      </c>
      <c r="H4259" s="4"/>
    </row>
    <row r="4260" s="1" customFormat="1" spans="1:8">
      <c r="A4260" s="4" t="s">
        <v>205</v>
      </c>
      <c r="B4260" s="4" t="s">
        <v>88</v>
      </c>
      <c r="C4260" s="4" t="s">
        <v>89</v>
      </c>
      <c r="D4260" s="11" t="s">
        <v>8540</v>
      </c>
      <c r="E4260" s="4">
        <v>4311502</v>
      </c>
      <c r="F4260" s="11" t="s">
        <v>8541</v>
      </c>
      <c r="G4260" s="4" t="s">
        <v>232</v>
      </c>
      <c r="H4260" s="4"/>
    </row>
    <row r="4261" s="1" customFormat="1" spans="1:8">
      <c r="A4261" s="4" t="s">
        <v>205</v>
      </c>
      <c r="B4261" s="4" t="s">
        <v>88</v>
      </c>
      <c r="C4261" s="4" t="s">
        <v>89</v>
      </c>
      <c r="D4261" s="11" t="s">
        <v>8542</v>
      </c>
      <c r="E4261" s="4">
        <v>4311601</v>
      </c>
      <c r="F4261" s="11" t="s">
        <v>8543</v>
      </c>
      <c r="G4261" s="4" t="s">
        <v>232</v>
      </c>
      <c r="H4261" s="4"/>
    </row>
    <row r="4262" s="1" customFormat="1" spans="1:8">
      <c r="A4262" s="4" t="s">
        <v>205</v>
      </c>
      <c r="B4262" s="4" t="s">
        <v>88</v>
      </c>
      <c r="C4262" s="4" t="s">
        <v>89</v>
      </c>
      <c r="D4262" s="11" t="s">
        <v>8544</v>
      </c>
      <c r="E4262" s="4">
        <v>4311700</v>
      </c>
      <c r="F4262" s="11" t="s">
        <v>8545</v>
      </c>
      <c r="G4262" s="4" t="s">
        <v>232</v>
      </c>
      <c r="H4262" s="4"/>
    </row>
    <row r="4263" s="1" customFormat="1" spans="1:8">
      <c r="A4263" s="4" t="s">
        <v>205</v>
      </c>
      <c r="B4263" s="4" t="s">
        <v>88</v>
      </c>
      <c r="C4263" s="4" t="s">
        <v>89</v>
      </c>
      <c r="D4263" s="11" t="s">
        <v>8546</v>
      </c>
      <c r="E4263" s="4">
        <v>4311759</v>
      </c>
      <c r="F4263" s="11" t="s">
        <v>8547</v>
      </c>
      <c r="G4263" s="4" t="s">
        <v>232</v>
      </c>
      <c r="H4263" s="4"/>
    </row>
    <row r="4264" s="1" customFormat="1" spans="1:8">
      <c r="A4264" s="4" t="s">
        <v>205</v>
      </c>
      <c r="B4264" s="4" t="s">
        <v>88</v>
      </c>
      <c r="C4264" s="4" t="s">
        <v>89</v>
      </c>
      <c r="D4264" s="11" t="s">
        <v>8548</v>
      </c>
      <c r="E4264" s="4">
        <v>4311809</v>
      </c>
      <c r="F4264" s="11" t="s">
        <v>8549</v>
      </c>
      <c r="G4264" s="4" t="s">
        <v>232</v>
      </c>
      <c r="H4264" s="4"/>
    </row>
    <row r="4265" s="1" customFormat="1" spans="1:8">
      <c r="A4265" s="4" t="s">
        <v>205</v>
      </c>
      <c r="B4265" s="4" t="s">
        <v>88</v>
      </c>
      <c r="C4265" s="4" t="s">
        <v>89</v>
      </c>
      <c r="D4265" s="11" t="s">
        <v>8550</v>
      </c>
      <c r="E4265" s="4">
        <v>4311908</v>
      </c>
      <c r="F4265" s="11" t="s">
        <v>8551</v>
      </c>
      <c r="G4265" s="4" t="s">
        <v>232</v>
      </c>
      <c r="H4265" s="4"/>
    </row>
    <row r="4266" s="1" customFormat="1" spans="1:8">
      <c r="A4266" s="4" t="s">
        <v>205</v>
      </c>
      <c r="B4266" s="4" t="s">
        <v>88</v>
      </c>
      <c r="C4266" s="4" t="s">
        <v>89</v>
      </c>
      <c r="D4266" s="11" t="s">
        <v>8552</v>
      </c>
      <c r="E4266" s="4">
        <v>4312005</v>
      </c>
      <c r="F4266" s="11" t="s">
        <v>8553</v>
      </c>
      <c r="G4266" s="4" t="s">
        <v>232</v>
      </c>
      <c r="H4266" s="4"/>
    </row>
    <row r="4267" s="1" customFormat="1" spans="1:8">
      <c r="A4267" s="4" t="s">
        <v>205</v>
      </c>
      <c r="B4267" s="4" t="s">
        <v>88</v>
      </c>
      <c r="C4267" s="4" t="s">
        <v>89</v>
      </c>
      <c r="D4267" s="11" t="s">
        <v>8554</v>
      </c>
      <c r="E4267" s="4">
        <v>4312104</v>
      </c>
      <c r="F4267" s="11" t="s">
        <v>8555</v>
      </c>
      <c r="G4267" s="4" t="s">
        <v>232</v>
      </c>
      <c r="H4267" s="4"/>
    </row>
    <row r="4268" s="1" customFormat="1" spans="1:8">
      <c r="A4268" s="4" t="s">
        <v>205</v>
      </c>
      <c r="B4268" s="4" t="s">
        <v>88</v>
      </c>
      <c r="C4268" s="4" t="s">
        <v>89</v>
      </c>
      <c r="D4268" s="11" t="s">
        <v>8556</v>
      </c>
      <c r="E4268" s="4">
        <v>4312138</v>
      </c>
      <c r="F4268" s="11" t="s">
        <v>8557</v>
      </c>
      <c r="G4268" s="4" t="s">
        <v>232</v>
      </c>
      <c r="H4268" s="4"/>
    </row>
    <row r="4269" s="1" customFormat="1" spans="1:8">
      <c r="A4269" s="4" t="s">
        <v>205</v>
      </c>
      <c r="B4269" s="4" t="s">
        <v>88</v>
      </c>
      <c r="C4269" s="4" t="s">
        <v>89</v>
      </c>
      <c r="D4269" s="11" t="s">
        <v>8558</v>
      </c>
      <c r="E4269" s="4">
        <v>4312203</v>
      </c>
      <c r="F4269" s="11" t="s">
        <v>8559</v>
      </c>
      <c r="G4269" s="4" t="s">
        <v>232</v>
      </c>
      <c r="H4269" s="4"/>
    </row>
    <row r="4270" s="1" customFormat="1" spans="1:8">
      <c r="A4270" s="4" t="s">
        <v>205</v>
      </c>
      <c r="B4270" s="4" t="s">
        <v>88</v>
      </c>
      <c r="C4270" s="4" t="s">
        <v>89</v>
      </c>
      <c r="D4270" s="11" t="s">
        <v>8560</v>
      </c>
      <c r="E4270" s="4">
        <v>4312302</v>
      </c>
      <c r="F4270" s="11" t="s">
        <v>8561</v>
      </c>
      <c r="G4270" s="4" t="s">
        <v>232</v>
      </c>
      <c r="H4270" s="4"/>
    </row>
    <row r="4271" s="1" customFormat="1" spans="1:8">
      <c r="A4271" s="4" t="s">
        <v>205</v>
      </c>
      <c r="B4271" s="4" t="s">
        <v>88</v>
      </c>
      <c r="C4271" s="4" t="s">
        <v>89</v>
      </c>
      <c r="D4271" s="11" t="s">
        <v>8562</v>
      </c>
      <c r="E4271" s="4">
        <v>4312377</v>
      </c>
      <c r="F4271" s="11" t="s">
        <v>8563</v>
      </c>
      <c r="G4271" s="4" t="s">
        <v>232</v>
      </c>
      <c r="H4271" s="4"/>
    </row>
    <row r="4272" s="1" customFormat="1" spans="1:8">
      <c r="A4272" s="4" t="s">
        <v>205</v>
      </c>
      <c r="B4272" s="4" t="s">
        <v>88</v>
      </c>
      <c r="C4272" s="4" t="s">
        <v>89</v>
      </c>
      <c r="D4272" s="11" t="s">
        <v>8564</v>
      </c>
      <c r="E4272" s="4">
        <v>4312427</v>
      </c>
      <c r="F4272" s="11" t="s">
        <v>8565</v>
      </c>
      <c r="G4272" s="4" t="s">
        <v>232</v>
      </c>
      <c r="H4272" s="4"/>
    </row>
    <row r="4273" s="1" customFormat="1" spans="1:8">
      <c r="A4273" s="4" t="s">
        <v>205</v>
      </c>
      <c r="B4273" s="4" t="s">
        <v>88</v>
      </c>
      <c r="C4273" s="4" t="s">
        <v>89</v>
      </c>
      <c r="D4273" s="11" t="s">
        <v>8566</v>
      </c>
      <c r="E4273" s="4">
        <v>4312450</v>
      </c>
      <c r="F4273" s="11" t="s">
        <v>8567</v>
      </c>
      <c r="G4273" s="4" t="s">
        <v>232</v>
      </c>
      <c r="H4273" s="4"/>
    </row>
    <row r="4274" s="1" customFormat="1" spans="1:8">
      <c r="A4274" s="4" t="s">
        <v>205</v>
      </c>
      <c r="B4274" s="4" t="s">
        <v>88</v>
      </c>
      <c r="C4274" s="4" t="s">
        <v>89</v>
      </c>
      <c r="D4274" s="11" t="s">
        <v>8568</v>
      </c>
      <c r="E4274" s="4">
        <v>4312617</v>
      </c>
      <c r="F4274" s="11" t="s">
        <v>8569</v>
      </c>
      <c r="G4274" s="4" t="s">
        <v>232</v>
      </c>
      <c r="H4274" s="4"/>
    </row>
    <row r="4275" s="1" customFormat="1" spans="1:8">
      <c r="A4275" s="4" t="s">
        <v>205</v>
      </c>
      <c r="B4275" s="4" t="s">
        <v>88</v>
      </c>
      <c r="C4275" s="4" t="s">
        <v>89</v>
      </c>
      <c r="D4275" s="11" t="s">
        <v>8570</v>
      </c>
      <c r="E4275" s="4">
        <v>4312625</v>
      </c>
      <c r="F4275" s="11" t="s">
        <v>8571</v>
      </c>
      <c r="G4275" s="4" t="s">
        <v>232</v>
      </c>
      <c r="H4275" s="4"/>
    </row>
    <row r="4276" s="1" customFormat="1" spans="1:8">
      <c r="A4276" s="4" t="s">
        <v>205</v>
      </c>
      <c r="B4276" s="4" t="s">
        <v>88</v>
      </c>
      <c r="C4276" s="4" t="s">
        <v>89</v>
      </c>
      <c r="D4276" s="11" t="s">
        <v>8572</v>
      </c>
      <c r="E4276" s="4">
        <v>4312674</v>
      </c>
      <c r="F4276" s="11" t="s">
        <v>8573</v>
      </c>
      <c r="G4276" s="4" t="s">
        <v>232</v>
      </c>
      <c r="H4276" s="4"/>
    </row>
    <row r="4277" s="1" customFormat="1" spans="1:8">
      <c r="A4277" s="4" t="s">
        <v>205</v>
      </c>
      <c r="B4277" s="4" t="s">
        <v>88</v>
      </c>
      <c r="C4277" s="4" t="s">
        <v>89</v>
      </c>
      <c r="D4277" s="11" t="s">
        <v>8574</v>
      </c>
      <c r="E4277" s="4">
        <v>4312708</v>
      </c>
      <c r="F4277" s="11" t="s">
        <v>8575</v>
      </c>
      <c r="G4277" s="4" t="s">
        <v>232</v>
      </c>
      <c r="H4277" s="4"/>
    </row>
    <row r="4278" s="1" customFormat="1" spans="1:8">
      <c r="A4278" s="4" t="s">
        <v>205</v>
      </c>
      <c r="B4278" s="4" t="s">
        <v>88</v>
      </c>
      <c r="C4278" s="4" t="s">
        <v>89</v>
      </c>
      <c r="D4278" s="11" t="s">
        <v>8576</v>
      </c>
      <c r="E4278" s="4">
        <v>4312757</v>
      </c>
      <c r="F4278" s="11" t="s">
        <v>8577</v>
      </c>
      <c r="G4278" s="4" t="s">
        <v>232</v>
      </c>
      <c r="H4278" s="4"/>
    </row>
    <row r="4279" s="1" customFormat="1" spans="1:8">
      <c r="A4279" s="4" t="s">
        <v>205</v>
      </c>
      <c r="B4279" s="4" t="s">
        <v>88</v>
      </c>
      <c r="C4279" s="4" t="s">
        <v>89</v>
      </c>
      <c r="D4279" s="11" t="s">
        <v>8578</v>
      </c>
      <c r="E4279" s="4">
        <v>4312955</v>
      </c>
      <c r="F4279" s="11" t="s">
        <v>8579</v>
      </c>
      <c r="G4279" s="4" t="s">
        <v>232</v>
      </c>
      <c r="H4279" s="4"/>
    </row>
    <row r="4280" s="1" customFormat="1" spans="1:8">
      <c r="A4280" s="4" t="s">
        <v>205</v>
      </c>
      <c r="B4280" s="4" t="s">
        <v>88</v>
      </c>
      <c r="C4280" s="4" t="s">
        <v>89</v>
      </c>
      <c r="D4280" s="11" t="s">
        <v>8580</v>
      </c>
      <c r="E4280" s="4">
        <v>4313037</v>
      </c>
      <c r="F4280" s="11" t="s">
        <v>8581</v>
      </c>
      <c r="G4280" s="4" t="s">
        <v>232</v>
      </c>
      <c r="H4280" s="4"/>
    </row>
    <row r="4281" s="1" customFormat="1" spans="1:8">
      <c r="A4281" s="4" t="s">
        <v>205</v>
      </c>
      <c r="B4281" s="4" t="s">
        <v>88</v>
      </c>
      <c r="C4281" s="4" t="s">
        <v>89</v>
      </c>
      <c r="D4281" s="11" t="s">
        <v>8582</v>
      </c>
      <c r="E4281" s="4">
        <v>4313102</v>
      </c>
      <c r="F4281" s="11" t="s">
        <v>8583</v>
      </c>
      <c r="G4281" s="4" t="s">
        <v>232</v>
      </c>
      <c r="H4281" s="4"/>
    </row>
    <row r="4282" s="1" customFormat="1" spans="1:8">
      <c r="A4282" s="4" t="s">
        <v>205</v>
      </c>
      <c r="B4282" s="4" t="s">
        <v>88</v>
      </c>
      <c r="C4282" s="4" t="s">
        <v>89</v>
      </c>
      <c r="D4282" s="11" t="s">
        <v>8584</v>
      </c>
      <c r="E4282" s="4">
        <v>4313334</v>
      </c>
      <c r="F4282" s="11" t="s">
        <v>8585</v>
      </c>
      <c r="G4282" s="4" t="s">
        <v>232</v>
      </c>
      <c r="H4282" s="4"/>
    </row>
    <row r="4283" s="1" customFormat="1" spans="1:8">
      <c r="A4283" s="4" t="s">
        <v>205</v>
      </c>
      <c r="B4283" s="4" t="s">
        <v>88</v>
      </c>
      <c r="C4283" s="4" t="s">
        <v>89</v>
      </c>
      <c r="D4283" s="11" t="s">
        <v>8586</v>
      </c>
      <c r="E4283" s="4">
        <v>4313490</v>
      </c>
      <c r="F4283" s="11" t="s">
        <v>8587</v>
      </c>
      <c r="G4283" s="4" t="s">
        <v>232</v>
      </c>
      <c r="H4283" s="4"/>
    </row>
    <row r="4284" s="1" customFormat="1" spans="1:8">
      <c r="A4284" s="4" t="s">
        <v>205</v>
      </c>
      <c r="B4284" s="4" t="s">
        <v>88</v>
      </c>
      <c r="C4284" s="4" t="s">
        <v>89</v>
      </c>
      <c r="D4284" s="11" t="s">
        <v>8588</v>
      </c>
      <c r="E4284" s="4">
        <v>4313441</v>
      </c>
      <c r="F4284" s="11" t="s">
        <v>8589</v>
      </c>
      <c r="G4284" s="4" t="s">
        <v>232</v>
      </c>
      <c r="H4284" s="4"/>
    </row>
    <row r="4285" s="1" customFormat="1" spans="1:8">
      <c r="A4285" s="4" t="s">
        <v>205</v>
      </c>
      <c r="B4285" s="4" t="s">
        <v>88</v>
      </c>
      <c r="C4285" s="4" t="s">
        <v>89</v>
      </c>
      <c r="D4285" s="11" t="s">
        <v>8590</v>
      </c>
      <c r="E4285" s="4">
        <v>4313466</v>
      </c>
      <c r="F4285" s="11" t="s">
        <v>8591</v>
      </c>
      <c r="G4285" s="4" t="s">
        <v>232</v>
      </c>
      <c r="H4285" s="4"/>
    </row>
    <row r="4286" s="1" customFormat="1" spans="1:8">
      <c r="A4286" s="4" t="s">
        <v>205</v>
      </c>
      <c r="B4286" s="4" t="s">
        <v>88</v>
      </c>
      <c r="C4286" s="4" t="s">
        <v>89</v>
      </c>
      <c r="D4286" s="11" t="s">
        <v>8592</v>
      </c>
      <c r="E4286" s="4">
        <v>4312658</v>
      </c>
      <c r="F4286" s="11" t="s">
        <v>8593</v>
      </c>
      <c r="G4286" s="4" t="s">
        <v>232</v>
      </c>
      <c r="H4286" s="4"/>
    </row>
    <row r="4287" s="1" customFormat="1" spans="1:8">
      <c r="A4287" s="4" t="s">
        <v>205</v>
      </c>
      <c r="B4287" s="4" t="s">
        <v>88</v>
      </c>
      <c r="C4287" s="4" t="s">
        <v>89</v>
      </c>
      <c r="D4287" s="11" t="s">
        <v>8594</v>
      </c>
      <c r="E4287" s="4">
        <v>4313607</v>
      </c>
      <c r="F4287" s="11" t="s">
        <v>8595</v>
      </c>
      <c r="G4287" s="4" t="s">
        <v>232</v>
      </c>
      <c r="H4287" s="4"/>
    </row>
    <row r="4288" s="1" customFormat="1" spans="1:8">
      <c r="A4288" s="4" t="s">
        <v>205</v>
      </c>
      <c r="B4288" s="4" t="s">
        <v>88</v>
      </c>
      <c r="C4288" s="4" t="s">
        <v>89</v>
      </c>
      <c r="D4288" s="11" t="s">
        <v>8596</v>
      </c>
      <c r="E4288" s="4">
        <v>4313706</v>
      </c>
      <c r="F4288" s="11" t="s">
        <v>8597</v>
      </c>
      <c r="G4288" s="4" t="s">
        <v>232</v>
      </c>
      <c r="H4288" s="4"/>
    </row>
    <row r="4289" s="1" customFormat="1" spans="1:8">
      <c r="A4289" s="4" t="s">
        <v>205</v>
      </c>
      <c r="B4289" s="4" t="s">
        <v>88</v>
      </c>
      <c r="C4289" s="4" t="s">
        <v>89</v>
      </c>
      <c r="D4289" s="11" t="s">
        <v>8598</v>
      </c>
      <c r="E4289" s="4">
        <v>4313805</v>
      </c>
      <c r="F4289" s="11" t="s">
        <v>8599</v>
      </c>
      <c r="G4289" s="4" t="s">
        <v>232</v>
      </c>
      <c r="H4289" s="4"/>
    </row>
    <row r="4290" s="1" customFormat="1" spans="1:8">
      <c r="A4290" s="4" t="s">
        <v>205</v>
      </c>
      <c r="B4290" s="4" t="s">
        <v>88</v>
      </c>
      <c r="C4290" s="4" t="s">
        <v>89</v>
      </c>
      <c r="D4290" s="11" t="s">
        <v>8600</v>
      </c>
      <c r="E4290" s="4">
        <v>4313904</v>
      </c>
      <c r="F4290" s="11" t="s">
        <v>8601</v>
      </c>
      <c r="G4290" s="4" t="s">
        <v>232</v>
      </c>
      <c r="H4290" s="4"/>
    </row>
    <row r="4291" s="1" customFormat="1" spans="1:8">
      <c r="A4291" s="4" t="s">
        <v>205</v>
      </c>
      <c r="B4291" s="4" t="s">
        <v>88</v>
      </c>
      <c r="C4291" s="4" t="s">
        <v>89</v>
      </c>
      <c r="D4291" s="11" t="s">
        <v>8602</v>
      </c>
      <c r="E4291" s="4">
        <v>4314100</v>
      </c>
      <c r="F4291" s="11" t="s">
        <v>8603</v>
      </c>
      <c r="G4291" s="4" t="s">
        <v>232</v>
      </c>
      <c r="H4291" s="4"/>
    </row>
    <row r="4292" s="1" customFormat="1" spans="1:8">
      <c r="A4292" s="4" t="s">
        <v>205</v>
      </c>
      <c r="B4292" s="4" t="s">
        <v>88</v>
      </c>
      <c r="C4292" s="4" t="s">
        <v>89</v>
      </c>
      <c r="D4292" s="11" t="s">
        <v>8604</v>
      </c>
      <c r="E4292" s="4">
        <v>4314134</v>
      </c>
      <c r="F4292" s="11" t="s">
        <v>8605</v>
      </c>
      <c r="G4292" s="4" t="s">
        <v>232</v>
      </c>
      <c r="H4292" s="4"/>
    </row>
    <row r="4293" s="1" customFormat="1" spans="1:8">
      <c r="A4293" s="4" t="s">
        <v>205</v>
      </c>
      <c r="B4293" s="4" t="s">
        <v>88</v>
      </c>
      <c r="C4293" s="4" t="s">
        <v>89</v>
      </c>
      <c r="D4293" s="11" t="s">
        <v>8606</v>
      </c>
      <c r="E4293" s="4">
        <v>4314175</v>
      </c>
      <c r="F4293" s="11" t="s">
        <v>8607</v>
      </c>
      <c r="G4293" s="4" t="s">
        <v>232</v>
      </c>
      <c r="H4293" s="4"/>
    </row>
    <row r="4294" s="1" customFormat="1" spans="1:8">
      <c r="A4294" s="4" t="s">
        <v>205</v>
      </c>
      <c r="B4294" s="4" t="s">
        <v>88</v>
      </c>
      <c r="C4294" s="4" t="s">
        <v>89</v>
      </c>
      <c r="D4294" s="11" t="s">
        <v>8608</v>
      </c>
      <c r="E4294" s="4">
        <v>4314209</v>
      </c>
      <c r="F4294" s="11" t="s">
        <v>8609</v>
      </c>
      <c r="G4294" s="4" t="s">
        <v>232</v>
      </c>
      <c r="H4294" s="4"/>
    </row>
    <row r="4295" s="1" customFormat="1" spans="1:8">
      <c r="A4295" s="4" t="s">
        <v>205</v>
      </c>
      <c r="B4295" s="4" t="s">
        <v>88</v>
      </c>
      <c r="C4295" s="4" t="s">
        <v>89</v>
      </c>
      <c r="D4295" s="11" t="s">
        <v>8610</v>
      </c>
      <c r="E4295" s="4">
        <v>4314308</v>
      </c>
      <c r="F4295" s="11" t="s">
        <v>8611</v>
      </c>
      <c r="G4295" s="4" t="s">
        <v>232</v>
      </c>
      <c r="H4295" s="4"/>
    </row>
    <row r="4296" s="1" customFormat="1" spans="1:8">
      <c r="A4296" s="4" t="s">
        <v>205</v>
      </c>
      <c r="B4296" s="4" t="s">
        <v>88</v>
      </c>
      <c r="C4296" s="4" t="s">
        <v>89</v>
      </c>
      <c r="D4296" s="11" t="s">
        <v>8612</v>
      </c>
      <c r="E4296" s="4">
        <v>4314407</v>
      </c>
      <c r="F4296" s="11" t="s">
        <v>8613</v>
      </c>
      <c r="G4296" s="4" t="s">
        <v>232</v>
      </c>
      <c r="H4296" s="4"/>
    </row>
    <row r="4297" s="1" customFormat="1" spans="1:8">
      <c r="A4297" s="4" t="s">
        <v>205</v>
      </c>
      <c r="B4297" s="4" t="s">
        <v>88</v>
      </c>
      <c r="C4297" s="4" t="s">
        <v>89</v>
      </c>
      <c r="D4297" s="11" t="s">
        <v>8614</v>
      </c>
      <c r="E4297" s="4">
        <v>4314456</v>
      </c>
      <c r="F4297" s="11" t="s">
        <v>8615</v>
      </c>
      <c r="G4297" s="4" t="s">
        <v>232</v>
      </c>
      <c r="H4297" s="4"/>
    </row>
    <row r="4298" s="1" customFormat="1" spans="1:8">
      <c r="A4298" s="4" t="s">
        <v>205</v>
      </c>
      <c r="B4298" s="4" t="s">
        <v>88</v>
      </c>
      <c r="C4298" s="4" t="s">
        <v>89</v>
      </c>
      <c r="D4298" s="11" t="s">
        <v>8616</v>
      </c>
      <c r="E4298" s="4">
        <v>4314464</v>
      </c>
      <c r="F4298" s="11" t="s">
        <v>8617</v>
      </c>
      <c r="G4298" s="4" t="s">
        <v>232</v>
      </c>
      <c r="H4298" s="4"/>
    </row>
    <row r="4299" s="1" customFormat="1" spans="1:8">
      <c r="A4299" s="4" t="s">
        <v>205</v>
      </c>
      <c r="B4299" s="4" t="s">
        <v>88</v>
      </c>
      <c r="C4299" s="4" t="s">
        <v>89</v>
      </c>
      <c r="D4299" s="11" t="s">
        <v>8618</v>
      </c>
      <c r="E4299" s="4">
        <v>4314472</v>
      </c>
      <c r="F4299" s="11" t="s">
        <v>8619</v>
      </c>
      <c r="G4299" s="4" t="s">
        <v>232</v>
      </c>
      <c r="H4299" s="4"/>
    </row>
    <row r="4300" s="1" customFormat="1" spans="1:8">
      <c r="A4300" s="4" t="s">
        <v>205</v>
      </c>
      <c r="B4300" s="4" t="s">
        <v>88</v>
      </c>
      <c r="C4300" s="4" t="s">
        <v>89</v>
      </c>
      <c r="D4300" s="11" t="s">
        <v>8620</v>
      </c>
      <c r="E4300" s="4">
        <v>4314498</v>
      </c>
      <c r="F4300" s="11" t="s">
        <v>8621</v>
      </c>
      <c r="G4300" s="4" t="s">
        <v>232</v>
      </c>
      <c r="H4300" s="4"/>
    </row>
    <row r="4301" s="1" customFormat="1" spans="1:8">
      <c r="A4301" s="4" t="s">
        <v>205</v>
      </c>
      <c r="B4301" s="4" t="s">
        <v>88</v>
      </c>
      <c r="C4301" s="4" t="s">
        <v>89</v>
      </c>
      <c r="D4301" s="11" t="s">
        <v>8622</v>
      </c>
      <c r="E4301" s="4">
        <v>4314506</v>
      </c>
      <c r="F4301" s="11" t="s">
        <v>8623</v>
      </c>
      <c r="G4301" s="4" t="s">
        <v>232</v>
      </c>
      <c r="H4301" s="4"/>
    </row>
    <row r="4302" s="1" customFormat="1" spans="1:8">
      <c r="A4302" s="4" t="s">
        <v>205</v>
      </c>
      <c r="B4302" s="4" t="s">
        <v>88</v>
      </c>
      <c r="C4302" s="4" t="s">
        <v>89</v>
      </c>
      <c r="D4302" s="11" t="s">
        <v>8624</v>
      </c>
      <c r="E4302" s="4">
        <v>4314605</v>
      </c>
      <c r="F4302" s="11" t="s">
        <v>8625</v>
      </c>
      <c r="G4302" s="4" t="s">
        <v>232</v>
      </c>
      <c r="H4302" s="4"/>
    </row>
    <row r="4303" s="1" customFormat="1" spans="1:8">
      <c r="A4303" s="4" t="s">
        <v>205</v>
      </c>
      <c r="B4303" s="4" t="s">
        <v>88</v>
      </c>
      <c r="C4303" s="4" t="s">
        <v>89</v>
      </c>
      <c r="D4303" s="11" t="s">
        <v>1201</v>
      </c>
      <c r="E4303" s="4">
        <v>4314704</v>
      </c>
      <c r="F4303" s="11" t="s">
        <v>8626</v>
      </c>
      <c r="G4303" s="4" t="s">
        <v>232</v>
      </c>
      <c r="H4303" s="4"/>
    </row>
    <row r="4304" s="1" customFormat="1" spans="1:8">
      <c r="A4304" s="4" t="s">
        <v>205</v>
      </c>
      <c r="B4304" s="4" t="s">
        <v>88</v>
      </c>
      <c r="C4304" s="4" t="s">
        <v>89</v>
      </c>
      <c r="D4304" s="11" t="s">
        <v>8627</v>
      </c>
      <c r="E4304" s="4">
        <v>4314787</v>
      </c>
      <c r="F4304" s="11" t="s">
        <v>8628</v>
      </c>
      <c r="G4304" s="4" t="s">
        <v>232</v>
      </c>
      <c r="H4304" s="4"/>
    </row>
    <row r="4305" s="1" customFormat="1" spans="1:8">
      <c r="A4305" s="4" t="s">
        <v>205</v>
      </c>
      <c r="B4305" s="4" t="s">
        <v>88</v>
      </c>
      <c r="C4305" s="4" t="s">
        <v>89</v>
      </c>
      <c r="D4305" s="11" t="s">
        <v>8629</v>
      </c>
      <c r="E4305" s="4">
        <v>4314779</v>
      </c>
      <c r="F4305" s="11" t="s">
        <v>8630</v>
      </c>
      <c r="G4305" s="4" t="s">
        <v>232</v>
      </c>
      <c r="H4305" s="4"/>
    </row>
    <row r="4306" s="1" customFormat="1" spans="1:8">
      <c r="A4306" s="4" t="s">
        <v>205</v>
      </c>
      <c r="B4306" s="4" t="s">
        <v>88</v>
      </c>
      <c r="C4306" s="4" t="s">
        <v>89</v>
      </c>
      <c r="D4306" s="11" t="s">
        <v>8631</v>
      </c>
      <c r="E4306" s="4">
        <v>4315313</v>
      </c>
      <c r="F4306" s="11" t="s">
        <v>8632</v>
      </c>
      <c r="G4306" s="4" t="s">
        <v>232</v>
      </c>
      <c r="H4306" s="4"/>
    </row>
    <row r="4307" s="1" customFormat="1" spans="1:8">
      <c r="A4307" s="4" t="s">
        <v>205</v>
      </c>
      <c r="B4307" s="4" t="s">
        <v>88</v>
      </c>
      <c r="C4307" s="4" t="s">
        <v>89</v>
      </c>
      <c r="D4307" s="11" t="s">
        <v>8633</v>
      </c>
      <c r="E4307" s="4">
        <v>4315321</v>
      </c>
      <c r="F4307" s="11" t="s">
        <v>8634</v>
      </c>
      <c r="G4307" s="4" t="s">
        <v>232</v>
      </c>
      <c r="H4307" s="4"/>
    </row>
    <row r="4308" s="1" customFormat="1" spans="1:8">
      <c r="A4308" s="4" t="s">
        <v>205</v>
      </c>
      <c r="B4308" s="4" t="s">
        <v>88</v>
      </c>
      <c r="C4308" s="4" t="s">
        <v>89</v>
      </c>
      <c r="D4308" s="11" t="s">
        <v>8635</v>
      </c>
      <c r="E4308" s="4">
        <v>4315354</v>
      </c>
      <c r="F4308" s="11" t="s">
        <v>8636</v>
      </c>
      <c r="G4308" s="4" t="s">
        <v>232</v>
      </c>
      <c r="H4308" s="4"/>
    </row>
    <row r="4309" s="1" customFormat="1" spans="1:8">
      <c r="A4309" s="4" t="s">
        <v>205</v>
      </c>
      <c r="B4309" s="4" t="s">
        <v>88</v>
      </c>
      <c r="C4309" s="4" t="s">
        <v>89</v>
      </c>
      <c r="D4309" s="11" t="s">
        <v>8637</v>
      </c>
      <c r="E4309" s="4">
        <v>4315404</v>
      </c>
      <c r="F4309" s="11" t="s">
        <v>8638</v>
      </c>
      <c r="G4309" s="4" t="s">
        <v>232</v>
      </c>
      <c r="H4309" s="4"/>
    </row>
    <row r="4310" s="1" customFormat="1" spans="1:8">
      <c r="A4310" s="4" t="s">
        <v>205</v>
      </c>
      <c r="B4310" s="4" t="s">
        <v>88</v>
      </c>
      <c r="C4310" s="4" t="s">
        <v>89</v>
      </c>
      <c r="D4310" s="7" t="s">
        <v>8639</v>
      </c>
      <c r="E4310" s="4">
        <v>4315503</v>
      </c>
      <c r="F4310" s="11" t="s">
        <v>8640</v>
      </c>
      <c r="G4310" s="4" t="s">
        <v>232</v>
      </c>
      <c r="H4310" s="4"/>
    </row>
    <row r="4311" s="1" customFormat="1" spans="1:8">
      <c r="A4311" s="4" t="s">
        <v>205</v>
      </c>
      <c r="B4311" s="4" t="s">
        <v>88</v>
      </c>
      <c r="C4311" s="4" t="s">
        <v>89</v>
      </c>
      <c r="D4311" s="11" t="s">
        <v>8641</v>
      </c>
      <c r="E4311" s="4">
        <v>4315552</v>
      </c>
      <c r="F4311" s="11" t="s">
        <v>8642</v>
      </c>
      <c r="G4311" s="4" t="s">
        <v>232</v>
      </c>
      <c r="H4311" s="4"/>
    </row>
    <row r="4312" s="1" customFormat="1" spans="1:8">
      <c r="A4312" s="4" t="s">
        <v>205</v>
      </c>
      <c r="B4312" s="4" t="s">
        <v>88</v>
      </c>
      <c r="C4312" s="4" t="s">
        <v>89</v>
      </c>
      <c r="D4312" s="11" t="s">
        <v>8643</v>
      </c>
      <c r="E4312" s="4">
        <v>4315602</v>
      </c>
      <c r="F4312" s="11" t="s">
        <v>8644</v>
      </c>
      <c r="G4312" s="4" t="s">
        <v>232</v>
      </c>
      <c r="H4312" s="4"/>
    </row>
    <row r="4313" s="1" customFormat="1" spans="1:8">
      <c r="A4313" s="4" t="s">
        <v>205</v>
      </c>
      <c r="B4313" s="4" t="s">
        <v>88</v>
      </c>
      <c r="C4313" s="4" t="s">
        <v>89</v>
      </c>
      <c r="D4313" s="11" t="s">
        <v>8645</v>
      </c>
      <c r="E4313" s="4">
        <v>4315909</v>
      </c>
      <c r="F4313" s="11" t="s">
        <v>8646</v>
      </c>
      <c r="G4313" s="4" t="s">
        <v>232</v>
      </c>
      <c r="H4313" s="4"/>
    </row>
    <row r="4314" s="1" customFormat="1" spans="1:8">
      <c r="A4314" s="4" t="s">
        <v>205</v>
      </c>
      <c r="B4314" s="4" t="s">
        <v>88</v>
      </c>
      <c r="C4314" s="4" t="s">
        <v>89</v>
      </c>
      <c r="D4314" s="11" t="s">
        <v>8647</v>
      </c>
      <c r="E4314" s="4">
        <v>4316105</v>
      </c>
      <c r="F4314" s="11" t="s">
        <v>8648</v>
      </c>
      <c r="G4314" s="4" t="s">
        <v>232</v>
      </c>
      <c r="H4314" s="4"/>
    </row>
    <row r="4315" s="1" customFormat="1" spans="1:8">
      <c r="A4315" s="4" t="s">
        <v>205</v>
      </c>
      <c r="B4315" s="4" t="s">
        <v>88</v>
      </c>
      <c r="C4315" s="4" t="s">
        <v>89</v>
      </c>
      <c r="D4315" s="11" t="s">
        <v>8649</v>
      </c>
      <c r="E4315" s="4">
        <v>4316204</v>
      </c>
      <c r="F4315" s="11" t="s">
        <v>8650</v>
      </c>
      <c r="G4315" s="4" t="s">
        <v>232</v>
      </c>
      <c r="H4315" s="4"/>
    </row>
    <row r="4316" s="1" customFormat="1" spans="1:8">
      <c r="A4316" s="4" t="s">
        <v>205</v>
      </c>
      <c r="B4316" s="4" t="s">
        <v>88</v>
      </c>
      <c r="C4316" s="4" t="s">
        <v>89</v>
      </c>
      <c r="D4316" s="11" t="s">
        <v>8651</v>
      </c>
      <c r="E4316" s="4">
        <v>4316402</v>
      </c>
      <c r="F4316" s="11" t="s">
        <v>8652</v>
      </c>
      <c r="G4316" s="4" t="s">
        <v>232</v>
      </c>
      <c r="H4316" s="4"/>
    </row>
    <row r="4317" s="1" customFormat="1" spans="1:8">
      <c r="A4317" s="4" t="s">
        <v>205</v>
      </c>
      <c r="B4317" s="4" t="s">
        <v>88</v>
      </c>
      <c r="C4317" s="4" t="s">
        <v>89</v>
      </c>
      <c r="D4317" s="11" t="s">
        <v>8653</v>
      </c>
      <c r="E4317" s="4">
        <v>4316428</v>
      </c>
      <c r="F4317" s="11" t="s">
        <v>8654</v>
      </c>
      <c r="G4317" s="4" t="s">
        <v>232</v>
      </c>
      <c r="H4317" s="4"/>
    </row>
    <row r="4318" s="1" customFormat="1" spans="1:8">
      <c r="A4318" s="4" t="s">
        <v>205</v>
      </c>
      <c r="B4318" s="4" t="s">
        <v>88</v>
      </c>
      <c r="C4318" s="4" t="s">
        <v>89</v>
      </c>
      <c r="D4318" s="11" t="s">
        <v>8655</v>
      </c>
      <c r="E4318" s="4">
        <v>4316436</v>
      </c>
      <c r="F4318" s="11" t="s">
        <v>8656</v>
      </c>
      <c r="G4318" s="4" t="s">
        <v>232</v>
      </c>
      <c r="H4318" s="4"/>
    </row>
    <row r="4319" s="1" customFormat="1" spans="1:8">
      <c r="A4319" s="4" t="s">
        <v>205</v>
      </c>
      <c r="B4319" s="4" t="s">
        <v>88</v>
      </c>
      <c r="C4319" s="4" t="s">
        <v>89</v>
      </c>
      <c r="D4319" s="11" t="s">
        <v>8657</v>
      </c>
      <c r="E4319" s="4">
        <v>4316451</v>
      </c>
      <c r="F4319" s="11" t="s">
        <v>8658</v>
      </c>
      <c r="G4319" s="4" t="s">
        <v>232</v>
      </c>
      <c r="H4319" s="4"/>
    </row>
    <row r="4320" s="1" customFormat="1" spans="1:8">
      <c r="A4320" s="4" t="s">
        <v>205</v>
      </c>
      <c r="B4320" s="4" t="s">
        <v>88</v>
      </c>
      <c r="C4320" s="4" t="s">
        <v>89</v>
      </c>
      <c r="D4320" s="11" t="s">
        <v>8659</v>
      </c>
      <c r="E4320" s="4">
        <v>4316600</v>
      </c>
      <c r="F4320" s="11" t="s">
        <v>8660</v>
      </c>
      <c r="G4320" s="4" t="s">
        <v>232</v>
      </c>
      <c r="H4320" s="4"/>
    </row>
    <row r="4321" s="1" customFormat="1" spans="1:8">
      <c r="A4321" s="4" t="s">
        <v>205</v>
      </c>
      <c r="B4321" s="4" t="s">
        <v>88</v>
      </c>
      <c r="C4321" s="4" t="s">
        <v>89</v>
      </c>
      <c r="D4321" s="11" t="s">
        <v>8661</v>
      </c>
      <c r="E4321" s="4">
        <v>4316709</v>
      </c>
      <c r="F4321" s="11" t="s">
        <v>8662</v>
      </c>
      <c r="G4321" s="4" t="s">
        <v>232</v>
      </c>
      <c r="H4321" s="4"/>
    </row>
    <row r="4322" s="1" customFormat="1" spans="1:8">
      <c r="A4322" s="4" t="s">
        <v>205</v>
      </c>
      <c r="B4322" s="4" t="s">
        <v>88</v>
      </c>
      <c r="C4322" s="4" t="s">
        <v>89</v>
      </c>
      <c r="D4322" s="11" t="s">
        <v>8663</v>
      </c>
      <c r="E4322" s="4">
        <v>4316733</v>
      </c>
      <c r="F4322" s="11" t="s">
        <v>8664</v>
      </c>
      <c r="G4322" s="4" t="s">
        <v>232</v>
      </c>
      <c r="H4322" s="4"/>
    </row>
    <row r="4323" s="1" customFormat="1" spans="1:8">
      <c r="A4323" s="4" t="s">
        <v>205</v>
      </c>
      <c r="B4323" s="4" t="s">
        <v>88</v>
      </c>
      <c r="C4323" s="4" t="s">
        <v>89</v>
      </c>
      <c r="D4323" s="11" t="s">
        <v>8665</v>
      </c>
      <c r="E4323" s="4">
        <v>4316972</v>
      </c>
      <c r="F4323" s="11" t="s">
        <v>8666</v>
      </c>
      <c r="G4323" s="4" t="s">
        <v>232</v>
      </c>
      <c r="H4323" s="4"/>
    </row>
    <row r="4324" s="1" customFormat="1" spans="1:8">
      <c r="A4324" s="4" t="s">
        <v>205</v>
      </c>
      <c r="B4324" s="4" t="s">
        <v>88</v>
      </c>
      <c r="C4324" s="4" t="s">
        <v>89</v>
      </c>
      <c r="D4324" s="11" t="s">
        <v>1840</v>
      </c>
      <c r="E4324" s="4">
        <v>4316907</v>
      </c>
      <c r="F4324" s="11" t="s">
        <v>8667</v>
      </c>
      <c r="G4324" s="4" t="s">
        <v>232</v>
      </c>
      <c r="H4324" s="4"/>
    </row>
    <row r="4325" s="1" customFormat="1" spans="1:8">
      <c r="A4325" s="4" t="s">
        <v>205</v>
      </c>
      <c r="B4325" s="4" t="s">
        <v>88</v>
      </c>
      <c r="C4325" s="4" t="s">
        <v>89</v>
      </c>
      <c r="D4325" s="11" t="s">
        <v>8668</v>
      </c>
      <c r="E4325" s="4">
        <v>4317004</v>
      </c>
      <c r="F4325" s="11" t="s">
        <v>8669</v>
      </c>
      <c r="G4325" s="4" t="s">
        <v>232</v>
      </c>
      <c r="H4325" s="4"/>
    </row>
    <row r="4326" s="1" customFormat="1" spans="1:8">
      <c r="A4326" s="4" t="s">
        <v>205</v>
      </c>
      <c r="B4326" s="4" t="s">
        <v>88</v>
      </c>
      <c r="C4326" s="4" t="s">
        <v>89</v>
      </c>
      <c r="D4326" s="11" t="s">
        <v>8670</v>
      </c>
      <c r="E4326" s="4">
        <v>4317400</v>
      </c>
      <c r="F4326" s="11" t="s">
        <v>8671</v>
      </c>
      <c r="G4326" s="4" t="s">
        <v>232</v>
      </c>
      <c r="H4326" s="4"/>
    </row>
    <row r="4327" s="1" customFormat="1" spans="1:8">
      <c r="A4327" s="4" t="s">
        <v>205</v>
      </c>
      <c r="B4327" s="4" t="s">
        <v>88</v>
      </c>
      <c r="C4327" s="4" t="s">
        <v>89</v>
      </c>
      <c r="D4327" s="11" t="s">
        <v>8672</v>
      </c>
      <c r="E4327" s="4">
        <v>4317558</v>
      </c>
      <c r="F4327" s="11" t="s">
        <v>8673</v>
      </c>
      <c r="G4327" s="4" t="s">
        <v>232</v>
      </c>
      <c r="H4327" s="4"/>
    </row>
    <row r="4328" s="1" customFormat="1" spans="1:8">
      <c r="A4328" s="4" t="s">
        <v>205</v>
      </c>
      <c r="B4328" s="4" t="s">
        <v>88</v>
      </c>
      <c r="C4328" s="4" t="s">
        <v>89</v>
      </c>
      <c r="D4328" s="11" t="s">
        <v>8674</v>
      </c>
      <c r="E4328" s="4">
        <v>4317756</v>
      </c>
      <c r="F4328" s="11" t="s">
        <v>8675</v>
      </c>
      <c r="G4328" s="4" t="s">
        <v>232</v>
      </c>
      <c r="H4328" s="4"/>
    </row>
    <row r="4329" s="1" customFormat="1" spans="1:8">
      <c r="A4329" s="4" t="s">
        <v>205</v>
      </c>
      <c r="B4329" s="4" t="s">
        <v>88</v>
      </c>
      <c r="C4329" s="4" t="s">
        <v>89</v>
      </c>
      <c r="D4329" s="11" t="s">
        <v>8676</v>
      </c>
      <c r="E4329" s="4">
        <v>4317806</v>
      </c>
      <c r="F4329" s="11" t="s">
        <v>8677</v>
      </c>
      <c r="G4329" s="4" t="s">
        <v>232</v>
      </c>
      <c r="H4329" s="4"/>
    </row>
    <row r="4330" s="1" customFormat="1" spans="1:8">
      <c r="A4330" s="4" t="s">
        <v>205</v>
      </c>
      <c r="B4330" s="4" t="s">
        <v>88</v>
      </c>
      <c r="C4330" s="4" t="s">
        <v>89</v>
      </c>
      <c r="D4330" s="11" t="s">
        <v>8678</v>
      </c>
      <c r="E4330" s="4">
        <v>4317954</v>
      </c>
      <c r="F4330" s="11" t="s">
        <v>8679</v>
      </c>
      <c r="G4330" s="4" t="s">
        <v>232</v>
      </c>
      <c r="H4330" s="4"/>
    </row>
    <row r="4331" s="1" customFormat="1" spans="1:8">
      <c r="A4331" s="4" t="s">
        <v>205</v>
      </c>
      <c r="B4331" s="4" t="s">
        <v>88</v>
      </c>
      <c r="C4331" s="4" t="s">
        <v>89</v>
      </c>
      <c r="D4331" s="11" t="s">
        <v>8680</v>
      </c>
      <c r="E4331" s="4">
        <v>4317509</v>
      </c>
      <c r="F4331" s="11" t="s">
        <v>8681</v>
      </c>
      <c r="G4331" s="4" t="s">
        <v>232</v>
      </c>
      <c r="H4331" s="4"/>
    </row>
    <row r="4332" s="1" customFormat="1" spans="1:8">
      <c r="A4332" s="4" t="s">
        <v>205</v>
      </c>
      <c r="B4332" s="4" t="s">
        <v>88</v>
      </c>
      <c r="C4332" s="4" t="s">
        <v>89</v>
      </c>
      <c r="D4332" s="11" t="s">
        <v>8682</v>
      </c>
      <c r="E4332" s="4">
        <v>4320230</v>
      </c>
      <c r="F4332" s="11" t="s">
        <v>8683</v>
      </c>
      <c r="G4332" s="4" t="s">
        <v>232</v>
      </c>
      <c r="H4332" s="4"/>
    </row>
    <row r="4333" s="1" customFormat="1" spans="1:8">
      <c r="A4333" s="4" t="s">
        <v>205</v>
      </c>
      <c r="B4333" s="4" t="s">
        <v>88</v>
      </c>
      <c r="C4333" s="4" t="s">
        <v>89</v>
      </c>
      <c r="D4333" s="11" t="s">
        <v>8684</v>
      </c>
      <c r="E4333" s="4">
        <v>4320263</v>
      </c>
      <c r="F4333" s="11" t="s">
        <v>8685</v>
      </c>
      <c r="G4333" s="4" t="s">
        <v>232</v>
      </c>
      <c r="H4333" s="4"/>
    </row>
    <row r="4334" s="1" customFormat="1" spans="1:8">
      <c r="A4334" s="4" t="s">
        <v>205</v>
      </c>
      <c r="B4334" s="4" t="s">
        <v>88</v>
      </c>
      <c r="C4334" s="4" t="s">
        <v>89</v>
      </c>
      <c r="D4334" s="11" t="s">
        <v>8686</v>
      </c>
      <c r="E4334" s="4">
        <v>4320305</v>
      </c>
      <c r="F4334" s="11" t="s">
        <v>8687</v>
      </c>
      <c r="G4334" s="4" t="s">
        <v>232</v>
      </c>
      <c r="H4334" s="4"/>
    </row>
    <row r="4335" s="1" customFormat="1" spans="1:8">
      <c r="A4335" s="4" t="s">
        <v>205</v>
      </c>
      <c r="B4335" s="4" t="s">
        <v>88</v>
      </c>
      <c r="C4335" s="4" t="s">
        <v>89</v>
      </c>
      <c r="D4335" s="11" t="s">
        <v>8688</v>
      </c>
      <c r="E4335" s="4">
        <v>4320503</v>
      </c>
      <c r="F4335" s="11" t="s">
        <v>8689</v>
      </c>
      <c r="G4335" s="4" t="s">
        <v>232</v>
      </c>
      <c r="H4335" s="4"/>
    </row>
    <row r="4336" s="1" customFormat="1" spans="1:8">
      <c r="A4336" s="4" t="s">
        <v>205</v>
      </c>
      <c r="B4336" s="4" t="s">
        <v>88</v>
      </c>
      <c r="C4336" s="4" t="s">
        <v>89</v>
      </c>
      <c r="D4336" s="11" t="s">
        <v>8690</v>
      </c>
      <c r="E4336" s="4">
        <v>4320578</v>
      </c>
      <c r="F4336" s="11" t="s">
        <v>8691</v>
      </c>
      <c r="G4336" s="4" t="s">
        <v>232</v>
      </c>
      <c r="H4336" s="4"/>
    </row>
    <row r="4337" s="1" customFormat="1" spans="1:8">
      <c r="A4337" s="4" t="s">
        <v>205</v>
      </c>
      <c r="B4337" s="4" t="s">
        <v>88</v>
      </c>
      <c r="C4337" s="4" t="s">
        <v>89</v>
      </c>
      <c r="D4337" s="11" t="s">
        <v>8692</v>
      </c>
      <c r="E4337" s="4">
        <v>4320602</v>
      </c>
      <c r="F4337" s="11" t="s">
        <v>8693</v>
      </c>
      <c r="G4337" s="4" t="s">
        <v>232</v>
      </c>
      <c r="H4337" s="4"/>
    </row>
    <row r="4338" s="1" customFormat="1" spans="1:8">
      <c r="A4338" s="4" t="s">
        <v>205</v>
      </c>
      <c r="B4338" s="4" t="s">
        <v>88</v>
      </c>
      <c r="C4338" s="4" t="s">
        <v>89</v>
      </c>
      <c r="D4338" s="11" t="s">
        <v>8694</v>
      </c>
      <c r="E4338" s="4">
        <v>4320651</v>
      </c>
      <c r="F4338" s="11" t="s">
        <v>8695</v>
      </c>
      <c r="G4338" s="4" t="s">
        <v>232</v>
      </c>
      <c r="H4338" s="4"/>
    </row>
    <row r="4339" s="1" customFormat="1" spans="1:8">
      <c r="A4339" s="4" t="s">
        <v>205</v>
      </c>
      <c r="B4339" s="4" t="s">
        <v>88</v>
      </c>
      <c r="C4339" s="4" t="s">
        <v>89</v>
      </c>
      <c r="D4339" s="11" t="s">
        <v>8696</v>
      </c>
      <c r="E4339" s="4">
        <v>4318101</v>
      </c>
      <c r="F4339" s="11" t="s">
        <v>8697</v>
      </c>
      <c r="G4339" s="4" t="s">
        <v>232</v>
      </c>
      <c r="H4339" s="4"/>
    </row>
    <row r="4340" s="1" customFormat="1" spans="1:8">
      <c r="A4340" s="4" t="s">
        <v>205</v>
      </c>
      <c r="B4340" s="4" t="s">
        <v>88</v>
      </c>
      <c r="C4340" s="4" t="s">
        <v>89</v>
      </c>
      <c r="D4340" s="11" t="s">
        <v>1245</v>
      </c>
      <c r="E4340" s="4">
        <v>4318309</v>
      </c>
      <c r="F4340" s="11" t="s">
        <v>8698</v>
      </c>
      <c r="G4340" s="4" t="s">
        <v>232</v>
      </c>
      <c r="H4340" s="4"/>
    </row>
    <row r="4341" s="1" customFormat="1" spans="1:8">
      <c r="A4341" s="4" t="s">
        <v>205</v>
      </c>
      <c r="B4341" s="4" t="s">
        <v>88</v>
      </c>
      <c r="C4341" s="4" t="s">
        <v>89</v>
      </c>
      <c r="D4341" s="11" t="s">
        <v>8699</v>
      </c>
      <c r="E4341" s="4">
        <v>4318457</v>
      </c>
      <c r="F4341" s="11" t="s">
        <v>8700</v>
      </c>
      <c r="G4341" s="4" t="s">
        <v>232</v>
      </c>
      <c r="H4341" s="4"/>
    </row>
    <row r="4342" s="1" customFormat="1" spans="1:8">
      <c r="A4342" s="4" t="s">
        <v>205</v>
      </c>
      <c r="B4342" s="4" t="s">
        <v>88</v>
      </c>
      <c r="C4342" s="4" t="s">
        <v>89</v>
      </c>
      <c r="D4342" s="11" t="s">
        <v>8701</v>
      </c>
      <c r="E4342" s="4">
        <v>4318507</v>
      </c>
      <c r="F4342" s="11" t="s">
        <v>8702</v>
      </c>
      <c r="G4342" s="4" t="s">
        <v>232</v>
      </c>
      <c r="H4342" s="4"/>
    </row>
    <row r="4343" s="1" customFormat="1" spans="1:8">
      <c r="A4343" s="4" t="s">
        <v>205</v>
      </c>
      <c r="B4343" s="4" t="s">
        <v>88</v>
      </c>
      <c r="C4343" s="4" t="s">
        <v>89</v>
      </c>
      <c r="D4343" s="11" t="s">
        <v>8703</v>
      </c>
      <c r="E4343" s="4">
        <v>4318606</v>
      </c>
      <c r="F4343" s="11" t="s">
        <v>8704</v>
      </c>
      <c r="G4343" s="4" t="s">
        <v>232</v>
      </c>
      <c r="H4343" s="4"/>
    </row>
    <row r="4344" s="1" customFormat="1" spans="1:8">
      <c r="A4344" s="4" t="s">
        <v>205</v>
      </c>
      <c r="B4344" s="4" t="s">
        <v>88</v>
      </c>
      <c r="C4344" s="4" t="s">
        <v>89</v>
      </c>
      <c r="D4344" s="11" t="s">
        <v>8705</v>
      </c>
      <c r="E4344" s="4">
        <v>4318622</v>
      </c>
      <c r="F4344" s="11" t="s">
        <v>8706</v>
      </c>
      <c r="G4344" s="4" t="s">
        <v>232</v>
      </c>
      <c r="H4344" s="4"/>
    </row>
    <row r="4345" s="1" customFormat="1" spans="1:8">
      <c r="A4345" s="4" t="s">
        <v>205</v>
      </c>
      <c r="B4345" s="4" t="s">
        <v>88</v>
      </c>
      <c r="C4345" s="4" t="s">
        <v>89</v>
      </c>
      <c r="D4345" s="11" t="s">
        <v>8707</v>
      </c>
      <c r="E4345" s="4">
        <v>4318424</v>
      </c>
      <c r="F4345" s="11" t="s">
        <v>8708</v>
      </c>
      <c r="G4345" s="4" t="s">
        <v>232</v>
      </c>
      <c r="H4345" s="4"/>
    </row>
    <row r="4346" s="1" customFormat="1" spans="1:8">
      <c r="A4346" s="4" t="s">
        <v>205</v>
      </c>
      <c r="B4346" s="4" t="s">
        <v>88</v>
      </c>
      <c r="C4346" s="4" t="s">
        <v>89</v>
      </c>
      <c r="D4346" s="11" t="s">
        <v>8709</v>
      </c>
      <c r="E4346" s="4">
        <v>4318432</v>
      </c>
      <c r="F4346" s="11" t="s">
        <v>8710</v>
      </c>
      <c r="G4346" s="4" t="s">
        <v>232</v>
      </c>
      <c r="H4346" s="4"/>
    </row>
    <row r="4347" s="1" customFormat="1" spans="1:8">
      <c r="A4347" s="4" t="s">
        <v>205</v>
      </c>
      <c r="B4347" s="4" t="s">
        <v>88</v>
      </c>
      <c r="C4347" s="4" t="s">
        <v>89</v>
      </c>
      <c r="D4347" s="11" t="s">
        <v>8711</v>
      </c>
      <c r="E4347" s="4">
        <v>4319109</v>
      </c>
      <c r="F4347" s="11" t="s">
        <v>8712</v>
      </c>
      <c r="G4347" s="4" t="s">
        <v>232</v>
      </c>
      <c r="H4347" s="4"/>
    </row>
    <row r="4348" s="1" customFormat="1" spans="1:8">
      <c r="A4348" s="4" t="s">
        <v>205</v>
      </c>
      <c r="B4348" s="4" t="s">
        <v>88</v>
      </c>
      <c r="C4348" s="4" t="s">
        <v>89</v>
      </c>
      <c r="D4348" s="11" t="s">
        <v>8713</v>
      </c>
      <c r="E4348" s="4">
        <v>4319125</v>
      </c>
      <c r="F4348" s="11" t="s">
        <v>8714</v>
      </c>
      <c r="G4348" s="4" t="s">
        <v>232</v>
      </c>
      <c r="H4348" s="4"/>
    </row>
    <row r="4349" s="1" customFormat="1" spans="1:8">
      <c r="A4349" s="4" t="s">
        <v>205</v>
      </c>
      <c r="B4349" s="4" t="s">
        <v>88</v>
      </c>
      <c r="C4349" s="4" t="s">
        <v>89</v>
      </c>
      <c r="D4349" s="11" t="s">
        <v>8715</v>
      </c>
      <c r="E4349" s="4">
        <v>4319406</v>
      </c>
      <c r="F4349" s="11" t="s">
        <v>8716</v>
      </c>
      <c r="G4349" s="4" t="s">
        <v>232</v>
      </c>
      <c r="H4349" s="4"/>
    </row>
    <row r="4350" s="1" customFormat="1" spans="1:8">
      <c r="A4350" s="4" t="s">
        <v>205</v>
      </c>
      <c r="B4350" s="4" t="s">
        <v>88</v>
      </c>
      <c r="C4350" s="4" t="s">
        <v>89</v>
      </c>
      <c r="D4350" s="11" t="s">
        <v>8717</v>
      </c>
      <c r="E4350" s="4">
        <v>4319604</v>
      </c>
      <c r="F4350" s="11" t="s">
        <v>8718</v>
      </c>
      <c r="G4350" s="4" t="s">
        <v>232</v>
      </c>
      <c r="H4350" s="4"/>
    </row>
    <row r="4351" s="1" customFormat="1" spans="1:8">
      <c r="A4351" s="4" t="s">
        <v>205</v>
      </c>
      <c r="B4351" s="4" t="s">
        <v>88</v>
      </c>
      <c r="C4351" s="4" t="s">
        <v>89</v>
      </c>
      <c r="D4351" s="11" t="s">
        <v>8719</v>
      </c>
      <c r="E4351" s="4">
        <v>4319703</v>
      </c>
      <c r="F4351" s="11" t="s">
        <v>8720</v>
      </c>
      <c r="G4351" s="4" t="s">
        <v>232</v>
      </c>
      <c r="H4351" s="4"/>
    </row>
    <row r="4352" s="1" customFormat="1" spans="1:8">
      <c r="A4352" s="4" t="s">
        <v>205</v>
      </c>
      <c r="B4352" s="4" t="s">
        <v>88</v>
      </c>
      <c r="C4352" s="4" t="s">
        <v>89</v>
      </c>
      <c r="D4352" s="11" t="s">
        <v>8721</v>
      </c>
      <c r="E4352" s="4">
        <v>4319737</v>
      </c>
      <c r="F4352" s="11" t="s">
        <v>8722</v>
      </c>
      <c r="G4352" s="4" t="s">
        <v>232</v>
      </c>
      <c r="H4352" s="4"/>
    </row>
    <row r="4353" s="1" customFormat="1" spans="1:8">
      <c r="A4353" s="4" t="s">
        <v>205</v>
      </c>
      <c r="B4353" s="4" t="s">
        <v>88</v>
      </c>
      <c r="C4353" s="4" t="s">
        <v>89</v>
      </c>
      <c r="D4353" s="11" t="s">
        <v>8723</v>
      </c>
      <c r="E4353" s="4">
        <v>4319802</v>
      </c>
      <c r="F4353" s="11" t="s">
        <v>8724</v>
      </c>
      <c r="G4353" s="4" t="s">
        <v>232</v>
      </c>
      <c r="H4353" s="4"/>
    </row>
    <row r="4354" s="1" customFormat="1" spans="1:8">
      <c r="A4354" s="4" t="s">
        <v>205</v>
      </c>
      <c r="B4354" s="4" t="s">
        <v>88</v>
      </c>
      <c r="C4354" s="4" t="s">
        <v>89</v>
      </c>
      <c r="D4354" s="11" t="s">
        <v>7280</v>
      </c>
      <c r="E4354" s="4">
        <v>4320909</v>
      </c>
      <c r="F4354" s="11" t="s">
        <v>8725</v>
      </c>
      <c r="G4354" s="4" t="s">
        <v>232</v>
      </c>
      <c r="H4354" s="4"/>
    </row>
    <row r="4355" s="1" customFormat="1" spans="1:8">
      <c r="A4355" s="4" t="s">
        <v>205</v>
      </c>
      <c r="B4355" s="4" t="s">
        <v>88</v>
      </c>
      <c r="C4355" s="4" t="s">
        <v>89</v>
      </c>
      <c r="D4355" s="11" t="s">
        <v>8726</v>
      </c>
      <c r="E4355" s="4">
        <v>4321006</v>
      </c>
      <c r="F4355" s="11" t="s">
        <v>8727</v>
      </c>
      <c r="G4355" s="4" t="s">
        <v>232</v>
      </c>
      <c r="H4355" s="4"/>
    </row>
    <row r="4356" s="1" customFormat="1" spans="1:8">
      <c r="A4356" s="4" t="s">
        <v>205</v>
      </c>
      <c r="B4356" s="4" t="s">
        <v>88</v>
      </c>
      <c r="C4356" s="4" t="s">
        <v>89</v>
      </c>
      <c r="D4356" s="11" t="s">
        <v>8728</v>
      </c>
      <c r="E4356" s="4">
        <v>4321329</v>
      </c>
      <c r="F4356" s="11" t="s">
        <v>8729</v>
      </c>
      <c r="G4356" s="4" t="s">
        <v>232</v>
      </c>
      <c r="H4356" s="4"/>
    </row>
    <row r="4357" s="1" customFormat="1" spans="1:8">
      <c r="A4357" s="4" t="s">
        <v>205</v>
      </c>
      <c r="B4357" s="4" t="s">
        <v>88</v>
      </c>
      <c r="C4357" s="4" t="s">
        <v>89</v>
      </c>
      <c r="D4357" s="11" t="s">
        <v>8730</v>
      </c>
      <c r="E4357" s="4">
        <v>4321402</v>
      </c>
      <c r="F4357" s="11" t="s">
        <v>8731</v>
      </c>
      <c r="G4357" s="4" t="s">
        <v>232</v>
      </c>
      <c r="H4357" s="4"/>
    </row>
    <row r="4358" s="1" customFormat="1" spans="1:8">
      <c r="A4358" s="4" t="s">
        <v>205</v>
      </c>
      <c r="B4358" s="4" t="s">
        <v>88</v>
      </c>
      <c r="C4358" s="4" t="s">
        <v>89</v>
      </c>
      <c r="D4358" s="11" t="s">
        <v>8732</v>
      </c>
      <c r="E4358" s="4">
        <v>4321469</v>
      </c>
      <c r="F4358" s="11" t="s">
        <v>8733</v>
      </c>
      <c r="G4358" s="4" t="s">
        <v>232</v>
      </c>
      <c r="H4358" s="4"/>
    </row>
    <row r="4359" s="1" customFormat="1" spans="1:8">
      <c r="A4359" s="4" t="s">
        <v>205</v>
      </c>
      <c r="B4359" s="4" t="s">
        <v>88</v>
      </c>
      <c r="C4359" s="4" t="s">
        <v>89</v>
      </c>
      <c r="D4359" s="11" t="s">
        <v>8734</v>
      </c>
      <c r="E4359" s="4">
        <v>4321493</v>
      </c>
      <c r="F4359" s="11" t="s">
        <v>8735</v>
      </c>
      <c r="G4359" s="4" t="s">
        <v>232</v>
      </c>
      <c r="H4359" s="4"/>
    </row>
    <row r="4360" s="1" customFormat="1" spans="1:8">
      <c r="A4360" s="4" t="s">
        <v>205</v>
      </c>
      <c r="B4360" s="4" t="s">
        <v>88</v>
      </c>
      <c r="C4360" s="4" t="s">
        <v>89</v>
      </c>
      <c r="D4360" s="11" t="s">
        <v>8736</v>
      </c>
      <c r="E4360" s="4">
        <v>4321956</v>
      </c>
      <c r="F4360" s="11" t="s">
        <v>8737</v>
      </c>
      <c r="G4360" s="4" t="s">
        <v>232</v>
      </c>
      <c r="H4360" s="4"/>
    </row>
    <row r="4361" s="1" customFormat="1" spans="1:8">
      <c r="A4361" s="4" t="s">
        <v>205</v>
      </c>
      <c r="B4361" s="4" t="s">
        <v>88</v>
      </c>
      <c r="C4361" s="4" t="s">
        <v>89</v>
      </c>
      <c r="D4361" s="11" t="s">
        <v>8738</v>
      </c>
      <c r="E4361" s="4">
        <v>4321634</v>
      </c>
      <c r="F4361" s="11" t="s">
        <v>8739</v>
      </c>
      <c r="G4361" s="4" t="s">
        <v>232</v>
      </c>
      <c r="H4361" s="4"/>
    </row>
    <row r="4362" s="1" customFormat="1" spans="1:8">
      <c r="A4362" s="4" t="s">
        <v>205</v>
      </c>
      <c r="B4362" s="4" t="s">
        <v>88</v>
      </c>
      <c r="C4362" s="4" t="s">
        <v>89</v>
      </c>
      <c r="D4362" s="11" t="s">
        <v>8740</v>
      </c>
      <c r="E4362" s="4">
        <v>4321857</v>
      </c>
      <c r="F4362" s="11" t="s">
        <v>8741</v>
      </c>
      <c r="G4362" s="4" t="s">
        <v>232</v>
      </c>
      <c r="H4362" s="4"/>
    </row>
    <row r="4363" s="1" customFormat="1" spans="1:8">
      <c r="A4363" s="4" t="s">
        <v>205</v>
      </c>
      <c r="B4363" s="4" t="s">
        <v>88</v>
      </c>
      <c r="C4363" s="4" t="s">
        <v>89</v>
      </c>
      <c r="D4363" s="11" t="s">
        <v>8742</v>
      </c>
      <c r="E4363" s="4">
        <v>4322152</v>
      </c>
      <c r="F4363" s="11" t="s">
        <v>8743</v>
      </c>
      <c r="G4363" s="4" t="s">
        <v>232</v>
      </c>
      <c r="H4363" s="4"/>
    </row>
    <row r="4364" s="1" customFormat="1" spans="1:8">
      <c r="A4364" s="4" t="s">
        <v>205</v>
      </c>
      <c r="B4364" s="4" t="s">
        <v>88</v>
      </c>
      <c r="C4364" s="4" t="s">
        <v>89</v>
      </c>
      <c r="D4364" s="11" t="s">
        <v>8744</v>
      </c>
      <c r="E4364" s="4">
        <v>4322186</v>
      </c>
      <c r="F4364" s="11" t="s">
        <v>8745</v>
      </c>
      <c r="G4364" s="4" t="s">
        <v>232</v>
      </c>
      <c r="H4364" s="4"/>
    </row>
    <row r="4365" s="1" customFormat="1" spans="1:8">
      <c r="A4365" s="4" t="s">
        <v>205</v>
      </c>
      <c r="B4365" s="4" t="s">
        <v>88</v>
      </c>
      <c r="C4365" s="4" t="s">
        <v>89</v>
      </c>
      <c r="D4365" s="11" t="s">
        <v>8746</v>
      </c>
      <c r="E4365" s="4">
        <v>4322202</v>
      </c>
      <c r="F4365" s="11" t="s">
        <v>8747</v>
      </c>
      <c r="G4365" s="4" t="s">
        <v>232</v>
      </c>
      <c r="H4365" s="4"/>
    </row>
    <row r="4366" s="1" customFormat="1" spans="1:8">
      <c r="A4366" s="4" t="s">
        <v>205</v>
      </c>
      <c r="B4366" s="4" t="s">
        <v>88</v>
      </c>
      <c r="C4366" s="4" t="s">
        <v>89</v>
      </c>
      <c r="D4366" s="11" t="s">
        <v>8748</v>
      </c>
      <c r="E4366" s="4">
        <v>4322509</v>
      </c>
      <c r="F4366" s="11" t="s">
        <v>8749</v>
      </c>
      <c r="G4366" s="4" t="s">
        <v>232</v>
      </c>
      <c r="H4366" s="4"/>
    </row>
    <row r="4367" s="1" customFormat="1" spans="1:8">
      <c r="A4367" s="4" t="s">
        <v>205</v>
      </c>
      <c r="B4367" s="4" t="s">
        <v>88</v>
      </c>
      <c r="C4367" s="4" t="s">
        <v>89</v>
      </c>
      <c r="D4367" s="11" t="s">
        <v>8750</v>
      </c>
      <c r="E4367" s="4">
        <v>4322558</v>
      </c>
      <c r="F4367" s="11" t="s">
        <v>8751</v>
      </c>
      <c r="G4367" s="4" t="s">
        <v>232</v>
      </c>
      <c r="H4367" s="4"/>
    </row>
    <row r="4368" s="1" customFormat="1" spans="1:8">
      <c r="A4368" s="4" t="s">
        <v>205</v>
      </c>
      <c r="B4368" s="4" t="s">
        <v>88</v>
      </c>
      <c r="C4368" s="4" t="s">
        <v>89</v>
      </c>
      <c r="D4368" s="11" t="s">
        <v>8752</v>
      </c>
      <c r="E4368" s="4">
        <v>4322905</v>
      </c>
      <c r="F4368" s="11" t="s">
        <v>8753</v>
      </c>
      <c r="G4368" s="4" t="s">
        <v>232</v>
      </c>
      <c r="H4368" s="4"/>
    </row>
    <row r="4369" s="1" customFormat="1" spans="1:8">
      <c r="A4369" s="4" t="s">
        <v>205</v>
      </c>
      <c r="B4369" s="4" t="s">
        <v>88</v>
      </c>
      <c r="C4369" s="4" t="s">
        <v>89</v>
      </c>
      <c r="D4369" s="11" t="s">
        <v>8754</v>
      </c>
      <c r="E4369" s="4">
        <v>4323101</v>
      </c>
      <c r="F4369" s="11" t="s">
        <v>8755</v>
      </c>
      <c r="G4369" s="4" t="s">
        <v>232</v>
      </c>
      <c r="H4369" s="4"/>
    </row>
    <row r="4370" s="1" customFormat="1" spans="1:8">
      <c r="A4370" s="4" t="s">
        <v>205</v>
      </c>
      <c r="B4370" s="4" t="s">
        <v>88</v>
      </c>
      <c r="C4370" s="4" t="s">
        <v>89</v>
      </c>
      <c r="D4370" s="11" t="s">
        <v>8756</v>
      </c>
      <c r="E4370" s="4">
        <v>4323200</v>
      </c>
      <c r="F4370" s="11" t="s">
        <v>8757</v>
      </c>
      <c r="G4370" s="4" t="s">
        <v>232</v>
      </c>
      <c r="H4370" s="4"/>
    </row>
    <row r="4371" s="1" customFormat="1" spans="1:8">
      <c r="A4371" s="4" t="s">
        <v>205</v>
      </c>
      <c r="B4371" s="4" t="s">
        <v>88</v>
      </c>
      <c r="C4371" s="4" t="s">
        <v>89</v>
      </c>
      <c r="D4371" s="11" t="s">
        <v>8758</v>
      </c>
      <c r="E4371" s="4">
        <v>4323358</v>
      </c>
      <c r="F4371" s="11" t="s">
        <v>8759</v>
      </c>
      <c r="G4371" s="4" t="s">
        <v>232</v>
      </c>
      <c r="H4371" s="4"/>
    </row>
    <row r="4372" s="1" customFormat="1" spans="1:8">
      <c r="A4372" s="4" t="s">
        <v>205</v>
      </c>
      <c r="B4372" s="4" t="s">
        <v>88</v>
      </c>
      <c r="C4372" s="4" t="s">
        <v>89</v>
      </c>
      <c r="D4372" s="11" t="s">
        <v>8760</v>
      </c>
      <c r="E4372" s="4">
        <v>4323408</v>
      </c>
      <c r="F4372" s="11" t="s">
        <v>8761</v>
      </c>
      <c r="G4372" s="4" t="s">
        <v>232</v>
      </c>
      <c r="H4372" s="4"/>
    </row>
    <row r="4373" s="1" customFormat="1" spans="1:8">
      <c r="A4373" s="4" t="s">
        <v>205</v>
      </c>
      <c r="B4373" s="4" t="s">
        <v>88</v>
      </c>
      <c r="C4373" s="4" t="s">
        <v>89</v>
      </c>
      <c r="D4373" s="11" t="s">
        <v>8762</v>
      </c>
      <c r="E4373" s="4">
        <v>4323457</v>
      </c>
      <c r="F4373" s="11" t="s">
        <v>8763</v>
      </c>
      <c r="G4373" s="4" t="s">
        <v>232</v>
      </c>
      <c r="H4373" s="4"/>
    </row>
    <row r="4374" s="1" customFormat="1" spans="1:8">
      <c r="A4374" s="4" t="s">
        <v>205</v>
      </c>
      <c r="B4374" s="4" t="s">
        <v>88</v>
      </c>
      <c r="C4374" s="4" t="s">
        <v>89</v>
      </c>
      <c r="D4374" s="11" t="s">
        <v>8764</v>
      </c>
      <c r="E4374" s="4">
        <v>4323507</v>
      </c>
      <c r="F4374" s="11" t="s">
        <v>8765</v>
      </c>
      <c r="G4374" s="4" t="s">
        <v>232</v>
      </c>
      <c r="H4374" s="4"/>
    </row>
    <row r="4375" s="1" customFormat="1" spans="1:8">
      <c r="A4375" s="4" t="s">
        <v>205</v>
      </c>
      <c r="B4375" s="4" t="s">
        <v>88</v>
      </c>
      <c r="C4375" s="4" t="s">
        <v>89</v>
      </c>
      <c r="D4375" s="11" t="s">
        <v>8766</v>
      </c>
      <c r="E4375" s="4">
        <v>4323705</v>
      </c>
      <c r="F4375" s="11" t="s">
        <v>8767</v>
      </c>
      <c r="G4375" s="4" t="s">
        <v>232</v>
      </c>
      <c r="H4375" s="4"/>
    </row>
    <row r="4376" s="1" customFormat="1" spans="1:8">
      <c r="A4376" s="4" t="s">
        <v>205</v>
      </c>
      <c r="B4376" s="4" t="s">
        <v>88</v>
      </c>
      <c r="C4376" s="4" t="s">
        <v>89</v>
      </c>
      <c r="D4376" s="11" t="s">
        <v>8768</v>
      </c>
      <c r="E4376" s="4">
        <v>4323754</v>
      </c>
      <c r="F4376" s="11" t="s">
        <v>8769</v>
      </c>
      <c r="G4376" s="4" t="s">
        <v>232</v>
      </c>
      <c r="H4376" s="4"/>
    </row>
    <row r="4377" s="1" customFormat="1" spans="1:8">
      <c r="A4377" s="4" t="s">
        <v>205</v>
      </c>
      <c r="B4377" s="4" t="s">
        <v>88</v>
      </c>
      <c r="C4377" s="4" t="s">
        <v>89</v>
      </c>
      <c r="D4377" s="11" t="s">
        <v>8770</v>
      </c>
      <c r="E4377" s="4">
        <v>4300059</v>
      </c>
      <c r="F4377" s="11" t="s">
        <v>8771</v>
      </c>
      <c r="G4377" s="4" t="s">
        <v>232</v>
      </c>
      <c r="H4377" s="4"/>
    </row>
    <row r="4378" s="1" customFormat="1" spans="1:8">
      <c r="A4378" s="4" t="s">
        <v>205</v>
      </c>
      <c r="B4378" s="4" t="s">
        <v>88</v>
      </c>
      <c r="C4378" s="4" t="s">
        <v>89</v>
      </c>
      <c r="D4378" s="11" t="s">
        <v>8772</v>
      </c>
      <c r="E4378" s="4">
        <v>4301552</v>
      </c>
      <c r="F4378" s="11" t="s">
        <v>8773</v>
      </c>
      <c r="G4378" s="4" t="s">
        <v>232</v>
      </c>
      <c r="H4378" s="4"/>
    </row>
    <row r="4379" s="1" customFormat="1" spans="1:8">
      <c r="A4379" s="4" t="s">
        <v>205</v>
      </c>
      <c r="B4379" s="4" t="s">
        <v>88</v>
      </c>
      <c r="C4379" s="4" t="s">
        <v>89</v>
      </c>
      <c r="D4379" s="11" t="s">
        <v>8774</v>
      </c>
      <c r="E4379" s="4">
        <v>4300307</v>
      </c>
      <c r="F4379" s="11" t="s">
        <v>8775</v>
      </c>
      <c r="G4379" s="4" t="s">
        <v>243</v>
      </c>
      <c r="H4379" s="4"/>
    </row>
    <row r="4380" s="1" customFormat="1" spans="1:8">
      <c r="A4380" s="4" t="s">
        <v>205</v>
      </c>
      <c r="B4380" s="4" t="s">
        <v>88</v>
      </c>
      <c r="C4380" s="4" t="s">
        <v>89</v>
      </c>
      <c r="D4380" s="11" t="s">
        <v>8776</v>
      </c>
      <c r="E4380" s="4">
        <v>4300406</v>
      </c>
      <c r="F4380" s="11" t="s">
        <v>8777</v>
      </c>
      <c r="G4380" s="4" t="s">
        <v>243</v>
      </c>
      <c r="H4380" s="4"/>
    </row>
    <row r="4381" s="1" customFormat="1" spans="1:8">
      <c r="A4381" s="4" t="s">
        <v>205</v>
      </c>
      <c r="B4381" s="4" t="s">
        <v>88</v>
      </c>
      <c r="C4381" s="4" t="s">
        <v>89</v>
      </c>
      <c r="D4381" s="11" t="s">
        <v>8778</v>
      </c>
      <c r="E4381" s="4">
        <v>4300455</v>
      </c>
      <c r="F4381" s="11" t="s">
        <v>8779</v>
      </c>
      <c r="G4381" s="4" t="s">
        <v>243</v>
      </c>
      <c r="H4381" s="4"/>
    </row>
    <row r="4382" s="1" customFormat="1" spans="1:8">
      <c r="A4382" s="4" t="s">
        <v>205</v>
      </c>
      <c r="B4382" s="4" t="s">
        <v>88</v>
      </c>
      <c r="C4382" s="4" t="s">
        <v>89</v>
      </c>
      <c r="D4382" s="11" t="s">
        <v>8780</v>
      </c>
      <c r="E4382" s="4">
        <v>4301859</v>
      </c>
      <c r="F4382" s="11" t="s">
        <v>8781</v>
      </c>
      <c r="G4382" s="4" t="s">
        <v>243</v>
      </c>
      <c r="H4382" s="4"/>
    </row>
    <row r="4383" s="1" customFormat="1" spans="1:8">
      <c r="A4383" s="4" t="s">
        <v>205</v>
      </c>
      <c r="B4383" s="4" t="s">
        <v>88</v>
      </c>
      <c r="C4383" s="4" t="s">
        <v>89</v>
      </c>
      <c r="D4383" s="11" t="s">
        <v>8782</v>
      </c>
      <c r="E4383" s="4">
        <v>4301875</v>
      </c>
      <c r="F4383" s="11" t="s">
        <v>8783</v>
      </c>
      <c r="G4383" s="4" t="s">
        <v>243</v>
      </c>
      <c r="H4383" s="4"/>
    </row>
    <row r="4384" s="1" customFormat="1" spans="1:8">
      <c r="A4384" s="4" t="s">
        <v>205</v>
      </c>
      <c r="B4384" s="4" t="s">
        <v>88</v>
      </c>
      <c r="C4384" s="4" t="s">
        <v>89</v>
      </c>
      <c r="D4384" s="11" t="s">
        <v>8784</v>
      </c>
      <c r="E4384" s="4">
        <v>4302204</v>
      </c>
      <c r="F4384" s="11" t="s">
        <v>8785</v>
      </c>
      <c r="G4384" s="4" t="s">
        <v>243</v>
      </c>
      <c r="H4384" s="4"/>
    </row>
    <row r="4385" s="1" customFormat="1" spans="1:8">
      <c r="A4385" s="4" t="s">
        <v>205</v>
      </c>
      <c r="B4385" s="4" t="s">
        <v>88</v>
      </c>
      <c r="C4385" s="4" t="s">
        <v>89</v>
      </c>
      <c r="D4385" s="11" t="s">
        <v>8786</v>
      </c>
      <c r="E4385" s="4">
        <v>4302501</v>
      </c>
      <c r="F4385" s="11" t="s">
        <v>8787</v>
      </c>
      <c r="G4385" s="4" t="s">
        <v>243</v>
      </c>
      <c r="H4385" s="4"/>
    </row>
    <row r="4386" s="1" customFormat="1" spans="1:8">
      <c r="A4386" s="4" t="s">
        <v>205</v>
      </c>
      <c r="B4386" s="4" t="s">
        <v>88</v>
      </c>
      <c r="C4386" s="4" t="s">
        <v>89</v>
      </c>
      <c r="D4386" s="11" t="s">
        <v>8788</v>
      </c>
      <c r="E4386" s="4">
        <v>4303301</v>
      </c>
      <c r="F4386" s="11" t="s">
        <v>8789</v>
      </c>
      <c r="G4386" s="4" t="s">
        <v>243</v>
      </c>
      <c r="H4386" s="4"/>
    </row>
    <row r="4387" s="1" customFormat="1" spans="1:8">
      <c r="A4387" s="4" t="s">
        <v>205</v>
      </c>
      <c r="B4387" s="4" t="s">
        <v>88</v>
      </c>
      <c r="C4387" s="4" t="s">
        <v>89</v>
      </c>
      <c r="D4387" s="11" t="s">
        <v>8790</v>
      </c>
      <c r="E4387" s="4">
        <v>4303707</v>
      </c>
      <c r="F4387" s="11" t="s">
        <v>8791</v>
      </c>
      <c r="G4387" s="4" t="s">
        <v>243</v>
      </c>
      <c r="H4387" s="4"/>
    </row>
    <row r="4388" s="1" customFormat="1" spans="1:8">
      <c r="A4388" s="4" t="s">
        <v>205</v>
      </c>
      <c r="B4388" s="4" t="s">
        <v>88</v>
      </c>
      <c r="C4388" s="4" t="s">
        <v>89</v>
      </c>
      <c r="D4388" s="11" t="s">
        <v>8792</v>
      </c>
      <c r="E4388" s="4">
        <v>4304655</v>
      </c>
      <c r="F4388" s="11" t="s">
        <v>8793</v>
      </c>
      <c r="G4388" s="4" t="s">
        <v>243</v>
      </c>
      <c r="H4388" s="4"/>
    </row>
    <row r="4389" s="1" customFormat="1" spans="1:8">
      <c r="A4389" s="4" t="s">
        <v>205</v>
      </c>
      <c r="B4389" s="4" t="s">
        <v>88</v>
      </c>
      <c r="C4389" s="4" t="s">
        <v>89</v>
      </c>
      <c r="D4389" s="11" t="s">
        <v>8794</v>
      </c>
      <c r="E4389" s="4">
        <v>4305207</v>
      </c>
      <c r="F4389" s="11" t="s">
        <v>8795</v>
      </c>
      <c r="G4389" s="4" t="s">
        <v>243</v>
      </c>
      <c r="H4389" s="4"/>
    </row>
    <row r="4390" s="1" customFormat="1" spans="1:8">
      <c r="A4390" s="4" t="s">
        <v>205</v>
      </c>
      <c r="B4390" s="4" t="s">
        <v>88</v>
      </c>
      <c r="C4390" s="4" t="s">
        <v>89</v>
      </c>
      <c r="D4390" s="11" t="s">
        <v>8796</v>
      </c>
      <c r="E4390" s="4">
        <v>4305405</v>
      </c>
      <c r="F4390" s="11" t="s">
        <v>8797</v>
      </c>
      <c r="G4390" s="4" t="s">
        <v>243</v>
      </c>
      <c r="H4390" s="4"/>
    </row>
    <row r="4391" s="1" customFormat="1" spans="1:8">
      <c r="A4391" s="4" t="s">
        <v>205</v>
      </c>
      <c r="B4391" s="4" t="s">
        <v>88</v>
      </c>
      <c r="C4391" s="4" t="s">
        <v>89</v>
      </c>
      <c r="D4391" s="11" t="s">
        <v>8798</v>
      </c>
      <c r="E4391" s="4">
        <v>4305439</v>
      </c>
      <c r="F4391" s="11" t="s">
        <v>8799</v>
      </c>
      <c r="G4391" s="4" t="s">
        <v>243</v>
      </c>
      <c r="H4391" s="4"/>
    </row>
    <row r="4392" s="1" customFormat="1" spans="1:8">
      <c r="A4392" s="4" t="s">
        <v>205</v>
      </c>
      <c r="B4392" s="4" t="s">
        <v>88</v>
      </c>
      <c r="C4392" s="4" t="s">
        <v>89</v>
      </c>
      <c r="D4392" s="11" t="s">
        <v>8800</v>
      </c>
      <c r="E4392" s="4">
        <v>4306007</v>
      </c>
      <c r="F4392" s="11" t="s">
        <v>8801</v>
      </c>
      <c r="G4392" s="4" t="s">
        <v>243</v>
      </c>
      <c r="H4392" s="4"/>
    </row>
    <row r="4393" s="1" customFormat="1" spans="1:8">
      <c r="A4393" s="4" t="s">
        <v>205</v>
      </c>
      <c r="B4393" s="4" t="s">
        <v>88</v>
      </c>
      <c r="C4393" s="4" t="s">
        <v>89</v>
      </c>
      <c r="D4393" s="11" t="s">
        <v>8802</v>
      </c>
      <c r="E4393" s="4">
        <v>4304309</v>
      </c>
      <c r="F4393" s="11" t="s">
        <v>8803</v>
      </c>
      <c r="G4393" s="4" t="s">
        <v>243</v>
      </c>
      <c r="H4393" s="4"/>
    </row>
    <row r="4394" s="1" customFormat="1" spans="1:8">
      <c r="A4394" s="4" t="s">
        <v>205</v>
      </c>
      <c r="B4394" s="4" t="s">
        <v>88</v>
      </c>
      <c r="C4394" s="4" t="s">
        <v>89</v>
      </c>
      <c r="D4394" s="11" t="s">
        <v>8804</v>
      </c>
      <c r="E4394" s="4">
        <v>4306320</v>
      </c>
      <c r="F4394" s="11" t="s">
        <v>8805</v>
      </c>
      <c r="G4394" s="4" t="s">
        <v>243</v>
      </c>
      <c r="H4394" s="4"/>
    </row>
    <row r="4395" s="1" customFormat="1" spans="1:8">
      <c r="A4395" s="4" t="s">
        <v>205</v>
      </c>
      <c r="B4395" s="4" t="s">
        <v>88</v>
      </c>
      <c r="C4395" s="4" t="s">
        <v>89</v>
      </c>
      <c r="D4395" s="11" t="s">
        <v>8806</v>
      </c>
      <c r="E4395" s="4">
        <v>4306353</v>
      </c>
      <c r="F4395" s="11" t="s">
        <v>8807</v>
      </c>
      <c r="G4395" s="4" t="s">
        <v>243</v>
      </c>
      <c r="H4395" s="4"/>
    </row>
    <row r="4396" s="1" customFormat="1" spans="1:8">
      <c r="A4396" s="4" t="s">
        <v>205</v>
      </c>
      <c r="B4396" s="4" t="s">
        <v>88</v>
      </c>
      <c r="C4396" s="4" t="s">
        <v>89</v>
      </c>
      <c r="D4396" s="11" t="s">
        <v>8808</v>
      </c>
      <c r="E4396" s="4">
        <v>4306734</v>
      </c>
      <c r="F4396" s="11" t="s">
        <v>8809</v>
      </c>
      <c r="G4396" s="4" t="s">
        <v>243</v>
      </c>
      <c r="H4396" s="4"/>
    </row>
    <row r="4397" s="1" customFormat="1" spans="1:8">
      <c r="A4397" s="4" t="s">
        <v>205</v>
      </c>
      <c r="B4397" s="4" t="s">
        <v>88</v>
      </c>
      <c r="C4397" s="4" t="s">
        <v>89</v>
      </c>
      <c r="D4397" s="11" t="s">
        <v>8810</v>
      </c>
      <c r="E4397" s="4">
        <v>4307450</v>
      </c>
      <c r="F4397" s="11" t="s">
        <v>8811</v>
      </c>
      <c r="G4397" s="4" t="s">
        <v>243</v>
      </c>
      <c r="H4397" s="4"/>
    </row>
    <row r="4398" s="1" customFormat="1" spans="1:8">
      <c r="A4398" s="4" t="s">
        <v>205</v>
      </c>
      <c r="B4398" s="4" t="s">
        <v>88</v>
      </c>
      <c r="C4398" s="4" t="s">
        <v>89</v>
      </c>
      <c r="D4398" s="11" t="s">
        <v>8812</v>
      </c>
      <c r="E4398" s="4">
        <v>4308656</v>
      </c>
      <c r="F4398" s="11" t="s">
        <v>8813</v>
      </c>
      <c r="G4398" s="4" t="s">
        <v>243</v>
      </c>
      <c r="H4398" s="4"/>
    </row>
    <row r="4399" s="1" customFormat="1" spans="1:8">
      <c r="A4399" s="4" t="s">
        <v>205</v>
      </c>
      <c r="B4399" s="4" t="s">
        <v>88</v>
      </c>
      <c r="C4399" s="4" t="s">
        <v>89</v>
      </c>
      <c r="D4399" s="11" t="s">
        <v>8814</v>
      </c>
      <c r="E4399" s="4">
        <v>4309506</v>
      </c>
      <c r="F4399" s="11" t="s">
        <v>8815</v>
      </c>
      <c r="G4399" s="4" t="s">
        <v>243</v>
      </c>
      <c r="H4399" s="4"/>
    </row>
    <row r="4400" s="1" customFormat="1" spans="1:8">
      <c r="A4400" s="4" t="s">
        <v>205</v>
      </c>
      <c r="B4400" s="4" t="s">
        <v>88</v>
      </c>
      <c r="C4400" s="4" t="s">
        <v>89</v>
      </c>
      <c r="D4400" s="11" t="s">
        <v>8816</v>
      </c>
      <c r="E4400" s="4">
        <v>4309605</v>
      </c>
      <c r="F4400" s="11" t="s">
        <v>8817</v>
      </c>
      <c r="G4400" s="4" t="s">
        <v>243</v>
      </c>
      <c r="H4400" s="4"/>
    </row>
    <row r="4401" s="1" customFormat="1" spans="1:8">
      <c r="A4401" s="4" t="s">
        <v>205</v>
      </c>
      <c r="B4401" s="4" t="s">
        <v>88</v>
      </c>
      <c r="C4401" s="4" t="s">
        <v>89</v>
      </c>
      <c r="D4401" s="11" t="s">
        <v>8818</v>
      </c>
      <c r="E4401" s="4">
        <v>4310553</v>
      </c>
      <c r="F4401" s="11" t="s">
        <v>8819</v>
      </c>
      <c r="G4401" s="4" t="s">
        <v>243</v>
      </c>
      <c r="H4401" s="4"/>
    </row>
    <row r="4402" s="1" customFormat="1" spans="1:8">
      <c r="A4402" s="4" t="s">
        <v>205</v>
      </c>
      <c r="B4402" s="4" t="s">
        <v>88</v>
      </c>
      <c r="C4402" s="4" t="s">
        <v>89</v>
      </c>
      <c r="D4402" s="11" t="s">
        <v>8820</v>
      </c>
      <c r="E4402" s="4">
        <v>4310603</v>
      </c>
      <c r="F4402" s="11" t="s">
        <v>8821</v>
      </c>
      <c r="G4402" s="4" t="s">
        <v>243</v>
      </c>
      <c r="H4402" s="4"/>
    </row>
    <row r="4403" s="1" customFormat="1" spans="1:8">
      <c r="A4403" s="4" t="s">
        <v>205</v>
      </c>
      <c r="B4403" s="4" t="s">
        <v>88</v>
      </c>
      <c r="C4403" s="4" t="s">
        <v>89</v>
      </c>
      <c r="D4403" s="11" t="s">
        <v>8822</v>
      </c>
      <c r="E4403" s="4">
        <v>4312179</v>
      </c>
      <c r="F4403" s="11" t="s">
        <v>8823</v>
      </c>
      <c r="G4403" s="4" t="s">
        <v>243</v>
      </c>
      <c r="H4403" s="4"/>
    </row>
    <row r="4404" s="1" customFormat="1" spans="1:8">
      <c r="A4404" s="4" t="s">
        <v>205</v>
      </c>
      <c r="B4404" s="4" t="s">
        <v>88</v>
      </c>
      <c r="C4404" s="4" t="s">
        <v>89</v>
      </c>
      <c r="D4404" s="11" t="s">
        <v>8824</v>
      </c>
      <c r="E4404" s="4">
        <v>4311718</v>
      </c>
      <c r="F4404" s="11" t="s">
        <v>8825</v>
      </c>
      <c r="G4404" s="4" t="s">
        <v>243</v>
      </c>
      <c r="H4404" s="4"/>
    </row>
    <row r="4405" s="1" customFormat="1" spans="1:8">
      <c r="A4405" s="4" t="s">
        <v>205</v>
      </c>
      <c r="B4405" s="4" t="s">
        <v>88</v>
      </c>
      <c r="C4405" s="4" t="s">
        <v>89</v>
      </c>
      <c r="D4405" s="11" t="s">
        <v>8826</v>
      </c>
      <c r="E4405" s="4">
        <v>4313011</v>
      </c>
      <c r="F4405" s="11" t="s">
        <v>8827</v>
      </c>
      <c r="G4405" s="4" t="s">
        <v>243</v>
      </c>
      <c r="H4405" s="4"/>
    </row>
    <row r="4406" s="1" customFormat="1" spans="1:8">
      <c r="A4406" s="4" t="s">
        <v>205</v>
      </c>
      <c r="B4406" s="4" t="s">
        <v>88</v>
      </c>
      <c r="C4406" s="4" t="s">
        <v>89</v>
      </c>
      <c r="D4406" s="11" t="s">
        <v>8828</v>
      </c>
      <c r="E4406" s="4">
        <v>4313425</v>
      </c>
      <c r="F4406" s="11" t="s">
        <v>8829</v>
      </c>
      <c r="G4406" s="4" t="s">
        <v>243</v>
      </c>
      <c r="H4406" s="4"/>
    </row>
    <row r="4407" s="1" customFormat="1" spans="1:8">
      <c r="A4407" s="4" t="s">
        <v>205</v>
      </c>
      <c r="B4407" s="4" t="s">
        <v>88</v>
      </c>
      <c r="C4407" s="4" t="s">
        <v>89</v>
      </c>
      <c r="D4407" s="11" t="s">
        <v>8830</v>
      </c>
      <c r="E4407" s="4">
        <v>4314555</v>
      </c>
      <c r="F4407" s="11" t="s">
        <v>8831</v>
      </c>
      <c r="G4407" s="4" t="s">
        <v>243</v>
      </c>
      <c r="H4407" s="4"/>
    </row>
    <row r="4408" s="1" customFormat="1" spans="1:8">
      <c r="A4408" s="4" t="s">
        <v>205</v>
      </c>
      <c r="B4408" s="4" t="s">
        <v>88</v>
      </c>
      <c r="C4408" s="4" t="s">
        <v>89</v>
      </c>
      <c r="D4408" s="11" t="s">
        <v>8832</v>
      </c>
      <c r="E4408" s="4">
        <v>4315008</v>
      </c>
      <c r="F4408" s="11" t="s">
        <v>8833</v>
      </c>
      <c r="G4408" s="4" t="s">
        <v>243</v>
      </c>
      <c r="H4408" s="4"/>
    </row>
    <row r="4409" s="1" customFormat="1" spans="1:8">
      <c r="A4409" s="4" t="s">
        <v>205</v>
      </c>
      <c r="B4409" s="4" t="s">
        <v>88</v>
      </c>
      <c r="C4409" s="4" t="s">
        <v>89</v>
      </c>
      <c r="D4409" s="11" t="s">
        <v>8834</v>
      </c>
      <c r="E4409" s="4">
        <v>4315057</v>
      </c>
      <c r="F4409" s="11" t="s">
        <v>8835</v>
      </c>
      <c r="G4409" s="4" t="s">
        <v>243</v>
      </c>
      <c r="H4409" s="4"/>
    </row>
    <row r="4410" s="1" customFormat="1" spans="1:8">
      <c r="A4410" s="4" t="s">
        <v>205</v>
      </c>
      <c r="B4410" s="4" t="s">
        <v>88</v>
      </c>
      <c r="C4410" s="4" t="s">
        <v>89</v>
      </c>
      <c r="D4410" s="11" t="s">
        <v>8836</v>
      </c>
      <c r="E4410" s="4">
        <v>4315073</v>
      </c>
      <c r="F4410" s="11" t="s">
        <v>8837</v>
      </c>
      <c r="G4410" s="4" t="s">
        <v>243</v>
      </c>
      <c r="H4410" s="4"/>
    </row>
    <row r="4411" s="1" customFormat="1" spans="1:8">
      <c r="A4411" s="4" t="s">
        <v>205</v>
      </c>
      <c r="B4411" s="4" t="s">
        <v>88</v>
      </c>
      <c r="C4411" s="4" t="s">
        <v>89</v>
      </c>
      <c r="D4411" s="11" t="s">
        <v>8838</v>
      </c>
      <c r="E4411" s="4">
        <v>4315107</v>
      </c>
      <c r="F4411" s="11" t="s">
        <v>8839</v>
      </c>
      <c r="G4411" s="4" t="s">
        <v>243</v>
      </c>
      <c r="H4411" s="4"/>
    </row>
    <row r="4412" s="1" customFormat="1" spans="1:8">
      <c r="A4412" s="4" t="s">
        <v>205</v>
      </c>
      <c r="B4412" s="4" t="s">
        <v>88</v>
      </c>
      <c r="C4412" s="4" t="s">
        <v>89</v>
      </c>
      <c r="D4412" s="11" t="s">
        <v>8840</v>
      </c>
      <c r="E4412" s="4">
        <v>4315305</v>
      </c>
      <c r="F4412" s="11" t="s">
        <v>8841</v>
      </c>
      <c r="G4412" s="4" t="s">
        <v>243</v>
      </c>
      <c r="H4412" s="4"/>
    </row>
    <row r="4413" s="1" customFormat="1" spans="1:8">
      <c r="A4413" s="4" t="s">
        <v>205</v>
      </c>
      <c r="B4413" s="4" t="s">
        <v>88</v>
      </c>
      <c r="C4413" s="4" t="s">
        <v>89</v>
      </c>
      <c r="D4413" s="11" t="s">
        <v>8842</v>
      </c>
      <c r="E4413" s="4">
        <v>4315958</v>
      </c>
      <c r="F4413" s="11" t="s">
        <v>8843</v>
      </c>
      <c r="G4413" s="4" t="s">
        <v>243</v>
      </c>
      <c r="H4413" s="4"/>
    </row>
    <row r="4414" s="1" customFormat="1" spans="1:8">
      <c r="A4414" s="4" t="s">
        <v>205</v>
      </c>
      <c r="B4414" s="4" t="s">
        <v>88</v>
      </c>
      <c r="C4414" s="4" t="s">
        <v>89</v>
      </c>
      <c r="D4414" s="11" t="s">
        <v>8844</v>
      </c>
      <c r="E4414" s="4">
        <v>4316303</v>
      </c>
      <c r="F4414" s="11" t="s">
        <v>8845</v>
      </c>
      <c r="G4414" s="4" t="s">
        <v>243</v>
      </c>
      <c r="H4414" s="4"/>
    </row>
    <row r="4415" s="1" customFormat="1" spans="1:8">
      <c r="A4415" s="4" t="s">
        <v>205</v>
      </c>
      <c r="B4415" s="4" t="s">
        <v>88</v>
      </c>
      <c r="C4415" s="4" t="s">
        <v>89</v>
      </c>
      <c r="D4415" s="11" t="s">
        <v>8846</v>
      </c>
      <c r="E4415" s="4">
        <v>4316477</v>
      </c>
      <c r="F4415" s="11" t="s">
        <v>8847</v>
      </c>
      <c r="G4415" s="4" t="s">
        <v>243</v>
      </c>
      <c r="H4415" s="4"/>
    </row>
    <row r="4416" s="1" customFormat="1" spans="1:8">
      <c r="A4416" s="4" t="s">
        <v>205</v>
      </c>
      <c r="B4416" s="4" t="s">
        <v>88</v>
      </c>
      <c r="C4416" s="4" t="s">
        <v>89</v>
      </c>
      <c r="D4416" s="11" t="s">
        <v>8848</v>
      </c>
      <c r="E4416" s="4">
        <v>4317202</v>
      </c>
      <c r="F4416" s="11" t="s">
        <v>8849</v>
      </c>
      <c r="G4416" s="4" t="s">
        <v>243</v>
      </c>
      <c r="H4416" s="4"/>
    </row>
    <row r="4417" s="1" customFormat="1" spans="1:8">
      <c r="A4417" s="4" t="s">
        <v>205</v>
      </c>
      <c r="B4417" s="4" t="s">
        <v>88</v>
      </c>
      <c r="C4417" s="4" t="s">
        <v>89</v>
      </c>
      <c r="D4417" s="11" t="s">
        <v>8850</v>
      </c>
      <c r="E4417" s="4">
        <v>4317301</v>
      </c>
      <c r="F4417" s="11" t="s">
        <v>8851</v>
      </c>
      <c r="G4417" s="4" t="s">
        <v>243</v>
      </c>
      <c r="H4417" s="4"/>
    </row>
    <row r="4418" s="1" customFormat="1" spans="1:8">
      <c r="A4418" s="4" t="s">
        <v>205</v>
      </c>
      <c r="B4418" s="4" t="s">
        <v>88</v>
      </c>
      <c r="C4418" s="4" t="s">
        <v>89</v>
      </c>
      <c r="D4418" s="11" t="s">
        <v>8852</v>
      </c>
      <c r="E4418" s="4">
        <v>4317103</v>
      </c>
      <c r="F4418" s="11" t="s">
        <v>8853</v>
      </c>
      <c r="G4418" s="4" t="s">
        <v>243</v>
      </c>
      <c r="H4418" s="4"/>
    </row>
    <row r="4419" s="1" customFormat="1" spans="1:8">
      <c r="A4419" s="4" t="s">
        <v>205</v>
      </c>
      <c r="B4419" s="4" t="s">
        <v>88</v>
      </c>
      <c r="C4419" s="4" t="s">
        <v>89</v>
      </c>
      <c r="D4419" s="11" t="s">
        <v>8854</v>
      </c>
      <c r="E4419" s="4">
        <v>4317707</v>
      </c>
      <c r="F4419" s="11" t="s">
        <v>8855</v>
      </c>
      <c r="G4419" s="4" t="s">
        <v>243</v>
      </c>
      <c r="H4419" s="4"/>
    </row>
    <row r="4420" s="1" customFormat="1" spans="1:8">
      <c r="A4420" s="4" t="s">
        <v>205</v>
      </c>
      <c r="B4420" s="4" t="s">
        <v>88</v>
      </c>
      <c r="C4420" s="4" t="s">
        <v>89</v>
      </c>
      <c r="D4420" s="11" t="s">
        <v>8856</v>
      </c>
      <c r="E4420" s="4">
        <v>4317905</v>
      </c>
      <c r="F4420" s="11" t="s">
        <v>8857</v>
      </c>
      <c r="G4420" s="4" t="s">
        <v>243</v>
      </c>
      <c r="H4420" s="4"/>
    </row>
    <row r="4421" s="1" customFormat="1" spans="1:8">
      <c r="A4421" s="4" t="s">
        <v>205</v>
      </c>
      <c r="B4421" s="4" t="s">
        <v>88</v>
      </c>
      <c r="C4421" s="4" t="s">
        <v>89</v>
      </c>
      <c r="D4421" s="11" t="s">
        <v>8858</v>
      </c>
      <c r="E4421" s="4">
        <v>4320321</v>
      </c>
      <c r="F4421" s="11" t="s">
        <v>8859</v>
      </c>
      <c r="G4421" s="4" t="s">
        <v>243</v>
      </c>
      <c r="H4421" s="4"/>
    </row>
    <row r="4422" s="1" customFormat="1" spans="1:8">
      <c r="A4422" s="4" t="s">
        <v>205</v>
      </c>
      <c r="B4422" s="4" t="s">
        <v>88</v>
      </c>
      <c r="C4422" s="4" t="s">
        <v>89</v>
      </c>
      <c r="D4422" s="11" t="s">
        <v>8860</v>
      </c>
      <c r="E4422" s="4">
        <v>4318002</v>
      </c>
      <c r="F4422" s="11" t="s">
        <v>8861</v>
      </c>
      <c r="G4422" s="4" t="s">
        <v>243</v>
      </c>
      <c r="H4422" s="4"/>
    </row>
    <row r="4423" s="1" customFormat="1" spans="1:8">
      <c r="A4423" s="4" t="s">
        <v>205</v>
      </c>
      <c r="B4423" s="4" t="s">
        <v>88</v>
      </c>
      <c r="C4423" s="4" t="s">
        <v>89</v>
      </c>
      <c r="D4423" s="11" t="s">
        <v>8862</v>
      </c>
      <c r="E4423" s="4">
        <v>4318499</v>
      </c>
      <c r="F4423" s="11" t="s">
        <v>8863</v>
      </c>
      <c r="G4423" s="4" t="s">
        <v>243</v>
      </c>
      <c r="H4423" s="4"/>
    </row>
    <row r="4424" s="1" customFormat="1" spans="1:8">
      <c r="A4424" s="4" t="s">
        <v>205</v>
      </c>
      <c r="B4424" s="4" t="s">
        <v>88</v>
      </c>
      <c r="C4424" s="4" t="s">
        <v>89</v>
      </c>
      <c r="D4424" s="11" t="s">
        <v>8864</v>
      </c>
      <c r="E4424" s="4">
        <v>4318903</v>
      </c>
      <c r="F4424" s="11" t="s">
        <v>8865</v>
      </c>
      <c r="G4424" s="4" t="s">
        <v>243</v>
      </c>
      <c r="H4424" s="4"/>
    </row>
    <row r="4425" s="1" customFormat="1" spans="1:8">
      <c r="A4425" s="4" t="s">
        <v>205</v>
      </c>
      <c r="B4425" s="4" t="s">
        <v>88</v>
      </c>
      <c r="C4425" s="4" t="s">
        <v>89</v>
      </c>
      <c r="D4425" s="11" t="s">
        <v>8866</v>
      </c>
      <c r="E4425" s="4">
        <v>4319158</v>
      </c>
      <c r="F4425" s="11" t="s">
        <v>8867</v>
      </c>
      <c r="G4425" s="4" t="s">
        <v>243</v>
      </c>
      <c r="H4425" s="4"/>
    </row>
    <row r="4426" s="1" customFormat="1" spans="1:8">
      <c r="A4426" s="4" t="s">
        <v>205</v>
      </c>
      <c r="B4426" s="4" t="s">
        <v>88</v>
      </c>
      <c r="C4426" s="4" t="s">
        <v>89</v>
      </c>
      <c r="D4426" s="11" t="s">
        <v>8868</v>
      </c>
      <c r="E4426" s="4">
        <v>4319208</v>
      </c>
      <c r="F4426" s="11" t="s">
        <v>8869</v>
      </c>
      <c r="G4426" s="4" t="s">
        <v>243</v>
      </c>
      <c r="H4426" s="4"/>
    </row>
    <row r="4427" s="1" customFormat="1" spans="1:8">
      <c r="A4427" s="4" t="s">
        <v>205</v>
      </c>
      <c r="B4427" s="4" t="s">
        <v>88</v>
      </c>
      <c r="C4427" s="4" t="s">
        <v>89</v>
      </c>
      <c r="D4427" s="11" t="s">
        <v>8870</v>
      </c>
      <c r="E4427" s="4">
        <v>4319307</v>
      </c>
      <c r="F4427" s="11" t="s">
        <v>8871</v>
      </c>
      <c r="G4427" s="4" t="s">
        <v>243</v>
      </c>
      <c r="H4427" s="4"/>
    </row>
    <row r="4428" s="1" customFormat="1" spans="1:8">
      <c r="A4428" s="4" t="s">
        <v>205</v>
      </c>
      <c r="B4428" s="4" t="s">
        <v>88</v>
      </c>
      <c r="C4428" s="4" t="s">
        <v>89</v>
      </c>
      <c r="D4428" s="11" t="s">
        <v>8872</v>
      </c>
      <c r="E4428" s="4">
        <v>4319364</v>
      </c>
      <c r="F4428" s="11" t="s">
        <v>8873</v>
      </c>
      <c r="G4428" s="4" t="s">
        <v>243</v>
      </c>
      <c r="H4428" s="4"/>
    </row>
    <row r="4429" s="1" customFormat="1" spans="1:8">
      <c r="A4429" s="4" t="s">
        <v>205</v>
      </c>
      <c r="B4429" s="4" t="s">
        <v>88</v>
      </c>
      <c r="C4429" s="4" t="s">
        <v>89</v>
      </c>
      <c r="D4429" s="11" t="s">
        <v>8874</v>
      </c>
      <c r="E4429" s="4">
        <v>4319372</v>
      </c>
      <c r="F4429" s="11" t="s">
        <v>8875</v>
      </c>
      <c r="G4429" s="4" t="s">
        <v>243</v>
      </c>
      <c r="H4429" s="4"/>
    </row>
    <row r="4430" s="1" customFormat="1" spans="1:8">
      <c r="A4430" s="4" t="s">
        <v>205</v>
      </c>
      <c r="B4430" s="4" t="s">
        <v>88</v>
      </c>
      <c r="C4430" s="4" t="s">
        <v>89</v>
      </c>
      <c r="D4430" s="11" t="s">
        <v>8876</v>
      </c>
      <c r="E4430" s="4">
        <v>4321477</v>
      </c>
      <c r="F4430" s="11" t="s">
        <v>8877</v>
      </c>
      <c r="G4430" s="4" t="s">
        <v>243</v>
      </c>
      <c r="H4430" s="4"/>
    </row>
    <row r="4431" s="1" customFormat="1" spans="1:8">
      <c r="A4431" s="4" t="s">
        <v>205</v>
      </c>
      <c r="B4431" s="4" t="s">
        <v>88</v>
      </c>
      <c r="C4431" s="4" t="s">
        <v>89</v>
      </c>
      <c r="D4431" s="11" t="s">
        <v>8878</v>
      </c>
      <c r="E4431" s="4">
        <v>4321808</v>
      </c>
      <c r="F4431" s="11" t="s">
        <v>8879</v>
      </c>
      <c r="G4431" s="4" t="s">
        <v>243</v>
      </c>
      <c r="H4431" s="4"/>
    </row>
    <row r="4432" s="1" customFormat="1" spans="1:8">
      <c r="A4432" s="4" t="s">
        <v>205</v>
      </c>
      <c r="B4432" s="4" t="s">
        <v>88</v>
      </c>
      <c r="C4432" s="4" t="s">
        <v>89</v>
      </c>
      <c r="D4432" s="11" t="s">
        <v>8880</v>
      </c>
      <c r="E4432" s="4">
        <v>4321907</v>
      </c>
      <c r="F4432" s="11" t="s">
        <v>8881</v>
      </c>
      <c r="G4432" s="4" t="s">
        <v>243</v>
      </c>
      <c r="H4432" s="4"/>
    </row>
    <row r="4433" s="1" customFormat="1" spans="1:8">
      <c r="A4433" s="4" t="s">
        <v>205</v>
      </c>
      <c r="B4433" s="4" t="s">
        <v>88</v>
      </c>
      <c r="C4433" s="4" t="s">
        <v>89</v>
      </c>
      <c r="D4433" s="11" t="s">
        <v>8882</v>
      </c>
      <c r="E4433" s="4">
        <v>4322103</v>
      </c>
      <c r="F4433" s="11" t="s">
        <v>8883</v>
      </c>
      <c r="G4433" s="4" t="s">
        <v>243</v>
      </c>
      <c r="H4433" s="4"/>
    </row>
    <row r="4434" s="1" customFormat="1" spans="1:8">
      <c r="A4434" s="4" t="s">
        <v>205</v>
      </c>
      <c r="B4434" s="4" t="s">
        <v>88</v>
      </c>
      <c r="C4434" s="4" t="s">
        <v>89</v>
      </c>
      <c r="D4434" s="11" t="s">
        <v>8884</v>
      </c>
      <c r="E4434" s="4">
        <v>4322301</v>
      </c>
      <c r="F4434" s="11" t="s">
        <v>8885</v>
      </c>
      <c r="G4434" s="4" t="s">
        <v>243</v>
      </c>
      <c r="H4434" s="4"/>
    </row>
    <row r="4435" s="1" customFormat="1" spans="1:8">
      <c r="A4435" s="4" t="s">
        <v>205</v>
      </c>
      <c r="B4435" s="4" t="s">
        <v>88</v>
      </c>
      <c r="C4435" s="4" t="s">
        <v>89</v>
      </c>
      <c r="D4435" s="11" t="s">
        <v>8886</v>
      </c>
      <c r="E4435" s="4">
        <v>4322343</v>
      </c>
      <c r="F4435" s="11" t="s">
        <v>8887</v>
      </c>
      <c r="G4435" s="4" t="s">
        <v>243</v>
      </c>
      <c r="H4435" s="4"/>
    </row>
    <row r="4436" s="1" customFormat="1" spans="1:8">
      <c r="A4436" s="4" t="s">
        <v>205</v>
      </c>
      <c r="B4436" s="4" t="s">
        <v>88</v>
      </c>
      <c r="C4436" s="4" t="s">
        <v>89</v>
      </c>
      <c r="D4436" s="11" t="s">
        <v>8888</v>
      </c>
      <c r="E4436" s="4">
        <v>4322376</v>
      </c>
      <c r="F4436" s="11" t="s">
        <v>8889</v>
      </c>
      <c r="G4436" s="4" t="s">
        <v>243</v>
      </c>
      <c r="H4436" s="4"/>
    </row>
    <row r="4437" s="1" customFormat="1" spans="1:8">
      <c r="A4437" s="4" t="s">
        <v>205</v>
      </c>
      <c r="B4437" s="4" t="s">
        <v>88</v>
      </c>
      <c r="C4437" s="4" t="s">
        <v>89</v>
      </c>
      <c r="D4437" s="11" t="s">
        <v>8890</v>
      </c>
      <c r="E4437" s="4">
        <v>4322400</v>
      </c>
      <c r="F4437" s="11" t="s">
        <v>8891</v>
      </c>
      <c r="G4437" s="4" t="s">
        <v>243</v>
      </c>
      <c r="H4437" s="4"/>
    </row>
    <row r="4438" s="1" customFormat="1" spans="1:8">
      <c r="A4438" s="4" t="s">
        <v>205</v>
      </c>
      <c r="B4438" s="4" t="s">
        <v>88</v>
      </c>
      <c r="C4438" s="4" t="s">
        <v>91</v>
      </c>
      <c r="D4438" s="11" t="s">
        <v>92</v>
      </c>
      <c r="E4438" s="4">
        <v>4209102</v>
      </c>
      <c r="F4438" s="11" t="s">
        <v>8892</v>
      </c>
      <c r="G4438" s="4" t="s">
        <v>207</v>
      </c>
      <c r="H4438" s="13"/>
    </row>
    <row r="4439" s="1" customFormat="1" spans="1:8">
      <c r="A4439" s="4" t="s">
        <v>205</v>
      </c>
      <c r="B4439" s="4" t="s">
        <v>88</v>
      </c>
      <c r="C4439" s="4" t="s">
        <v>91</v>
      </c>
      <c r="D4439" s="11" t="s">
        <v>8893</v>
      </c>
      <c r="E4439" s="4">
        <v>4201307</v>
      </c>
      <c r="F4439" s="11" t="s">
        <v>8894</v>
      </c>
      <c r="G4439" s="4" t="s">
        <v>210</v>
      </c>
      <c r="H4439" s="13"/>
    </row>
    <row r="4440" s="1" customFormat="1" spans="1:8">
      <c r="A4440" s="4" t="s">
        <v>205</v>
      </c>
      <c r="B4440" s="4" t="s">
        <v>88</v>
      </c>
      <c r="C4440" s="4" t="s">
        <v>91</v>
      </c>
      <c r="D4440" s="11" t="s">
        <v>8895</v>
      </c>
      <c r="E4440" s="4">
        <v>4205803</v>
      </c>
      <c r="F4440" s="11" t="s">
        <v>8896</v>
      </c>
      <c r="G4440" s="4" t="s">
        <v>210</v>
      </c>
      <c r="H4440" s="13"/>
    </row>
    <row r="4441" s="1" customFormat="1" spans="1:8">
      <c r="A4441" s="4" t="s">
        <v>205</v>
      </c>
      <c r="B4441" s="4" t="s">
        <v>88</v>
      </c>
      <c r="C4441" s="4" t="s">
        <v>91</v>
      </c>
      <c r="D4441" s="11" t="s">
        <v>8897</v>
      </c>
      <c r="E4441" s="4">
        <v>4211256</v>
      </c>
      <c r="F4441" s="11" t="s">
        <v>8898</v>
      </c>
      <c r="G4441" s="4" t="s">
        <v>210</v>
      </c>
      <c r="H4441" s="13"/>
    </row>
    <row r="4442" s="1" customFormat="1" spans="1:8">
      <c r="A4442" s="4" t="s">
        <v>205</v>
      </c>
      <c r="B4442" s="4" t="s">
        <v>88</v>
      </c>
      <c r="C4442" s="4" t="s">
        <v>91</v>
      </c>
      <c r="D4442" s="11" t="s">
        <v>8899</v>
      </c>
      <c r="E4442" s="4">
        <v>4200200</v>
      </c>
      <c r="F4442" s="11" t="s">
        <v>8900</v>
      </c>
      <c r="G4442" s="4" t="s">
        <v>215</v>
      </c>
      <c r="H4442" s="13"/>
    </row>
    <row r="4443" s="1" customFormat="1" spans="1:8">
      <c r="A4443" s="4" t="s">
        <v>205</v>
      </c>
      <c r="B4443" s="4" t="s">
        <v>88</v>
      </c>
      <c r="C4443" s="4" t="s">
        <v>91</v>
      </c>
      <c r="D4443" s="11" t="s">
        <v>8901</v>
      </c>
      <c r="E4443" s="4">
        <v>4200309</v>
      </c>
      <c r="F4443" s="11" t="s">
        <v>8902</v>
      </c>
      <c r="G4443" s="4" t="s">
        <v>215</v>
      </c>
      <c r="H4443" s="13"/>
    </row>
    <row r="4444" s="1" customFormat="1" spans="1:8">
      <c r="A4444" s="4" t="s">
        <v>205</v>
      </c>
      <c r="B4444" s="4" t="s">
        <v>88</v>
      </c>
      <c r="C4444" s="4" t="s">
        <v>91</v>
      </c>
      <c r="D4444" s="11" t="s">
        <v>8903</v>
      </c>
      <c r="E4444" s="4">
        <v>4200903</v>
      </c>
      <c r="F4444" s="11" t="s">
        <v>8904</v>
      </c>
      <c r="G4444" s="4" t="s">
        <v>215</v>
      </c>
      <c r="H4444" s="13"/>
    </row>
    <row r="4445" s="1" customFormat="1" spans="1:8">
      <c r="A4445" s="4" t="s">
        <v>205</v>
      </c>
      <c r="B4445" s="4" t="s">
        <v>88</v>
      </c>
      <c r="C4445" s="4" t="s">
        <v>91</v>
      </c>
      <c r="D4445" s="11" t="s">
        <v>8905</v>
      </c>
      <c r="E4445" s="4">
        <v>4201109</v>
      </c>
      <c r="F4445" s="11" t="s">
        <v>8906</v>
      </c>
      <c r="G4445" s="4" t="s">
        <v>215</v>
      </c>
      <c r="H4445" s="13"/>
    </row>
    <row r="4446" s="1" customFormat="1" spans="1:8">
      <c r="A4446" s="4" t="s">
        <v>205</v>
      </c>
      <c r="B4446" s="4" t="s">
        <v>88</v>
      </c>
      <c r="C4446" s="4" t="s">
        <v>91</v>
      </c>
      <c r="D4446" s="11" t="s">
        <v>2961</v>
      </c>
      <c r="E4446" s="4">
        <v>4201208</v>
      </c>
      <c r="F4446" s="11" t="s">
        <v>8907</v>
      </c>
      <c r="G4446" s="4" t="s">
        <v>215</v>
      </c>
      <c r="H4446" s="13"/>
    </row>
    <row r="4447" s="1" customFormat="1" spans="1:8">
      <c r="A4447" s="4" t="s">
        <v>205</v>
      </c>
      <c r="B4447" s="4" t="s">
        <v>88</v>
      </c>
      <c r="C4447" s="4" t="s">
        <v>91</v>
      </c>
      <c r="D4447" s="11" t="s">
        <v>8908</v>
      </c>
      <c r="E4447" s="4">
        <v>4201257</v>
      </c>
      <c r="F4447" s="11" t="s">
        <v>8909</v>
      </c>
      <c r="G4447" s="4" t="s">
        <v>215</v>
      </c>
      <c r="H4447" s="13"/>
    </row>
    <row r="4448" s="1" customFormat="1" spans="1:8">
      <c r="A4448" s="4" t="s">
        <v>205</v>
      </c>
      <c r="B4448" s="4" t="s">
        <v>88</v>
      </c>
      <c r="C4448" s="4" t="s">
        <v>91</v>
      </c>
      <c r="D4448" s="11" t="s">
        <v>8910</v>
      </c>
      <c r="E4448" s="4">
        <v>4201703</v>
      </c>
      <c r="F4448" s="11" t="s">
        <v>8911</v>
      </c>
      <c r="G4448" s="4" t="s">
        <v>215</v>
      </c>
      <c r="H4448" s="13"/>
    </row>
    <row r="4449" s="1" customFormat="1" spans="1:8">
      <c r="A4449" s="4" t="s">
        <v>205</v>
      </c>
      <c r="B4449" s="4" t="s">
        <v>88</v>
      </c>
      <c r="C4449" s="4" t="s">
        <v>91</v>
      </c>
      <c r="D4449" s="11" t="s">
        <v>8912</v>
      </c>
      <c r="E4449" s="4">
        <v>4201802</v>
      </c>
      <c r="F4449" s="11" t="s">
        <v>8913</v>
      </c>
      <c r="G4449" s="4" t="s">
        <v>215</v>
      </c>
      <c r="H4449" s="13"/>
    </row>
    <row r="4450" s="1" customFormat="1" spans="1:8">
      <c r="A4450" s="4" t="s">
        <v>205</v>
      </c>
      <c r="B4450" s="4" t="s">
        <v>88</v>
      </c>
      <c r="C4450" s="4" t="s">
        <v>91</v>
      </c>
      <c r="D4450" s="11" t="s">
        <v>1741</v>
      </c>
      <c r="E4450" s="4">
        <v>4201901</v>
      </c>
      <c r="F4450" s="11" t="s">
        <v>8914</v>
      </c>
      <c r="G4450" s="4" t="s">
        <v>215</v>
      </c>
      <c r="H4450" s="13"/>
    </row>
    <row r="4451" s="1" customFormat="1" spans="1:8">
      <c r="A4451" s="4" t="s">
        <v>205</v>
      </c>
      <c r="B4451" s="4" t="s">
        <v>88</v>
      </c>
      <c r="C4451" s="4" t="s">
        <v>91</v>
      </c>
      <c r="D4451" s="11" t="s">
        <v>8915</v>
      </c>
      <c r="E4451" s="4">
        <v>4202057</v>
      </c>
      <c r="F4451" s="11" t="s">
        <v>8916</v>
      </c>
      <c r="G4451" s="4" t="s">
        <v>215</v>
      </c>
      <c r="H4451" s="13"/>
    </row>
    <row r="4452" s="1" customFormat="1" spans="1:8">
      <c r="A4452" s="4" t="s">
        <v>205</v>
      </c>
      <c r="B4452" s="4" t="s">
        <v>88</v>
      </c>
      <c r="C4452" s="4" t="s">
        <v>91</v>
      </c>
      <c r="D4452" s="11" t="s">
        <v>8917</v>
      </c>
      <c r="E4452" s="4">
        <v>4202008</v>
      </c>
      <c r="F4452" s="11" t="s">
        <v>8918</v>
      </c>
      <c r="G4452" s="4" t="s">
        <v>215</v>
      </c>
      <c r="H4452" s="13"/>
    </row>
    <row r="4453" s="1" customFormat="1" spans="1:8">
      <c r="A4453" s="4" t="s">
        <v>205</v>
      </c>
      <c r="B4453" s="4" t="s">
        <v>88</v>
      </c>
      <c r="C4453" s="4" t="s">
        <v>91</v>
      </c>
      <c r="D4453" s="11" t="s">
        <v>8919</v>
      </c>
      <c r="E4453" s="4">
        <v>4212809</v>
      </c>
      <c r="F4453" s="11" t="s">
        <v>8920</v>
      </c>
      <c r="G4453" s="4" t="s">
        <v>215</v>
      </c>
      <c r="H4453" s="13"/>
    </row>
    <row r="4454" s="1" customFormat="1" spans="1:8">
      <c r="A4454" s="4" t="s">
        <v>205</v>
      </c>
      <c r="B4454" s="4" t="s">
        <v>88</v>
      </c>
      <c r="C4454" s="4" t="s">
        <v>91</v>
      </c>
      <c r="D4454" s="11" t="s">
        <v>8921</v>
      </c>
      <c r="E4454" s="4">
        <v>4202107</v>
      </c>
      <c r="F4454" s="11" t="s">
        <v>8922</v>
      </c>
      <c r="G4454" s="4" t="s">
        <v>215</v>
      </c>
      <c r="H4454" s="13"/>
    </row>
    <row r="4455" s="1" customFormat="1" spans="1:8">
      <c r="A4455" s="4" t="s">
        <v>205</v>
      </c>
      <c r="B4455" s="4" t="s">
        <v>88</v>
      </c>
      <c r="C4455" s="4" t="s">
        <v>91</v>
      </c>
      <c r="D4455" s="11" t="s">
        <v>8923</v>
      </c>
      <c r="E4455" s="4">
        <v>4202131</v>
      </c>
      <c r="F4455" s="11" t="s">
        <v>8924</v>
      </c>
      <c r="G4455" s="4" t="s">
        <v>215</v>
      </c>
      <c r="H4455" s="13"/>
    </row>
    <row r="4456" s="1" customFormat="1" spans="1:8">
      <c r="A4456" s="4" t="s">
        <v>205</v>
      </c>
      <c r="B4456" s="4" t="s">
        <v>88</v>
      </c>
      <c r="C4456" s="4" t="s">
        <v>91</v>
      </c>
      <c r="D4456" s="11" t="s">
        <v>8925</v>
      </c>
      <c r="E4456" s="4">
        <v>4202206</v>
      </c>
      <c r="F4456" s="11" t="s">
        <v>8926</v>
      </c>
      <c r="G4456" s="4" t="s">
        <v>215</v>
      </c>
      <c r="H4456" s="13"/>
    </row>
    <row r="4457" s="1" customFormat="1" spans="1:8">
      <c r="A4457" s="4" t="s">
        <v>205</v>
      </c>
      <c r="B4457" s="4" t="s">
        <v>88</v>
      </c>
      <c r="C4457" s="4" t="s">
        <v>91</v>
      </c>
      <c r="D4457" s="11" t="s">
        <v>8927</v>
      </c>
      <c r="E4457" s="4">
        <v>4202305</v>
      </c>
      <c r="F4457" s="11" t="s">
        <v>8928</v>
      </c>
      <c r="G4457" s="4" t="s">
        <v>215</v>
      </c>
      <c r="H4457" s="13"/>
    </row>
    <row r="4458" s="1" customFormat="1" spans="1:8">
      <c r="A4458" s="4" t="s">
        <v>205</v>
      </c>
      <c r="B4458" s="4" t="s">
        <v>88</v>
      </c>
      <c r="C4458" s="4" t="s">
        <v>91</v>
      </c>
      <c r="D4458" s="11" t="s">
        <v>8929</v>
      </c>
      <c r="E4458" s="4">
        <v>4202404</v>
      </c>
      <c r="F4458" s="11" t="s">
        <v>8930</v>
      </c>
      <c r="G4458" s="4" t="s">
        <v>215</v>
      </c>
      <c r="H4458" s="13"/>
    </row>
    <row r="4459" s="1" customFormat="1" spans="1:8">
      <c r="A4459" s="4" t="s">
        <v>205</v>
      </c>
      <c r="B4459" s="4" t="s">
        <v>88</v>
      </c>
      <c r="C4459" s="4" t="s">
        <v>91</v>
      </c>
      <c r="D4459" s="11" t="s">
        <v>8931</v>
      </c>
      <c r="E4459" s="4">
        <v>4202453</v>
      </c>
      <c r="F4459" s="11" t="s">
        <v>8932</v>
      </c>
      <c r="G4459" s="4" t="s">
        <v>215</v>
      </c>
      <c r="H4459" s="13"/>
    </row>
    <row r="4460" s="1" customFormat="1" spans="1:8">
      <c r="A4460" s="4" t="s">
        <v>205</v>
      </c>
      <c r="B4460" s="4" t="s">
        <v>88</v>
      </c>
      <c r="C4460" s="4" t="s">
        <v>91</v>
      </c>
      <c r="D4460" s="11" t="s">
        <v>8933</v>
      </c>
      <c r="E4460" s="4">
        <v>4202701</v>
      </c>
      <c r="F4460" s="11" t="s">
        <v>8934</v>
      </c>
      <c r="G4460" s="4" t="s">
        <v>215</v>
      </c>
      <c r="H4460" s="13"/>
    </row>
    <row r="4461" s="1" customFormat="1" spans="1:8">
      <c r="A4461" s="4" t="s">
        <v>205</v>
      </c>
      <c r="B4461" s="4" t="s">
        <v>88</v>
      </c>
      <c r="C4461" s="4" t="s">
        <v>91</v>
      </c>
      <c r="D4461" s="11" t="s">
        <v>8935</v>
      </c>
      <c r="E4461" s="4">
        <v>4202859</v>
      </c>
      <c r="F4461" s="11" t="s">
        <v>8936</v>
      </c>
      <c r="G4461" s="4" t="s">
        <v>215</v>
      </c>
      <c r="H4461" s="13"/>
    </row>
    <row r="4462" s="1" customFormat="1" spans="1:8">
      <c r="A4462" s="4" t="s">
        <v>205</v>
      </c>
      <c r="B4462" s="4" t="s">
        <v>88</v>
      </c>
      <c r="C4462" s="4" t="s">
        <v>91</v>
      </c>
      <c r="D4462" s="11" t="s">
        <v>8937</v>
      </c>
      <c r="E4462" s="4">
        <v>4202909</v>
      </c>
      <c r="F4462" s="11" t="s">
        <v>8938</v>
      </c>
      <c r="G4462" s="4" t="s">
        <v>215</v>
      </c>
      <c r="H4462" s="13"/>
    </row>
    <row r="4463" s="1" customFormat="1" spans="1:8">
      <c r="A4463" s="4" t="s">
        <v>205</v>
      </c>
      <c r="B4463" s="4" t="s">
        <v>88</v>
      </c>
      <c r="C4463" s="4" t="s">
        <v>91</v>
      </c>
      <c r="D4463" s="11" t="s">
        <v>8939</v>
      </c>
      <c r="E4463" s="4">
        <v>4203204</v>
      </c>
      <c r="F4463" s="11" t="s">
        <v>8940</v>
      </c>
      <c r="G4463" s="4" t="s">
        <v>215</v>
      </c>
      <c r="H4463" s="13"/>
    </row>
    <row r="4464" s="1" customFormat="1" spans="1:8">
      <c r="A4464" s="4" t="s">
        <v>205</v>
      </c>
      <c r="B4464" s="4" t="s">
        <v>88</v>
      </c>
      <c r="C4464" s="4" t="s">
        <v>91</v>
      </c>
      <c r="D4464" s="11" t="s">
        <v>285</v>
      </c>
      <c r="E4464" s="4">
        <v>4203303</v>
      </c>
      <c r="F4464" s="11" t="s">
        <v>8941</v>
      </c>
      <c r="G4464" s="4" t="s">
        <v>215</v>
      </c>
      <c r="H4464" s="13"/>
    </row>
    <row r="4465" s="1" customFormat="1" spans="1:8">
      <c r="A4465" s="4" t="s">
        <v>205</v>
      </c>
      <c r="B4465" s="4" t="s">
        <v>88</v>
      </c>
      <c r="C4465" s="4" t="s">
        <v>91</v>
      </c>
      <c r="D4465" s="11" t="s">
        <v>8942</v>
      </c>
      <c r="E4465" s="4">
        <v>4203709</v>
      </c>
      <c r="F4465" s="11" t="s">
        <v>8943</v>
      </c>
      <c r="G4465" s="4" t="s">
        <v>215</v>
      </c>
      <c r="H4465" s="13"/>
    </row>
    <row r="4466" s="1" customFormat="1" spans="1:8">
      <c r="A4466" s="4" t="s">
        <v>205</v>
      </c>
      <c r="B4466" s="4" t="s">
        <v>88</v>
      </c>
      <c r="C4466" s="4" t="s">
        <v>91</v>
      </c>
      <c r="D4466" s="11" t="s">
        <v>8944</v>
      </c>
      <c r="E4466" s="4">
        <v>4203808</v>
      </c>
      <c r="F4466" s="11" t="s">
        <v>8945</v>
      </c>
      <c r="G4466" s="4" t="s">
        <v>215</v>
      </c>
      <c r="H4466" s="13"/>
    </row>
    <row r="4467" s="1" customFormat="1" spans="1:8">
      <c r="A4467" s="4" t="s">
        <v>205</v>
      </c>
      <c r="B4467" s="4" t="s">
        <v>88</v>
      </c>
      <c r="C4467" s="4" t="s">
        <v>91</v>
      </c>
      <c r="D4467" s="11" t="s">
        <v>8946</v>
      </c>
      <c r="E4467" s="4">
        <v>4204194</v>
      </c>
      <c r="F4467" s="11" t="s">
        <v>8947</v>
      </c>
      <c r="G4467" s="4" t="s">
        <v>215</v>
      </c>
      <c r="H4467" s="13"/>
    </row>
    <row r="4468" s="1" customFormat="1" spans="1:8">
      <c r="A4468" s="4" t="s">
        <v>205</v>
      </c>
      <c r="B4468" s="4" t="s">
        <v>88</v>
      </c>
      <c r="C4468" s="4" t="s">
        <v>91</v>
      </c>
      <c r="D4468" s="11" t="s">
        <v>8948</v>
      </c>
      <c r="E4468" s="4">
        <v>4204509</v>
      </c>
      <c r="F4468" s="11" t="s">
        <v>8949</v>
      </c>
      <c r="G4468" s="4" t="s">
        <v>215</v>
      </c>
      <c r="H4468" s="13"/>
    </row>
    <row r="4469" s="1" customFormat="1" spans="1:8">
      <c r="A4469" s="4" t="s">
        <v>205</v>
      </c>
      <c r="B4469" s="4" t="s">
        <v>88</v>
      </c>
      <c r="C4469" s="4" t="s">
        <v>91</v>
      </c>
      <c r="D4469" s="11" t="s">
        <v>8950</v>
      </c>
      <c r="E4469" s="4">
        <v>4205100</v>
      </c>
      <c r="F4469" s="11" t="s">
        <v>8951</v>
      </c>
      <c r="G4469" s="4" t="s">
        <v>215</v>
      </c>
      <c r="H4469" s="13"/>
    </row>
    <row r="4470" s="1" customFormat="1" spans="1:8">
      <c r="A4470" s="4" t="s">
        <v>205</v>
      </c>
      <c r="B4470" s="4" t="s">
        <v>88</v>
      </c>
      <c r="C4470" s="4" t="s">
        <v>91</v>
      </c>
      <c r="D4470" s="11" t="s">
        <v>8952</v>
      </c>
      <c r="E4470" s="4">
        <v>4205159</v>
      </c>
      <c r="F4470" s="11" t="s">
        <v>8953</v>
      </c>
      <c r="G4470" s="4" t="s">
        <v>215</v>
      </c>
      <c r="H4470" s="13"/>
    </row>
    <row r="4471" s="1" customFormat="1" spans="1:8">
      <c r="A4471" s="4" t="s">
        <v>205</v>
      </c>
      <c r="B4471" s="4" t="s">
        <v>88</v>
      </c>
      <c r="C4471" s="4" t="s">
        <v>91</v>
      </c>
      <c r="D4471" s="11" t="s">
        <v>8954</v>
      </c>
      <c r="E4471" s="4">
        <v>4205407</v>
      </c>
      <c r="F4471" s="11" t="s">
        <v>8955</v>
      </c>
      <c r="G4471" s="4" t="s">
        <v>215</v>
      </c>
      <c r="H4471" s="13"/>
    </row>
    <row r="4472" s="1" customFormat="1" spans="1:8">
      <c r="A4472" s="4" t="s">
        <v>205</v>
      </c>
      <c r="B4472" s="4" t="s">
        <v>88</v>
      </c>
      <c r="C4472" s="4" t="s">
        <v>91</v>
      </c>
      <c r="D4472" s="11" t="s">
        <v>8956</v>
      </c>
      <c r="E4472" s="4">
        <v>4205704</v>
      </c>
      <c r="F4472" s="11" t="s">
        <v>8957</v>
      </c>
      <c r="G4472" s="4" t="s">
        <v>215</v>
      </c>
      <c r="H4472" s="13"/>
    </row>
    <row r="4473" s="1" customFormat="1" spans="1:8">
      <c r="A4473" s="4" t="s">
        <v>205</v>
      </c>
      <c r="B4473" s="4" t="s">
        <v>88</v>
      </c>
      <c r="C4473" s="4" t="s">
        <v>91</v>
      </c>
      <c r="D4473" s="11" t="s">
        <v>8958</v>
      </c>
      <c r="E4473" s="4">
        <v>4205902</v>
      </c>
      <c r="F4473" s="11" t="s">
        <v>8959</v>
      </c>
      <c r="G4473" s="4" t="s">
        <v>215</v>
      </c>
      <c r="H4473" s="13"/>
    </row>
    <row r="4474" s="1" customFormat="1" spans="1:8">
      <c r="A4474" s="4" t="s">
        <v>205</v>
      </c>
      <c r="B4474" s="4" t="s">
        <v>88</v>
      </c>
      <c r="C4474" s="4" t="s">
        <v>91</v>
      </c>
      <c r="D4474" s="11" t="s">
        <v>8960</v>
      </c>
      <c r="E4474" s="4">
        <v>4206009</v>
      </c>
      <c r="F4474" s="11" t="s">
        <v>8961</v>
      </c>
      <c r="G4474" s="4" t="s">
        <v>215</v>
      </c>
      <c r="H4474" s="13"/>
    </row>
    <row r="4475" s="1" customFormat="1" spans="1:8">
      <c r="A4475" s="4" t="s">
        <v>205</v>
      </c>
      <c r="B4475" s="4" t="s">
        <v>88</v>
      </c>
      <c r="C4475" s="4" t="s">
        <v>91</v>
      </c>
      <c r="D4475" s="11" t="s">
        <v>8962</v>
      </c>
      <c r="E4475" s="4">
        <v>4206306</v>
      </c>
      <c r="F4475" s="11" t="s">
        <v>8963</v>
      </c>
      <c r="G4475" s="4" t="s">
        <v>215</v>
      </c>
      <c r="H4475" s="13"/>
    </row>
    <row r="4476" s="1" customFormat="1" spans="1:8">
      <c r="A4476" s="4" t="s">
        <v>205</v>
      </c>
      <c r="B4476" s="4" t="s">
        <v>88</v>
      </c>
      <c r="C4476" s="4" t="s">
        <v>91</v>
      </c>
      <c r="D4476" s="11" t="s">
        <v>8964</v>
      </c>
      <c r="E4476" s="4">
        <v>4206504</v>
      </c>
      <c r="F4476" s="11" t="s">
        <v>8965</v>
      </c>
      <c r="G4476" s="4" t="s">
        <v>215</v>
      </c>
      <c r="H4476" s="13"/>
    </row>
    <row r="4477" s="1" customFormat="1" spans="1:8">
      <c r="A4477" s="4" t="s">
        <v>205</v>
      </c>
      <c r="B4477" s="4" t="s">
        <v>88</v>
      </c>
      <c r="C4477" s="4" t="s">
        <v>91</v>
      </c>
      <c r="D4477" s="11" t="s">
        <v>8966</v>
      </c>
      <c r="E4477" s="4">
        <v>4206900</v>
      </c>
      <c r="F4477" s="11" t="s">
        <v>8967</v>
      </c>
      <c r="G4477" s="4" t="s">
        <v>215</v>
      </c>
      <c r="H4477" s="13"/>
    </row>
    <row r="4478" s="1" customFormat="1" spans="1:8">
      <c r="A4478" s="4" t="s">
        <v>205</v>
      </c>
      <c r="B4478" s="4" t="s">
        <v>88</v>
      </c>
      <c r="C4478" s="4" t="s">
        <v>91</v>
      </c>
      <c r="D4478" s="11" t="s">
        <v>8968</v>
      </c>
      <c r="E4478" s="4">
        <v>4207106</v>
      </c>
      <c r="F4478" s="11" t="s">
        <v>8969</v>
      </c>
      <c r="G4478" s="4" t="s">
        <v>215</v>
      </c>
      <c r="H4478" s="13"/>
    </row>
    <row r="4479" s="1" customFormat="1" spans="1:8">
      <c r="A4479" s="4" t="s">
        <v>205</v>
      </c>
      <c r="B4479" s="4" t="s">
        <v>88</v>
      </c>
      <c r="C4479" s="4" t="s">
        <v>91</v>
      </c>
      <c r="D4479" s="11" t="s">
        <v>8970</v>
      </c>
      <c r="E4479" s="4">
        <v>4207304</v>
      </c>
      <c r="F4479" s="11" t="s">
        <v>8971</v>
      </c>
      <c r="G4479" s="4" t="s">
        <v>215</v>
      </c>
      <c r="H4479" s="13"/>
    </row>
    <row r="4480" s="1" customFormat="1" spans="1:8">
      <c r="A4480" s="4" t="s">
        <v>205</v>
      </c>
      <c r="B4480" s="4" t="s">
        <v>88</v>
      </c>
      <c r="C4480" s="4" t="s">
        <v>91</v>
      </c>
      <c r="D4480" s="11" t="s">
        <v>8972</v>
      </c>
      <c r="E4480" s="4">
        <v>4207403</v>
      </c>
      <c r="F4480" s="11" t="s">
        <v>8973</v>
      </c>
      <c r="G4480" s="4" t="s">
        <v>215</v>
      </c>
      <c r="H4480" s="13"/>
    </row>
    <row r="4481" s="1" customFormat="1" spans="1:8">
      <c r="A4481" s="4" t="s">
        <v>205</v>
      </c>
      <c r="B4481" s="4" t="s">
        <v>88</v>
      </c>
      <c r="C4481" s="4" t="s">
        <v>91</v>
      </c>
      <c r="D4481" s="11" t="s">
        <v>8974</v>
      </c>
      <c r="E4481" s="4">
        <v>4207502</v>
      </c>
      <c r="F4481" s="11" t="s">
        <v>8975</v>
      </c>
      <c r="G4481" s="4" t="s">
        <v>215</v>
      </c>
      <c r="H4481" s="13"/>
    </row>
    <row r="4482" s="1" customFormat="1" spans="1:8">
      <c r="A4482" s="4" t="s">
        <v>205</v>
      </c>
      <c r="B4482" s="4" t="s">
        <v>88</v>
      </c>
      <c r="C4482" s="4" t="s">
        <v>91</v>
      </c>
      <c r="D4482" s="11" t="s">
        <v>8976</v>
      </c>
      <c r="E4482" s="4">
        <v>4207908</v>
      </c>
      <c r="F4482" s="11" t="s">
        <v>8977</v>
      </c>
      <c r="G4482" s="4" t="s">
        <v>215</v>
      </c>
      <c r="H4482" s="13"/>
    </row>
    <row r="4483" s="1" customFormat="1" spans="1:8">
      <c r="A4483" s="4" t="s">
        <v>205</v>
      </c>
      <c r="B4483" s="4" t="s">
        <v>88</v>
      </c>
      <c r="C4483" s="4" t="s">
        <v>91</v>
      </c>
      <c r="D4483" s="11" t="s">
        <v>8978</v>
      </c>
      <c r="E4483" s="4">
        <v>4208104</v>
      </c>
      <c r="F4483" s="11" t="s">
        <v>8979</v>
      </c>
      <c r="G4483" s="4" t="s">
        <v>215</v>
      </c>
      <c r="H4483" s="13"/>
    </row>
    <row r="4484" s="1" customFormat="1" spans="1:8">
      <c r="A4484" s="4" t="s">
        <v>205</v>
      </c>
      <c r="B4484" s="4" t="s">
        <v>88</v>
      </c>
      <c r="C4484" s="4" t="s">
        <v>91</v>
      </c>
      <c r="D4484" s="11" t="s">
        <v>8980</v>
      </c>
      <c r="E4484" s="4">
        <v>4208203</v>
      </c>
      <c r="F4484" s="11" t="s">
        <v>8981</v>
      </c>
      <c r="G4484" s="4" t="s">
        <v>215</v>
      </c>
      <c r="H4484" s="13"/>
    </row>
    <row r="4485" s="1" customFormat="1" spans="1:8">
      <c r="A4485" s="4" t="s">
        <v>205</v>
      </c>
      <c r="B4485" s="4" t="s">
        <v>88</v>
      </c>
      <c r="C4485" s="4" t="s">
        <v>91</v>
      </c>
      <c r="D4485" s="11" t="s">
        <v>8982</v>
      </c>
      <c r="E4485" s="4">
        <v>4208302</v>
      </c>
      <c r="F4485" s="11" t="s">
        <v>8983</v>
      </c>
      <c r="G4485" s="4" t="s">
        <v>215</v>
      </c>
      <c r="H4485" s="13"/>
    </row>
    <row r="4486" s="1" customFormat="1" spans="1:8">
      <c r="A4486" s="4" t="s">
        <v>205</v>
      </c>
      <c r="B4486" s="4" t="s">
        <v>88</v>
      </c>
      <c r="C4486" s="4" t="s">
        <v>91</v>
      </c>
      <c r="D4486" s="11" t="s">
        <v>8984</v>
      </c>
      <c r="E4486" s="4">
        <v>4208450</v>
      </c>
      <c r="F4486" s="11" t="s">
        <v>8985</v>
      </c>
      <c r="G4486" s="4" t="s">
        <v>215</v>
      </c>
      <c r="H4486" s="13"/>
    </row>
    <row r="4487" s="1" customFormat="1" spans="1:8">
      <c r="A4487" s="4" t="s">
        <v>205</v>
      </c>
      <c r="B4487" s="4" t="s">
        <v>88</v>
      </c>
      <c r="C4487" s="4" t="s">
        <v>91</v>
      </c>
      <c r="D4487" s="11" t="s">
        <v>8986</v>
      </c>
      <c r="E4487" s="4">
        <v>4208500</v>
      </c>
      <c r="F4487" s="11" t="s">
        <v>8987</v>
      </c>
      <c r="G4487" s="4" t="s">
        <v>215</v>
      </c>
      <c r="H4487" s="13"/>
    </row>
    <row r="4488" s="1" customFormat="1" spans="1:8">
      <c r="A4488" s="4" t="s">
        <v>205</v>
      </c>
      <c r="B4488" s="4" t="s">
        <v>88</v>
      </c>
      <c r="C4488" s="4" t="s">
        <v>91</v>
      </c>
      <c r="D4488" s="11" t="s">
        <v>8988</v>
      </c>
      <c r="E4488" s="4">
        <v>4208906</v>
      </c>
      <c r="F4488" s="11" t="s">
        <v>8989</v>
      </c>
      <c r="G4488" s="4" t="s">
        <v>215</v>
      </c>
      <c r="H4488" s="13"/>
    </row>
    <row r="4489" s="1" customFormat="1" spans="1:8">
      <c r="A4489" s="4" t="s">
        <v>205</v>
      </c>
      <c r="B4489" s="4" t="s">
        <v>88</v>
      </c>
      <c r="C4489" s="4" t="s">
        <v>91</v>
      </c>
      <c r="D4489" s="11" t="s">
        <v>8990</v>
      </c>
      <c r="E4489" s="4">
        <v>4209151</v>
      </c>
      <c r="F4489" s="11" t="s">
        <v>8991</v>
      </c>
      <c r="G4489" s="4" t="s">
        <v>215</v>
      </c>
      <c r="H4489" s="13"/>
    </row>
    <row r="4490" s="1" customFormat="1" spans="1:8">
      <c r="A4490" s="4" t="s">
        <v>205</v>
      </c>
      <c r="B4490" s="4" t="s">
        <v>88</v>
      </c>
      <c r="C4490" s="4" t="s">
        <v>91</v>
      </c>
      <c r="D4490" s="11" t="s">
        <v>8992</v>
      </c>
      <c r="E4490" s="4">
        <v>4209508</v>
      </c>
      <c r="F4490" s="11" t="s">
        <v>8993</v>
      </c>
      <c r="G4490" s="4" t="s">
        <v>215</v>
      </c>
      <c r="H4490" s="13"/>
    </row>
    <row r="4491" s="1" customFormat="1" spans="1:8">
      <c r="A4491" s="4" t="s">
        <v>205</v>
      </c>
      <c r="B4491" s="4" t="s">
        <v>88</v>
      </c>
      <c r="C4491" s="4" t="s">
        <v>91</v>
      </c>
      <c r="D4491" s="11" t="s">
        <v>8994</v>
      </c>
      <c r="E4491" s="4">
        <v>4209805</v>
      </c>
      <c r="F4491" s="11" t="s">
        <v>8995</v>
      </c>
      <c r="G4491" s="4" t="s">
        <v>215</v>
      </c>
      <c r="H4491" s="13"/>
    </row>
    <row r="4492" s="1" customFormat="1" spans="1:8">
      <c r="A4492" s="4" t="s">
        <v>205</v>
      </c>
      <c r="B4492" s="4" t="s">
        <v>88</v>
      </c>
      <c r="C4492" s="4" t="s">
        <v>91</v>
      </c>
      <c r="D4492" s="11" t="s">
        <v>8996</v>
      </c>
      <c r="E4492" s="4">
        <v>4209904</v>
      </c>
      <c r="F4492" s="11" t="s">
        <v>8997</v>
      </c>
      <c r="G4492" s="4" t="s">
        <v>215</v>
      </c>
      <c r="H4492" s="13"/>
    </row>
    <row r="4493" s="1" customFormat="1" spans="1:8">
      <c r="A4493" s="4" t="s">
        <v>205</v>
      </c>
      <c r="B4493" s="4" t="s">
        <v>88</v>
      </c>
      <c r="C4493" s="4" t="s">
        <v>91</v>
      </c>
      <c r="D4493" s="11" t="s">
        <v>8998</v>
      </c>
      <c r="E4493" s="4">
        <v>4210001</v>
      </c>
      <c r="F4493" s="11" t="s">
        <v>8999</v>
      </c>
      <c r="G4493" s="4" t="s">
        <v>215</v>
      </c>
      <c r="H4493" s="13"/>
    </row>
    <row r="4494" s="1" customFormat="1" spans="1:8">
      <c r="A4494" s="4" t="s">
        <v>205</v>
      </c>
      <c r="B4494" s="4" t="s">
        <v>88</v>
      </c>
      <c r="C4494" s="4" t="s">
        <v>91</v>
      </c>
      <c r="D4494" s="11" t="s">
        <v>9000</v>
      </c>
      <c r="E4494" s="4">
        <v>4210100</v>
      </c>
      <c r="F4494" s="11" t="s">
        <v>9001</v>
      </c>
      <c r="G4494" s="4" t="s">
        <v>215</v>
      </c>
      <c r="H4494" s="13"/>
    </row>
    <row r="4495" s="1" customFormat="1" spans="1:8">
      <c r="A4495" s="4" t="s">
        <v>205</v>
      </c>
      <c r="B4495" s="4" t="s">
        <v>88</v>
      </c>
      <c r="C4495" s="4" t="s">
        <v>91</v>
      </c>
      <c r="D4495" s="11" t="s">
        <v>9002</v>
      </c>
      <c r="E4495" s="4">
        <v>4210209</v>
      </c>
      <c r="F4495" s="11" t="s">
        <v>9003</v>
      </c>
      <c r="G4495" s="4" t="s">
        <v>215</v>
      </c>
      <c r="H4495" s="13"/>
    </row>
    <row r="4496" s="1" customFormat="1" spans="1:8">
      <c r="A4496" s="4" t="s">
        <v>205</v>
      </c>
      <c r="B4496" s="4" t="s">
        <v>88</v>
      </c>
      <c r="C4496" s="4" t="s">
        <v>91</v>
      </c>
      <c r="D4496" s="11" t="s">
        <v>9004</v>
      </c>
      <c r="E4496" s="4">
        <v>4210308</v>
      </c>
      <c r="F4496" s="11" t="s">
        <v>9005</v>
      </c>
      <c r="G4496" s="4" t="s">
        <v>215</v>
      </c>
      <c r="H4496" s="13"/>
    </row>
    <row r="4497" s="1" customFormat="1" spans="1:8">
      <c r="A4497" s="4" t="s">
        <v>205</v>
      </c>
      <c r="B4497" s="4" t="s">
        <v>88</v>
      </c>
      <c r="C4497" s="4" t="s">
        <v>91</v>
      </c>
      <c r="D4497" s="11" t="s">
        <v>5424</v>
      </c>
      <c r="E4497" s="4">
        <v>4210605</v>
      </c>
      <c r="F4497" s="11" t="s">
        <v>9006</v>
      </c>
      <c r="G4497" s="4" t="s">
        <v>215</v>
      </c>
      <c r="H4497" s="13"/>
    </row>
    <row r="4498" s="1" customFormat="1" spans="1:8">
      <c r="A4498" s="4" t="s">
        <v>205</v>
      </c>
      <c r="B4498" s="4" t="s">
        <v>88</v>
      </c>
      <c r="C4498" s="4" t="s">
        <v>91</v>
      </c>
      <c r="D4498" s="11" t="s">
        <v>9007</v>
      </c>
      <c r="E4498" s="4">
        <v>4210852</v>
      </c>
      <c r="F4498" s="11" t="s">
        <v>9008</v>
      </c>
      <c r="G4498" s="4" t="s">
        <v>215</v>
      </c>
      <c r="H4498" s="13"/>
    </row>
    <row r="4499" s="1" customFormat="1" spans="1:8">
      <c r="A4499" s="4" t="s">
        <v>205</v>
      </c>
      <c r="B4499" s="4" t="s">
        <v>88</v>
      </c>
      <c r="C4499" s="4" t="s">
        <v>91</v>
      </c>
      <c r="D4499" s="11" t="s">
        <v>9009</v>
      </c>
      <c r="E4499" s="4">
        <v>4211108</v>
      </c>
      <c r="F4499" s="11" t="s">
        <v>9010</v>
      </c>
      <c r="G4499" s="4" t="s">
        <v>215</v>
      </c>
      <c r="H4499" s="13"/>
    </row>
    <row r="4500" s="1" customFormat="1" spans="1:8">
      <c r="A4500" s="4" t="s">
        <v>205</v>
      </c>
      <c r="B4500" s="4" t="s">
        <v>88</v>
      </c>
      <c r="C4500" s="4" t="s">
        <v>91</v>
      </c>
      <c r="D4500" s="11" t="s">
        <v>9011</v>
      </c>
      <c r="E4500" s="4">
        <v>4211306</v>
      </c>
      <c r="F4500" s="11" t="s">
        <v>9012</v>
      </c>
      <c r="G4500" s="4" t="s">
        <v>215</v>
      </c>
      <c r="H4500" s="13"/>
    </row>
    <row r="4501" s="1" customFormat="1" spans="1:8">
      <c r="A4501" s="4" t="s">
        <v>205</v>
      </c>
      <c r="B4501" s="4" t="s">
        <v>88</v>
      </c>
      <c r="C4501" s="4" t="s">
        <v>91</v>
      </c>
      <c r="D4501" s="11" t="s">
        <v>9013</v>
      </c>
      <c r="E4501" s="4">
        <v>4211504</v>
      </c>
      <c r="F4501" s="11" t="s">
        <v>9014</v>
      </c>
      <c r="G4501" s="4" t="s">
        <v>215</v>
      </c>
      <c r="H4501" s="13"/>
    </row>
    <row r="4502" s="1" customFormat="1" spans="1:8">
      <c r="A4502" s="4" t="s">
        <v>205</v>
      </c>
      <c r="B4502" s="4" t="s">
        <v>88</v>
      </c>
      <c r="C4502" s="4" t="s">
        <v>91</v>
      </c>
      <c r="D4502" s="11" t="s">
        <v>9015</v>
      </c>
      <c r="E4502" s="4">
        <v>4211751</v>
      </c>
      <c r="F4502" s="11" t="s">
        <v>9016</v>
      </c>
      <c r="G4502" s="4" t="s">
        <v>215</v>
      </c>
      <c r="H4502" s="13"/>
    </row>
    <row r="4503" s="1" customFormat="1" spans="1:8">
      <c r="A4503" s="4" t="s">
        <v>205</v>
      </c>
      <c r="B4503" s="4" t="s">
        <v>88</v>
      </c>
      <c r="C4503" s="4" t="s">
        <v>91</v>
      </c>
      <c r="D4503" s="11" t="s">
        <v>9017</v>
      </c>
      <c r="E4503" s="4">
        <v>4211900</v>
      </c>
      <c r="F4503" s="11" t="s">
        <v>9018</v>
      </c>
      <c r="G4503" s="4" t="s">
        <v>215</v>
      </c>
      <c r="H4503" s="13"/>
    </row>
    <row r="4504" s="1" customFormat="1" spans="1:8">
      <c r="A4504" s="4" t="s">
        <v>205</v>
      </c>
      <c r="B4504" s="4" t="s">
        <v>88</v>
      </c>
      <c r="C4504" s="4" t="s">
        <v>91</v>
      </c>
      <c r="D4504" s="11" t="s">
        <v>9019</v>
      </c>
      <c r="E4504" s="4">
        <v>4212205</v>
      </c>
      <c r="F4504" s="11" t="s">
        <v>9020</v>
      </c>
      <c r="G4504" s="4" t="s">
        <v>215</v>
      </c>
      <c r="H4504" s="13"/>
    </row>
    <row r="4505" s="1" customFormat="1" spans="1:8">
      <c r="A4505" s="4" t="s">
        <v>205</v>
      </c>
      <c r="B4505" s="4" t="s">
        <v>88</v>
      </c>
      <c r="C4505" s="4" t="s">
        <v>91</v>
      </c>
      <c r="D4505" s="11" t="s">
        <v>9021</v>
      </c>
      <c r="E4505" s="4">
        <v>4212304</v>
      </c>
      <c r="F4505" s="11" t="s">
        <v>9022</v>
      </c>
      <c r="G4505" s="4" t="s">
        <v>215</v>
      </c>
      <c r="H4505" s="13"/>
    </row>
    <row r="4506" s="1" customFormat="1" spans="1:8">
      <c r="A4506" s="4" t="s">
        <v>205</v>
      </c>
      <c r="B4506" s="4" t="s">
        <v>88</v>
      </c>
      <c r="C4506" s="4" t="s">
        <v>91</v>
      </c>
      <c r="D4506" s="11" t="s">
        <v>9023</v>
      </c>
      <c r="E4506" s="4">
        <v>4212502</v>
      </c>
      <c r="F4506" s="11" t="s">
        <v>9024</v>
      </c>
      <c r="G4506" s="4" t="s">
        <v>215</v>
      </c>
      <c r="H4506" s="13"/>
    </row>
    <row r="4507" s="1" customFormat="1" spans="1:8">
      <c r="A4507" s="4" t="s">
        <v>205</v>
      </c>
      <c r="B4507" s="4" t="s">
        <v>88</v>
      </c>
      <c r="C4507" s="4" t="s">
        <v>91</v>
      </c>
      <c r="D4507" s="11" t="s">
        <v>6037</v>
      </c>
      <c r="E4507" s="4">
        <v>4212700</v>
      </c>
      <c r="F4507" s="11" t="s">
        <v>9025</v>
      </c>
      <c r="G4507" s="4" t="s">
        <v>215</v>
      </c>
      <c r="H4507" s="13"/>
    </row>
    <row r="4508" s="1" customFormat="1" spans="1:8">
      <c r="A4508" s="4" t="s">
        <v>205</v>
      </c>
      <c r="B4508" s="4" t="s">
        <v>88</v>
      </c>
      <c r="C4508" s="4" t="s">
        <v>91</v>
      </c>
      <c r="D4508" s="11" t="s">
        <v>9026</v>
      </c>
      <c r="E4508" s="4">
        <v>4213203</v>
      </c>
      <c r="F4508" s="11" t="s">
        <v>9027</v>
      </c>
      <c r="G4508" s="4" t="s">
        <v>215</v>
      </c>
      <c r="H4508" s="13"/>
    </row>
    <row r="4509" s="1" customFormat="1" spans="1:8">
      <c r="A4509" s="4" t="s">
        <v>205</v>
      </c>
      <c r="B4509" s="4" t="s">
        <v>88</v>
      </c>
      <c r="C4509" s="4" t="s">
        <v>91</v>
      </c>
      <c r="D4509" s="11" t="s">
        <v>9028</v>
      </c>
      <c r="E4509" s="4">
        <v>4213500</v>
      </c>
      <c r="F4509" s="11" t="s">
        <v>9029</v>
      </c>
      <c r="G4509" s="4" t="s">
        <v>215</v>
      </c>
      <c r="H4509" s="13"/>
    </row>
    <row r="4510" s="1" customFormat="1" spans="1:8">
      <c r="A4510" s="4" t="s">
        <v>205</v>
      </c>
      <c r="B4510" s="4" t="s">
        <v>88</v>
      </c>
      <c r="C4510" s="4" t="s">
        <v>91</v>
      </c>
      <c r="D4510" s="11" t="s">
        <v>9030</v>
      </c>
      <c r="E4510" s="4">
        <v>4213708</v>
      </c>
      <c r="F4510" s="11" t="s">
        <v>9031</v>
      </c>
      <c r="G4510" s="4" t="s">
        <v>215</v>
      </c>
      <c r="H4510" s="13"/>
    </row>
    <row r="4511" s="1" customFormat="1" spans="1:8">
      <c r="A4511" s="4" t="s">
        <v>205</v>
      </c>
      <c r="B4511" s="4" t="s">
        <v>88</v>
      </c>
      <c r="C4511" s="4" t="s">
        <v>91</v>
      </c>
      <c r="D4511" s="11" t="s">
        <v>9032</v>
      </c>
      <c r="E4511" s="4">
        <v>4214003</v>
      </c>
      <c r="F4511" s="11" t="s">
        <v>9033</v>
      </c>
      <c r="G4511" s="4" t="s">
        <v>215</v>
      </c>
      <c r="H4511" s="13"/>
    </row>
    <row r="4512" s="1" customFormat="1" spans="1:8">
      <c r="A4512" s="4" t="s">
        <v>205</v>
      </c>
      <c r="B4512" s="4" t="s">
        <v>88</v>
      </c>
      <c r="C4512" s="4" t="s">
        <v>91</v>
      </c>
      <c r="D4512" s="11" t="s">
        <v>9034</v>
      </c>
      <c r="E4512" s="4">
        <v>4214102</v>
      </c>
      <c r="F4512" s="11" t="s">
        <v>9035</v>
      </c>
      <c r="G4512" s="4" t="s">
        <v>215</v>
      </c>
      <c r="H4512" s="13"/>
    </row>
    <row r="4513" s="1" customFormat="1" spans="1:8">
      <c r="A4513" s="4" t="s">
        <v>205</v>
      </c>
      <c r="B4513" s="4" t="s">
        <v>88</v>
      </c>
      <c r="C4513" s="4" t="s">
        <v>91</v>
      </c>
      <c r="D4513" s="11" t="s">
        <v>9036</v>
      </c>
      <c r="E4513" s="4">
        <v>4214300</v>
      </c>
      <c r="F4513" s="11" t="s">
        <v>9037</v>
      </c>
      <c r="G4513" s="4" t="s">
        <v>215</v>
      </c>
      <c r="H4513" s="13"/>
    </row>
    <row r="4514" s="1" customFormat="1" spans="1:8">
      <c r="A4514" s="4" t="s">
        <v>205</v>
      </c>
      <c r="B4514" s="4" t="s">
        <v>88</v>
      </c>
      <c r="C4514" s="4" t="s">
        <v>91</v>
      </c>
      <c r="D4514" s="11" t="s">
        <v>9038</v>
      </c>
      <c r="E4514" s="4">
        <v>4214607</v>
      </c>
      <c r="F4514" s="11" t="s">
        <v>9039</v>
      </c>
      <c r="G4514" s="4" t="s">
        <v>215</v>
      </c>
      <c r="H4514" s="13"/>
    </row>
    <row r="4515" s="1" customFormat="1" spans="1:8">
      <c r="A4515" s="4" t="s">
        <v>205</v>
      </c>
      <c r="B4515" s="4" t="s">
        <v>88</v>
      </c>
      <c r="C4515" s="4" t="s">
        <v>91</v>
      </c>
      <c r="D4515" s="11" t="s">
        <v>9040</v>
      </c>
      <c r="E4515" s="4">
        <v>4214805</v>
      </c>
      <c r="F4515" s="11" t="s">
        <v>9041</v>
      </c>
      <c r="G4515" s="4" t="s">
        <v>215</v>
      </c>
      <c r="H4515" s="13"/>
    </row>
    <row r="4516" s="1" customFormat="1" spans="1:8">
      <c r="A4516" s="4" t="s">
        <v>205</v>
      </c>
      <c r="B4516" s="4" t="s">
        <v>88</v>
      </c>
      <c r="C4516" s="4" t="s">
        <v>91</v>
      </c>
      <c r="D4516" s="11" t="s">
        <v>9042</v>
      </c>
      <c r="E4516" s="4">
        <v>4214706</v>
      </c>
      <c r="F4516" s="11" t="s">
        <v>9043</v>
      </c>
      <c r="G4516" s="4" t="s">
        <v>215</v>
      </c>
      <c r="H4516" s="13"/>
    </row>
    <row r="4517" s="1" customFormat="1" spans="1:8">
      <c r="A4517" s="4" t="s">
        <v>205</v>
      </c>
      <c r="B4517" s="4" t="s">
        <v>88</v>
      </c>
      <c r="C4517" s="4" t="s">
        <v>91</v>
      </c>
      <c r="D4517" s="11" t="s">
        <v>9044</v>
      </c>
      <c r="E4517" s="4">
        <v>4215000</v>
      </c>
      <c r="F4517" s="11" t="s">
        <v>9045</v>
      </c>
      <c r="G4517" s="4" t="s">
        <v>215</v>
      </c>
      <c r="H4517" s="13"/>
    </row>
    <row r="4518" s="1" customFormat="1" spans="1:8">
      <c r="A4518" s="4" t="s">
        <v>205</v>
      </c>
      <c r="B4518" s="4" t="s">
        <v>88</v>
      </c>
      <c r="C4518" s="4" t="s">
        <v>91</v>
      </c>
      <c r="D4518" s="11" t="s">
        <v>9046</v>
      </c>
      <c r="E4518" s="4">
        <v>4215109</v>
      </c>
      <c r="F4518" s="11" t="s">
        <v>9047</v>
      </c>
      <c r="G4518" s="4" t="s">
        <v>215</v>
      </c>
      <c r="H4518" s="13"/>
    </row>
    <row r="4519" s="1" customFormat="1" spans="1:8">
      <c r="A4519" s="4" t="s">
        <v>205</v>
      </c>
      <c r="B4519" s="4" t="s">
        <v>88</v>
      </c>
      <c r="C4519" s="4" t="s">
        <v>91</v>
      </c>
      <c r="D4519" s="11" t="s">
        <v>9048</v>
      </c>
      <c r="E4519" s="4">
        <v>4215307</v>
      </c>
      <c r="F4519" s="11" t="s">
        <v>9049</v>
      </c>
      <c r="G4519" s="4" t="s">
        <v>215</v>
      </c>
      <c r="H4519" s="13"/>
    </row>
    <row r="4520" s="1" customFormat="1" spans="1:8">
      <c r="A4520" s="4" t="s">
        <v>205</v>
      </c>
      <c r="B4520" s="4" t="s">
        <v>88</v>
      </c>
      <c r="C4520" s="4" t="s">
        <v>91</v>
      </c>
      <c r="D4520" s="11" t="s">
        <v>827</v>
      </c>
      <c r="E4520" s="4">
        <v>4215679</v>
      </c>
      <c r="F4520" s="11" t="s">
        <v>9050</v>
      </c>
      <c r="G4520" s="4" t="s">
        <v>215</v>
      </c>
      <c r="H4520" s="13"/>
    </row>
    <row r="4521" s="1" customFormat="1" spans="1:8">
      <c r="A4521" s="4" t="s">
        <v>205</v>
      </c>
      <c r="B4521" s="4" t="s">
        <v>88</v>
      </c>
      <c r="C4521" s="4" t="s">
        <v>91</v>
      </c>
      <c r="D4521" s="11" t="s">
        <v>9051</v>
      </c>
      <c r="E4521" s="4">
        <v>4215703</v>
      </c>
      <c r="F4521" s="11" t="s">
        <v>9052</v>
      </c>
      <c r="G4521" s="4" t="s">
        <v>215</v>
      </c>
      <c r="H4521" s="13"/>
    </row>
    <row r="4522" s="1" customFormat="1" spans="1:8">
      <c r="A4522" s="4" t="s">
        <v>205</v>
      </c>
      <c r="B4522" s="4" t="s">
        <v>88</v>
      </c>
      <c r="C4522" s="4" t="s">
        <v>91</v>
      </c>
      <c r="D4522" s="11" t="s">
        <v>9053</v>
      </c>
      <c r="E4522" s="4">
        <v>4217402</v>
      </c>
      <c r="F4522" s="11" t="s">
        <v>9054</v>
      </c>
      <c r="G4522" s="4" t="s">
        <v>215</v>
      </c>
      <c r="H4522" s="13"/>
    </row>
    <row r="4523" s="1" customFormat="1" spans="1:8">
      <c r="A4523" s="4" t="s">
        <v>205</v>
      </c>
      <c r="B4523" s="4" t="s">
        <v>88</v>
      </c>
      <c r="C4523" s="4" t="s">
        <v>91</v>
      </c>
      <c r="D4523" s="11" t="s">
        <v>9055</v>
      </c>
      <c r="E4523" s="4">
        <v>4215802</v>
      </c>
      <c r="F4523" s="11" t="s">
        <v>9056</v>
      </c>
      <c r="G4523" s="4" t="s">
        <v>215</v>
      </c>
      <c r="H4523" s="13"/>
    </row>
    <row r="4524" s="1" customFormat="1" spans="1:8">
      <c r="A4524" s="4" t="s">
        <v>205</v>
      </c>
      <c r="B4524" s="4" t="s">
        <v>88</v>
      </c>
      <c r="C4524" s="4" t="s">
        <v>91</v>
      </c>
      <c r="D4524" s="11" t="s">
        <v>9057</v>
      </c>
      <c r="E4524" s="4">
        <v>4215901</v>
      </c>
      <c r="F4524" s="11" t="s">
        <v>9058</v>
      </c>
      <c r="G4524" s="4" t="s">
        <v>215</v>
      </c>
      <c r="H4524" s="13"/>
    </row>
    <row r="4525" s="1" customFormat="1" spans="1:8">
      <c r="A4525" s="4" t="s">
        <v>205</v>
      </c>
      <c r="B4525" s="4" t="s">
        <v>88</v>
      </c>
      <c r="C4525" s="4" t="s">
        <v>91</v>
      </c>
      <c r="D4525" s="11" t="s">
        <v>9059</v>
      </c>
      <c r="E4525" s="4">
        <v>4216206</v>
      </c>
      <c r="F4525" s="11" t="s">
        <v>9060</v>
      </c>
      <c r="G4525" s="4" t="s">
        <v>215</v>
      </c>
      <c r="H4525" s="13"/>
    </row>
    <row r="4526" s="1" customFormat="1" spans="1:8">
      <c r="A4526" s="4" t="s">
        <v>205</v>
      </c>
      <c r="B4526" s="4" t="s">
        <v>88</v>
      </c>
      <c r="C4526" s="4" t="s">
        <v>91</v>
      </c>
      <c r="D4526" s="11" t="s">
        <v>9061</v>
      </c>
      <c r="E4526" s="4">
        <v>4216602</v>
      </c>
      <c r="F4526" s="11" t="s">
        <v>9062</v>
      </c>
      <c r="G4526" s="4" t="s">
        <v>215</v>
      </c>
      <c r="H4526" s="13"/>
    </row>
    <row r="4527" s="1" customFormat="1" spans="1:8">
      <c r="A4527" s="4" t="s">
        <v>205</v>
      </c>
      <c r="B4527" s="4" t="s">
        <v>88</v>
      </c>
      <c r="C4527" s="4" t="s">
        <v>91</v>
      </c>
      <c r="D4527" s="11" t="s">
        <v>2746</v>
      </c>
      <c r="E4527" s="4">
        <v>4216305</v>
      </c>
      <c r="F4527" s="11" t="s">
        <v>9063</v>
      </c>
      <c r="G4527" s="4" t="s">
        <v>215</v>
      </c>
      <c r="H4527" s="13"/>
    </row>
    <row r="4528" s="1" customFormat="1" spans="1:8">
      <c r="A4528" s="4" t="s">
        <v>205</v>
      </c>
      <c r="B4528" s="4" t="s">
        <v>88</v>
      </c>
      <c r="C4528" s="4" t="s">
        <v>91</v>
      </c>
      <c r="D4528" s="11" t="s">
        <v>9064</v>
      </c>
      <c r="E4528" s="4">
        <v>4216354</v>
      </c>
      <c r="F4528" s="11" t="s">
        <v>9065</v>
      </c>
      <c r="G4528" s="4" t="s">
        <v>215</v>
      </c>
      <c r="H4528" s="13"/>
    </row>
    <row r="4529" s="1" customFormat="1" spans="1:8">
      <c r="A4529" s="4" t="s">
        <v>205</v>
      </c>
      <c r="B4529" s="4" t="s">
        <v>88</v>
      </c>
      <c r="C4529" s="4" t="s">
        <v>91</v>
      </c>
      <c r="D4529" s="11" t="s">
        <v>9066</v>
      </c>
      <c r="E4529" s="4">
        <v>4217253</v>
      </c>
      <c r="F4529" s="11" t="s">
        <v>9067</v>
      </c>
      <c r="G4529" s="4" t="s">
        <v>215</v>
      </c>
      <c r="H4529" s="13"/>
    </row>
    <row r="4530" s="1" customFormat="1" spans="1:8">
      <c r="A4530" s="4" t="s">
        <v>205</v>
      </c>
      <c r="B4530" s="4" t="s">
        <v>88</v>
      </c>
      <c r="C4530" s="4" t="s">
        <v>91</v>
      </c>
      <c r="D4530" s="11" t="s">
        <v>9068</v>
      </c>
      <c r="E4530" s="4">
        <v>4217808</v>
      </c>
      <c r="F4530" s="11" t="s">
        <v>9069</v>
      </c>
      <c r="G4530" s="4" t="s">
        <v>215</v>
      </c>
      <c r="H4530" s="13"/>
    </row>
    <row r="4531" s="1" customFormat="1" spans="1:8">
      <c r="A4531" s="4" t="s">
        <v>205</v>
      </c>
      <c r="B4531" s="4" t="s">
        <v>88</v>
      </c>
      <c r="C4531" s="4" t="s">
        <v>91</v>
      </c>
      <c r="D4531" s="11" t="s">
        <v>9070</v>
      </c>
      <c r="E4531" s="4">
        <v>4218004</v>
      </c>
      <c r="F4531" s="11" t="s">
        <v>9071</v>
      </c>
      <c r="G4531" s="4" t="s">
        <v>215</v>
      </c>
      <c r="H4531" s="13"/>
    </row>
    <row r="4532" s="1" customFormat="1" spans="1:8">
      <c r="A4532" s="4" t="s">
        <v>205</v>
      </c>
      <c r="B4532" s="4" t="s">
        <v>88</v>
      </c>
      <c r="C4532" s="4" t="s">
        <v>91</v>
      </c>
      <c r="D4532" s="11" t="s">
        <v>9072</v>
      </c>
      <c r="E4532" s="4">
        <v>4218202</v>
      </c>
      <c r="F4532" s="11" t="s">
        <v>9073</v>
      </c>
      <c r="G4532" s="4" t="s">
        <v>215</v>
      </c>
      <c r="H4532" s="13"/>
    </row>
    <row r="4533" s="1" customFormat="1" spans="1:8">
      <c r="A4533" s="4" t="s">
        <v>205</v>
      </c>
      <c r="B4533" s="4" t="s">
        <v>88</v>
      </c>
      <c r="C4533" s="4" t="s">
        <v>91</v>
      </c>
      <c r="D4533" s="11" t="s">
        <v>9074</v>
      </c>
      <c r="E4533" s="4">
        <v>4218608</v>
      </c>
      <c r="F4533" s="11" t="s">
        <v>9075</v>
      </c>
      <c r="G4533" s="4" t="s">
        <v>215</v>
      </c>
      <c r="H4533" s="13"/>
    </row>
    <row r="4534" s="1" customFormat="1" spans="1:8">
      <c r="A4534" s="4" t="s">
        <v>205</v>
      </c>
      <c r="B4534" s="4" t="s">
        <v>88</v>
      </c>
      <c r="C4534" s="4" t="s">
        <v>91</v>
      </c>
      <c r="D4534" s="11" t="s">
        <v>9076</v>
      </c>
      <c r="E4534" s="4">
        <v>4218301</v>
      </c>
      <c r="F4534" s="11" t="s">
        <v>9077</v>
      </c>
      <c r="G4534" s="4" t="s">
        <v>215</v>
      </c>
      <c r="H4534" s="13"/>
    </row>
    <row r="4535" s="1" customFormat="1" spans="1:8">
      <c r="A4535" s="4" t="s">
        <v>205</v>
      </c>
      <c r="B4535" s="4" t="s">
        <v>88</v>
      </c>
      <c r="C4535" s="4" t="s">
        <v>91</v>
      </c>
      <c r="D4535" s="11" t="s">
        <v>9078</v>
      </c>
      <c r="E4535" s="4">
        <v>4219200</v>
      </c>
      <c r="F4535" s="11" t="s">
        <v>9079</v>
      </c>
      <c r="G4535" s="4" t="s">
        <v>215</v>
      </c>
      <c r="H4535" s="13"/>
    </row>
    <row r="4536" s="1" customFormat="1" spans="1:8">
      <c r="A4536" s="4" t="s">
        <v>205</v>
      </c>
      <c r="B4536" s="4" t="s">
        <v>88</v>
      </c>
      <c r="C4536" s="4" t="s">
        <v>91</v>
      </c>
      <c r="D4536" s="11" t="s">
        <v>9080</v>
      </c>
      <c r="E4536" s="4">
        <v>4219358</v>
      </c>
      <c r="F4536" s="11" t="s">
        <v>9081</v>
      </c>
      <c r="G4536" s="4" t="s">
        <v>215</v>
      </c>
      <c r="H4536" s="13"/>
    </row>
    <row r="4537" s="1" customFormat="1" spans="1:8">
      <c r="A4537" s="4" t="s">
        <v>205</v>
      </c>
      <c r="B4537" s="4" t="s">
        <v>88</v>
      </c>
      <c r="C4537" s="4" t="s">
        <v>91</v>
      </c>
      <c r="D4537" s="11" t="s">
        <v>9082</v>
      </c>
      <c r="E4537" s="4">
        <v>4219408</v>
      </c>
      <c r="F4537" s="11" t="s">
        <v>9083</v>
      </c>
      <c r="G4537" s="4" t="s">
        <v>215</v>
      </c>
      <c r="H4537" s="13"/>
    </row>
    <row r="4538" s="1" customFormat="1" spans="1:8">
      <c r="A4538" s="4" t="s">
        <v>205</v>
      </c>
      <c r="B4538" s="4" t="s">
        <v>88</v>
      </c>
      <c r="C4538" s="4" t="s">
        <v>91</v>
      </c>
      <c r="D4538" s="11" t="s">
        <v>9084</v>
      </c>
      <c r="E4538" s="4">
        <v>4200606</v>
      </c>
      <c r="F4538" s="11" t="s">
        <v>9085</v>
      </c>
      <c r="G4538" s="4" t="s">
        <v>215</v>
      </c>
      <c r="H4538" s="13"/>
    </row>
    <row r="4539" s="1" customFormat="1" spans="1:8">
      <c r="A4539" s="4" t="s">
        <v>205</v>
      </c>
      <c r="B4539" s="4" t="s">
        <v>88</v>
      </c>
      <c r="C4539" s="4" t="s">
        <v>91</v>
      </c>
      <c r="D4539" s="11" t="s">
        <v>9086</v>
      </c>
      <c r="E4539" s="4">
        <v>4200051</v>
      </c>
      <c r="F4539" s="11" t="s">
        <v>9087</v>
      </c>
      <c r="G4539" s="4" t="s">
        <v>232</v>
      </c>
      <c r="H4539" s="13"/>
    </row>
    <row r="4540" s="1" customFormat="1" spans="1:8">
      <c r="A4540" s="4" t="s">
        <v>205</v>
      </c>
      <c r="B4540" s="4" t="s">
        <v>88</v>
      </c>
      <c r="C4540" s="4" t="s">
        <v>91</v>
      </c>
      <c r="D4540" s="11" t="s">
        <v>9088</v>
      </c>
      <c r="E4540" s="4">
        <v>4200101</v>
      </c>
      <c r="F4540" s="11" t="s">
        <v>9089</v>
      </c>
      <c r="G4540" s="4" t="s">
        <v>232</v>
      </c>
      <c r="H4540" s="13"/>
    </row>
    <row r="4541" s="1" customFormat="1" spans="1:8">
      <c r="A4541" s="4" t="s">
        <v>205</v>
      </c>
      <c r="B4541" s="4" t="s">
        <v>88</v>
      </c>
      <c r="C4541" s="4" t="s">
        <v>91</v>
      </c>
      <c r="D4541" s="11" t="s">
        <v>9090</v>
      </c>
      <c r="E4541" s="4">
        <v>4200705</v>
      </c>
      <c r="F4541" s="11" t="s">
        <v>9091</v>
      </c>
      <c r="G4541" s="4" t="s">
        <v>232</v>
      </c>
      <c r="H4541" s="13"/>
    </row>
    <row r="4542" s="1" customFormat="1" spans="1:8">
      <c r="A4542" s="4" t="s">
        <v>205</v>
      </c>
      <c r="B4542" s="4" t="s">
        <v>88</v>
      </c>
      <c r="C4542" s="4" t="s">
        <v>91</v>
      </c>
      <c r="D4542" s="11" t="s">
        <v>9092</v>
      </c>
      <c r="E4542" s="4">
        <v>4200754</v>
      </c>
      <c r="F4542" s="11" t="s">
        <v>9093</v>
      </c>
      <c r="G4542" s="4" t="s">
        <v>232</v>
      </c>
      <c r="H4542" s="13"/>
    </row>
    <row r="4543" s="1" customFormat="1" spans="1:8">
      <c r="A4543" s="4" t="s">
        <v>205</v>
      </c>
      <c r="B4543" s="4" t="s">
        <v>88</v>
      </c>
      <c r="C4543" s="4" t="s">
        <v>91</v>
      </c>
      <c r="D4543" s="11" t="s">
        <v>1858</v>
      </c>
      <c r="E4543" s="4">
        <v>4200804</v>
      </c>
      <c r="F4543" s="11" t="s">
        <v>9094</v>
      </c>
      <c r="G4543" s="4" t="s">
        <v>232</v>
      </c>
      <c r="H4543" s="13"/>
    </row>
    <row r="4544" s="1" customFormat="1" spans="1:8">
      <c r="A4544" s="4" t="s">
        <v>205</v>
      </c>
      <c r="B4544" s="4" t="s">
        <v>88</v>
      </c>
      <c r="C4544" s="4" t="s">
        <v>91</v>
      </c>
      <c r="D4544" s="11" t="s">
        <v>9095</v>
      </c>
      <c r="E4544" s="4">
        <v>4201000</v>
      </c>
      <c r="F4544" s="11" t="s">
        <v>9096</v>
      </c>
      <c r="G4544" s="4" t="s">
        <v>232</v>
      </c>
      <c r="H4544" s="13"/>
    </row>
    <row r="4545" s="1" customFormat="1" spans="1:8">
      <c r="A4545" s="4" t="s">
        <v>205</v>
      </c>
      <c r="B4545" s="4" t="s">
        <v>88</v>
      </c>
      <c r="C4545" s="4" t="s">
        <v>91</v>
      </c>
      <c r="D4545" s="11" t="s">
        <v>9097</v>
      </c>
      <c r="E4545" s="4">
        <v>4201273</v>
      </c>
      <c r="F4545" s="11" t="s">
        <v>9098</v>
      </c>
      <c r="G4545" s="4" t="s">
        <v>232</v>
      </c>
      <c r="H4545" s="13"/>
    </row>
    <row r="4546" s="1" customFormat="1" spans="1:8">
      <c r="A4546" s="4" t="s">
        <v>205</v>
      </c>
      <c r="B4546" s="4" t="s">
        <v>88</v>
      </c>
      <c r="C4546" s="4" t="s">
        <v>91</v>
      </c>
      <c r="D4546" s="11" t="s">
        <v>9099</v>
      </c>
      <c r="E4546" s="4">
        <v>4201406</v>
      </c>
      <c r="F4546" s="11" t="s">
        <v>9100</v>
      </c>
      <c r="G4546" s="4" t="s">
        <v>232</v>
      </c>
      <c r="H4546" s="13"/>
    </row>
    <row r="4547" s="1" customFormat="1" spans="1:8">
      <c r="A4547" s="4" t="s">
        <v>205</v>
      </c>
      <c r="B4547" s="4" t="s">
        <v>88</v>
      </c>
      <c r="C4547" s="4" t="s">
        <v>91</v>
      </c>
      <c r="D4547" s="11" t="s">
        <v>9101</v>
      </c>
      <c r="E4547" s="4">
        <v>4201505</v>
      </c>
      <c r="F4547" s="11" t="s">
        <v>9102</v>
      </c>
      <c r="G4547" s="4" t="s">
        <v>232</v>
      </c>
      <c r="H4547" s="13"/>
    </row>
    <row r="4548" s="1" customFormat="1" spans="1:8">
      <c r="A4548" s="4" t="s">
        <v>205</v>
      </c>
      <c r="B4548" s="4" t="s">
        <v>88</v>
      </c>
      <c r="C4548" s="4" t="s">
        <v>91</v>
      </c>
      <c r="D4548" s="11" t="s">
        <v>9103</v>
      </c>
      <c r="E4548" s="4">
        <v>4201604</v>
      </c>
      <c r="F4548" s="11" t="s">
        <v>9104</v>
      </c>
      <c r="G4548" s="4" t="s">
        <v>232</v>
      </c>
      <c r="H4548" s="13"/>
    </row>
    <row r="4549" s="1" customFormat="1" spans="1:8">
      <c r="A4549" s="4" t="s">
        <v>205</v>
      </c>
      <c r="B4549" s="4" t="s">
        <v>88</v>
      </c>
      <c r="C4549" s="4" t="s">
        <v>91</v>
      </c>
      <c r="D4549" s="11" t="s">
        <v>9105</v>
      </c>
      <c r="E4549" s="4">
        <v>4201653</v>
      </c>
      <c r="F4549" s="11" t="s">
        <v>9106</v>
      </c>
      <c r="G4549" s="4" t="s">
        <v>232</v>
      </c>
      <c r="H4549" s="13"/>
    </row>
    <row r="4550" s="1" customFormat="1" spans="1:8">
      <c r="A4550" s="4" t="s">
        <v>205</v>
      </c>
      <c r="B4550" s="4" t="s">
        <v>88</v>
      </c>
      <c r="C4550" s="4" t="s">
        <v>91</v>
      </c>
      <c r="D4550" s="11" t="s">
        <v>9107</v>
      </c>
      <c r="E4550" s="4">
        <v>4201950</v>
      </c>
      <c r="F4550" s="11" t="s">
        <v>9108</v>
      </c>
      <c r="G4550" s="4" t="s">
        <v>232</v>
      </c>
      <c r="H4550" s="13"/>
    </row>
    <row r="4551" s="1" customFormat="1" spans="1:8">
      <c r="A4551" s="4" t="s">
        <v>205</v>
      </c>
      <c r="B4551" s="4" t="s">
        <v>88</v>
      </c>
      <c r="C4551" s="4" t="s">
        <v>91</v>
      </c>
      <c r="D4551" s="11" t="s">
        <v>9109</v>
      </c>
      <c r="E4551" s="4">
        <v>4202073</v>
      </c>
      <c r="F4551" s="11" t="s">
        <v>9110</v>
      </c>
      <c r="G4551" s="4" t="s">
        <v>232</v>
      </c>
      <c r="H4551" s="13"/>
    </row>
    <row r="4552" s="1" customFormat="1" spans="1:8">
      <c r="A4552" s="4" t="s">
        <v>205</v>
      </c>
      <c r="B4552" s="4" t="s">
        <v>88</v>
      </c>
      <c r="C4552" s="4" t="s">
        <v>91</v>
      </c>
      <c r="D4552" s="11" t="s">
        <v>9111</v>
      </c>
      <c r="E4552" s="4">
        <v>4220000</v>
      </c>
      <c r="F4552" s="11" t="s">
        <v>9112</v>
      </c>
      <c r="G4552" s="4" t="s">
        <v>232</v>
      </c>
      <c r="H4552" s="13"/>
    </row>
    <row r="4553" s="1" customFormat="1" spans="1:8">
      <c r="A4553" s="4" t="s">
        <v>205</v>
      </c>
      <c r="B4553" s="4" t="s">
        <v>88</v>
      </c>
      <c r="C4553" s="4" t="s">
        <v>91</v>
      </c>
      <c r="D4553" s="11" t="s">
        <v>9113</v>
      </c>
      <c r="E4553" s="4">
        <v>4202438</v>
      </c>
      <c r="F4553" s="11" t="s">
        <v>9114</v>
      </c>
      <c r="G4553" s="4" t="s">
        <v>232</v>
      </c>
      <c r="H4553" s="13"/>
    </row>
    <row r="4554" s="1" customFormat="1" spans="1:8">
      <c r="A4554" s="4" t="s">
        <v>205</v>
      </c>
      <c r="B4554" s="4" t="s">
        <v>88</v>
      </c>
      <c r="C4554" s="4" t="s">
        <v>91</v>
      </c>
      <c r="D4554" s="11" t="s">
        <v>9115</v>
      </c>
      <c r="E4554" s="4">
        <v>4202503</v>
      </c>
      <c r="F4554" s="11" t="s">
        <v>9116</v>
      </c>
      <c r="G4554" s="4" t="s">
        <v>232</v>
      </c>
      <c r="H4554" s="13"/>
    </row>
    <row r="4555" s="1" customFormat="1" spans="1:8">
      <c r="A4555" s="4" t="s">
        <v>205</v>
      </c>
      <c r="B4555" s="4" t="s">
        <v>88</v>
      </c>
      <c r="C4555" s="4" t="s">
        <v>91</v>
      </c>
      <c r="D4555" s="11" t="s">
        <v>5627</v>
      </c>
      <c r="E4555" s="4">
        <v>4202537</v>
      </c>
      <c r="F4555" s="11" t="s">
        <v>9117</v>
      </c>
      <c r="G4555" s="4" t="s">
        <v>232</v>
      </c>
      <c r="H4555" s="13"/>
    </row>
    <row r="4556" s="1" customFormat="1" spans="1:8">
      <c r="A4556" s="4" t="s">
        <v>205</v>
      </c>
      <c r="B4556" s="4" t="s">
        <v>88</v>
      </c>
      <c r="C4556" s="4" t="s">
        <v>91</v>
      </c>
      <c r="D4556" s="11" t="s">
        <v>9118</v>
      </c>
      <c r="E4556" s="4">
        <v>4202602</v>
      </c>
      <c r="F4556" s="11" t="s">
        <v>9119</v>
      </c>
      <c r="G4556" s="4" t="s">
        <v>232</v>
      </c>
      <c r="H4556" s="13"/>
    </row>
    <row r="4557" s="1" customFormat="1" spans="1:8">
      <c r="A4557" s="4" t="s">
        <v>205</v>
      </c>
      <c r="B4557" s="4" t="s">
        <v>88</v>
      </c>
      <c r="C4557" s="4" t="s">
        <v>91</v>
      </c>
      <c r="D4557" s="11" t="s">
        <v>9120</v>
      </c>
      <c r="E4557" s="4">
        <v>4202800</v>
      </c>
      <c r="F4557" s="11" t="s">
        <v>9121</v>
      </c>
      <c r="G4557" s="4" t="s">
        <v>232</v>
      </c>
      <c r="H4557" s="13"/>
    </row>
    <row r="4558" s="1" customFormat="1" spans="1:8">
      <c r="A4558" s="4" t="s">
        <v>205</v>
      </c>
      <c r="B4558" s="4" t="s">
        <v>88</v>
      </c>
      <c r="C4558" s="4" t="s">
        <v>91</v>
      </c>
      <c r="D4558" s="11" t="s">
        <v>9122</v>
      </c>
      <c r="E4558" s="4">
        <v>4202875</v>
      </c>
      <c r="F4558" s="11" t="s">
        <v>9123</v>
      </c>
      <c r="G4558" s="4" t="s">
        <v>232</v>
      </c>
      <c r="H4558" s="13"/>
    </row>
    <row r="4559" s="1" customFormat="1" spans="1:8">
      <c r="A4559" s="4" t="s">
        <v>205</v>
      </c>
      <c r="B4559" s="4" t="s">
        <v>88</v>
      </c>
      <c r="C4559" s="4" t="s">
        <v>91</v>
      </c>
      <c r="D4559" s="11" t="s">
        <v>9124</v>
      </c>
      <c r="E4559" s="4">
        <v>4203154</v>
      </c>
      <c r="F4559" s="11" t="s">
        <v>9125</v>
      </c>
      <c r="G4559" s="4" t="s">
        <v>232</v>
      </c>
      <c r="H4559" s="13"/>
    </row>
    <row r="4560" s="1" customFormat="1" spans="1:8">
      <c r="A4560" s="4" t="s">
        <v>205</v>
      </c>
      <c r="B4560" s="4" t="s">
        <v>88</v>
      </c>
      <c r="C4560" s="4" t="s">
        <v>91</v>
      </c>
      <c r="D4560" s="11" t="s">
        <v>9126</v>
      </c>
      <c r="E4560" s="4">
        <v>4203402</v>
      </c>
      <c r="F4560" s="11" t="s">
        <v>9127</v>
      </c>
      <c r="G4560" s="4" t="s">
        <v>232</v>
      </c>
      <c r="H4560" s="13"/>
    </row>
    <row r="4561" s="1" customFormat="1" spans="1:8">
      <c r="A4561" s="4" t="s">
        <v>205</v>
      </c>
      <c r="B4561" s="4" t="s">
        <v>88</v>
      </c>
      <c r="C4561" s="4" t="s">
        <v>91</v>
      </c>
      <c r="D4561" s="11" t="s">
        <v>9128</v>
      </c>
      <c r="E4561" s="4">
        <v>4203600</v>
      </c>
      <c r="F4561" s="11" t="s">
        <v>9129</v>
      </c>
      <c r="G4561" s="4" t="s">
        <v>232</v>
      </c>
      <c r="H4561" s="13"/>
    </row>
    <row r="4562" s="1" customFormat="1" spans="1:8">
      <c r="A4562" s="4" t="s">
        <v>205</v>
      </c>
      <c r="B4562" s="4" t="s">
        <v>88</v>
      </c>
      <c r="C4562" s="4" t="s">
        <v>91</v>
      </c>
      <c r="D4562" s="11" t="s">
        <v>9130</v>
      </c>
      <c r="E4562" s="4">
        <v>4203907</v>
      </c>
      <c r="F4562" s="11" t="s">
        <v>9131</v>
      </c>
      <c r="G4562" s="4" t="s">
        <v>232</v>
      </c>
      <c r="H4562" s="13"/>
    </row>
    <row r="4563" s="1" customFormat="1" spans="1:8">
      <c r="A4563" s="4" t="s">
        <v>205</v>
      </c>
      <c r="B4563" s="4" t="s">
        <v>88</v>
      </c>
      <c r="C4563" s="4" t="s">
        <v>91</v>
      </c>
      <c r="D4563" s="11" t="s">
        <v>9132</v>
      </c>
      <c r="E4563" s="4">
        <v>4203956</v>
      </c>
      <c r="F4563" s="11" t="s">
        <v>9133</v>
      </c>
      <c r="G4563" s="4" t="s">
        <v>232</v>
      </c>
      <c r="H4563" s="13"/>
    </row>
    <row r="4564" s="1" customFormat="1" spans="1:8">
      <c r="A4564" s="4" t="s">
        <v>205</v>
      </c>
      <c r="B4564" s="4" t="s">
        <v>88</v>
      </c>
      <c r="C4564" s="4" t="s">
        <v>91</v>
      </c>
      <c r="D4564" s="11" t="s">
        <v>9134</v>
      </c>
      <c r="E4564" s="4">
        <v>4203253</v>
      </c>
      <c r="F4564" s="11" t="s">
        <v>9135</v>
      </c>
      <c r="G4564" s="4" t="s">
        <v>232</v>
      </c>
      <c r="H4564" s="13"/>
    </row>
    <row r="4565" s="1" customFormat="1" spans="1:8">
      <c r="A4565" s="4" t="s">
        <v>205</v>
      </c>
      <c r="B4565" s="4" t="s">
        <v>88</v>
      </c>
      <c r="C4565" s="4" t="s">
        <v>91</v>
      </c>
      <c r="D4565" s="11" t="s">
        <v>7020</v>
      </c>
      <c r="E4565" s="4">
        <v>4204004</v>
      </c>
      <c r="F4565" s="11" t="s">
        <v>9136</v>
      </c>
      <c r="G4565" s="4" t="s">
        <v>232</v>
      </c>
      <c r="H4565" s="13"/>
    </row>
    <row r="4566" s="1" customFormat="1" spans="1:8">
      <c r="A4566" s="4" t="s">
        <v>205</v>
      </c>
      <c r="B4566" s="4" t="s">
        <v>88</v>
      </c>
      <c r="C4566" s="4" t="s">
        <v>91</v>
      </c>
      <c r="D4566" s="11" t="s">
        <v>9137</v>
      </c>
      <c r="E4566" s="4">
        <v>4203006</v>
      </c>
      <c r="F4566" s="11" t="s">
        <v>9138</v>
      </c>
      <c r="G4566" s="4" t="s">
        <v>232</v>
      </c>
      <c r="H4566" s="13"/>
    </row>
    <row r="4567" s="1" customFormat="1" spans="1:8">
      <c r="A4567" s="4" t="s">
        <v>205</v>
      </c>
      <c r="B4567" s="4" t="s">
        <v>88</v>
      </c>
      <c r="C4567" s="4" t="s">
        <v>91</v>
      </c>
      <c r="D4567" s="11" t="s">
        <v>9139</v>
      </c>
      <c r="E4567" s="4">
        <v>4204152</v>
      </c>
      <c r="F4567" s="11" t="s">
        <v>9140</v>
      </c>
      <c r="G4567" s="4" t="s">
        <v>232</v>
      </c>
      <c r="H4567" s="13"/>
    </row>
    <row r="4568" s="1" customFormat="1" spans="1:8">
      <c r="A4568" s="4" t="s">
        <v>205</v>
      </c>
      <c r="B4568" s="4" t="s">
        <v>88</v>
      </c>
      <c r="C4568" s="4" t="s">
        <v>91</v>
      </c>
      <c r="D4568" s="11" t="s">
        <v>9141</v>
      </c>
      <c r="E4568" s="4">
        <v>4204178</v>
      </c>
      <c r="F4568" s="11" t="s">
        <v>9142</v>
      </c>
      <c r="G4568" s="4" t="s">
        <v>232</v>
      </c>
      <c r="H4568" s="13"/>
    </row>
    <row r="4569" s="1" customFormat="1" spans="1:8">
      <c r="A4569" s="4" t="s">
        <v>205</v>
      </c>
      <c r="B4569" s="4" t="s">
        <v>88</v>
      </c>
      <c r="C4569" s="4" t="s">
        <v>91</v>
      </c>
      <c r="D4569" s="11" t="s">
        <v>9143</v>
      </c>
      <c r="E4569" s="4">
        <v>4204202</v>
      </c>
      <c r="F4569" s="11" t="s">
        <v>9144</v>
      </c>
      <c r="G4569" s="4" t="s">
        <v>232</v>
      </c>
      <c r="H4569" s="13"/>
    </row>
    <row r="4570" s="1" customFormat="1" spans="1:8">
      <c r="A4570" s="4" t="s">
        <v>205</v>
      </c>
      <c r="B4570" s="4" t="s">
        <v>88</v>
      </c>
      <c r="C4570" s="4" t="s">
        <v>91</v>
      </c>
      <c r="D4570" s="11" t="s">
        <v>9145</v>
      </c>
      <c r="E4570" s="4">
        <v>4204251</v>
      </c>
      <c r="F4570" s="11" t="s">
        <v>9146</v>
      </c>
      <c r="G4570" s="4" t="s">
        <v>232</v>
      </c>
      <c r="H4570" s="13"/>
    </row>
    <row r="4571" s="1" customFormat="1" spans="1:8">
      <c r="A4571" s="4" t="s">
        <v>205</v>
      </c>
      <c r="B4571" s="4" t="s">
        <v>88</v>
      </c>
      <c r="C4571" s="4" t="s">
        <v>91</v>
      </c>
      <c r="D4571" s="11" t="s">
        <v>9147</v>
      </c>
      <c r="E4571" s="4">
        <v>4204301</v>
      </c>
      <c r="F4571" s="11" t="s">
        <v>9148</v>
      </c>
      <c r="G4571" s="4" t="s">
        <v>232</v>
      </c>
      <c r="H4571" s="13"/>
    </row>
    <row r="4572" s="1" customFormat="1" spans="1:8">
      <c r="A4572" s="4" t="s">
        <v>205</v>
      </c>
      <c r="B4572" s="4" t="s">
        <v>88</v>
      </c>
      <c r="C4572" s="4" t="s">
        <v>91</v>
      </c>
      <c r="D4572" s="11" t="s">
        <v>9149</v>
      </c>
      <c r="E4572" s="4">
        <v>4204350</v>
      </c>
      <c r="F4572" s="11" t="s">
        <v>9150</v>
      </c>
      <c r="G4572" s="4" t="s">
        <v>232</v>
      </c>
      <c r="H4572" s="13"/>
    </row>
    <row r="4573" s="1" customFormat="1" spans="1:8">
      <c r="A4573" s="4" t="s">
        <v>205</v>
      </c>
      <c r="B4573" s="4" t="s">
        <v>88</v>
      </c>
      <c r="C4573" s="4" t="s">
        <v>91</v>
      </c>
      <c r="D4573" s="11" t="s">
        <v>9151</v>
      </c>
      <c r="E4573" s="4">
        <v>4204400</v>
      </c>
      <c r="F4573" s="11" t="s">
        <v>9152</v>
      </c>
      <c r="G4573" s="4" t="s">
        <v>232</v>
      </c>
      <c r="H4573" s="13"/>
    </row>
    <row r="4574" s="1" customFormat="1" spans="1:8">
      <c r="A4574" s="4" t="s">
        <v>205</v>
      </c>
      <c r="B4574" s="4" t="s">
        <v>88</v>
      </c>
      <c r="C4574" s="4" t="s">
        <v>91</v>
      </c>
      <c r="D4574" s="11" t="s">
        <v>9153</v>
      </c>
      <c r="E4574" s="4">
        <v>4204459</v>
      </c>
      <c r="F4574" s="11" t="s">
        <v>9154</v>
      </c>
      <c r="G4574" s="4" t="s">
        <v>232</v>
      </c>
      <c r="H4574" s="13"/>
    </row>
    <row r="4575" s="1" customFormat="1" spans="1:8">
      <c r="A4575" s="4" t="s">
        <v>205</v>
      </c>
      <c r="B4575" s="4" t="s">
        <v>88</v>
      </c>
      <c r="C4575" s="4" t="s">
        <v>91</v>
      </c>
      <c r="D4575" s="11" t="s">
        <v>9155</v>
      </c>
      <c r="E4575" s="4">
        <v>4204558</v>
      </c>
      <c r="F4575" s="11" t="s">
        <v>9156</v>
      </c>
      <c r="G4575" s="4" t="s">
        <v>232</v>
      </c>
      <c r="H4575" s="13"/>
    </row>
    <row r="4576" s="1" customFormat="1" spans="1:8">
      <c r="A4576" s="4" t="s">
        <v>205</v>
      </c>
      <c r="B4576" s="4" t="s">
        <v>88</v>
      </c>
      <c r="C4576" s="4" t="s">
        <v>91</v>
      </c>
      <c r="D4576" s="11" t="s">
        <v>9157</v>
      </c>
      <c r="E4576" s="4">
        <v>4204608</v>
      </c>
      <c r="F4576" s="11" t="s">
        <v>9158</v>
      </c>
      <c r="G4576" s="4" t="s">
        <v>232</v>
      </c>
      <c r="H4576" s="13"/>
    </row>
    <row r="4577" s="1" customFormat="1" spans="1:8">
      <c r="A4577" s="4" t="s">
        <v>205</v>
      </c>
      <c r="B4577" s="4" t="s">
        <v>88</v>
      </c>
      <c r="C4577" s="4" t="s">
        <v>91</v>
      </c>
      <c r="D4577" s="11" t="s">
        <v>9159</v>
      </c>
      <c r="E4577" s="4">
        <v>4204806</v>
      </c>
      <c r="F4577" s="11" t="s">
        <v>9160</v>
      </c>
      <c r="G4577" s="4" t="s">
        <v>232</v>
      </c>
      <c r="H4577" s="13"/>
    </row>
    <row r="4578" s="1" customFormat="1" spans="1:8">
      <c r="A4578" s="4" t="s">
        <v>205</v>
      </c>
      <c r="B4578" s="4" t="s">
        <v>88</v>
      </c>
      <c r="C4578" s="4" t="s">
        <v>91</v>
      </c>
      <c r="D4578" s="11" t="s">
        <v>699</v>
      </c>
      <c r="E4578" s="4">
        <v>4205175</v>
      </c>
      <c r="F4578" s="11" t="s">
        <v>9161</v>
      </c>
      <c r="G4578" s="4" t="s">
        <v>232</v>
      </c>
      <c r="H4578" s="13"/>
    </row>
    <row r="4579" s="1" customFormat="1" spans="1:8">
      <c r="A4579" s="4" t="s">
        <v>205</v>
      </c>
      <c r="B4579" s="4" t="s">
        <v>88</v>
      </c>
      <c r="C4579" s="4" t="s">
        <v>91</v>
      </c>
      <c r="D4579" s="11" t="s">
        <v>9162</v>
      </c>
      <c r="E4579" s="4">
        <v>4205191</v>
      </c>
      <c r="F4579" s="11" t="s">
        <v>9163</v>
      </c>
      <c r="G4579" s="4" t="s">
        <v>232</v>
      </c>
      <c r="H4579" s="13"/>
    </row>
    <row r="4580" s="1" customFormat="1" spans="1:8">
      <c r="A4580" s="4" t="s">
        <v>205</v>
      </c>
      <c r="B4580" s="4" t="s">
        <v>88</v>
      </c>
      <c r="C4580" s="4" t="s">
        <v>91</v>
      </c>
      <c r="D4580" s="11" t="s">
        <v>9164</v>
      </c>
      <c r="E4580" s="4">
        <v>4205209</v>
      </c>
      <c r="F4580" s="11" t="s">
        <v>9165</v>
      </c>
      <c r="G4580" s="4" t="s">
        <v>232</v>
      </c>
      <c r="H4580" s="13"/>
    </row>
    <row r="4581" s="1" customFormat="1" spans="1:8">
      <c r="A4581" s="4" t="s">
        <v>205</v>
      </c>
      <c r="B4581" s="4" t="s">
        <v>88</v>
      </c>
      <c r="C4581" s="4" t="s">
        <v>91</v>
      </c>
      <c r="D4581" s="11" t="s">
        <v>9166</v>
      </c>
      <c r="E4581" s="4">
        <v>4205308</v>
      </c>
      <c r="F4581" s="11" t="s">
        <v>9167</v>
      </c>
      <c r="G4581" s="4" t="s">
        <v>232</v>
      </c>
      <c r="H4581" s="13"/>
    </row>
    <row r="4582" s="1" customFormat="1" spans="1:8">
      <c r="A4582" s="4" t="s">
        <v>205</v>
      </c>
      <c r="B4582" s="4" t="s">
        <v>88</v>
      </c>
      <c r="C4582" s="4" t="s">
        <v>91</v>
      </c>
      <c r="D4582" s="11" t="s">
        <v>9168</v>
      </c>
      <c r="E4582" s="4">
        <v>4205456</v>
      </c>
      <c r="F4582" s="11" t="s">
        <v>9169</v>
      </c>
      <c r="G4582" s="4" t="s">
        <v>232</v>
      </c>
      <c r="H4582" s="13"/>
    </row>
    <row r="4583" s="1" customFormat="1" spans="1:8">
      <c r="A4583" s="4" t="s">
        <v>205</v>
      </c>
      <c r="B4583" s="4" t="s">
        <v>88</v>
      </c>
      <c r="C4583" s="4" t="s">
        <v>91</v>
      </c>
      <c r="D4583" s="11" t="s">
        <v>9170</v>
      </c>
      <c r="E4583" s="4">
        <v>4205506</v>
      </c>
      <c r="F4583" s="11" t="s">
        <v>9171</v>
      </c>
      <c r="G4583" s="4" t="s">
        <v>232</v>
      </c>
      <c r="H4583" s="13"/>
    </row>
    <row r="4584" s="1" customFormat="1" spans="1:8">
      <c r="A4584" s="4" t="s">
        <v>205</v>
      </c>
      <c r="B4584" s="4" t="s">
        <v>88</v>
      </c>
      <c r="C4584" s="4" t="s">
        <v>91</v>
      </c>
      <c r="D4584" s="11" t="s">
        <v>9172</v>
      </c>
      <c r="E4584" s="4">
        <v>4205555</v>
      </c>
      <c r="F4584" s="11" t="s">
        <v>9173</v>
      </c>
      <c r="G4584" s="4" t="s">
        <v>232</v>
      </c>
      <c r="H4584" s="13"/>
    </row>
    <row r="4585" s="1" customFormat="1" spans="1:8">
      <c r="A4585" s="4" t="s">
        <v>205</v>
      </c>
      <c r="B4585" s="4" t="s">
        <v>88</v>
      </c>
      <c r="C4585" s="4" t="s">
        <v>91</v>
      </c>
      <c r="D4585" s="11" t="s">
        <v>9174</v>
      </c>
      <c r="E4585" s="4">
        <v>4205605</v>
      </c>
      <c r="F4585" s="11" t="s">
        <v>9175</v>
      </c>
      <c r="G4585" s="4" t="s">
        <v>232</v>
      </c>
      <c r="H4585" s="13"/>
    </row>
    <row r="4586" s="1" customFormat="1" spans="1:8">
      <c r="A4586" s="4" t="s">
        <v>205</v>
      </c>
      <c r="B4586" s="4" t="s">
        <v>88</v>
      </c>
      <c r="C4586" s="4" t="s">
        <v>91</v>
      </c>
      <c r="D4586" s="11" t="s">
        <v>9176</v>
      </c>
      <c r="E4586" s="4">
        <v>4206207</v>
      </c>
      <c r="F4586" s="11" t="s">
        <v>9177</v>
      </c>
      <c r="G4586" s="4" t="s">
        <v>232</v>
      </c>
      <c r="H4586" s="13"/>
    </row>
    <row r="4587" s="1" customFormat="1" spans="1:8">
      <c r="A4587" s="4" t="s">
        <v>205</v>
      </c>
      <c r="B4587" s="4" t="s">
        <v>88</v>
      </c>
      <c r="C4587" s="4" t="s">
        <v>91</v>
      </c>
      <c r="D4587" s="7" t="s">
        <v>9178</v>
      </c>
      <c r="E4587" s="4">
        <v>4206108</v>
      </c>
      <c r="F4587" s="11" t="s">
        <v>9179</v>
      </c>
      <c r="G4587" s="4" t="s">
        <v>232</v>
      </c>
      <c r="H4587" s="13"/>
    </row>
    <row r="4588" s="1" customFormat="1" spans="1:8">
      <c r="A4588" s="4" t="s">
        <v>205</v>
      </c>
      <c r="B4588" s="4" t="s">
        <v>88</v>
      </c>
      <c r="C4588" s="4" t="s">
        <v>91</v>
      </c>
      <c r="D4588" s="11" t="s">
        <v>9180</v>
      </c>
      <c r="E4588" s="4">
        <v>4206702</v>
      </c>
      <c r="F4588" s="11" t="s">
        <v>9181</v>
      </c>
      <c r="G4588" s="4" t="s">
        <v>232</v>
      </c>
      <c r="H4588" s="13"/>
    </row>
    <row r="4589" s="1" customFormat="1" spans="1:8">
      <c r="A4589" s="4" t="s">
        <v>205</v>
      </c>
      <c r="B4589" s="4" t="s">
        <v>88</v>
      </c>
      <c r="C4589" s="4" t="s">
        <v>91</v>
      </c>
      <c r="D4589" s="11" t="s">
        <v>9182</v>
      </c>
      <c r="E4589" s="4">
        <v>4206751</v>
      </c>
      <c r="F4589" s="11" t="s">
        <v>9183</v>
      </c>
      <c r="G4589" s="4" t="s">
        <v>232</v>
      </c>
      <c r="H4589" s="13"/>
    </row>
    <row r="4590" s="1" customFormat="1" spans="1:8">
      <c r="A4590" s="4" t="s">
        <v>205</v>
      </c>
      <c r="B4590" s="4" t="s">
        <v>88</v>
      </c>
      <c r="C4590" s="4" t="s">
        <v>91</v>
      </c>
      <c r="D4590" s="11" t="s">
        <v>9184</v>
      </c>
      <c r="E4590" s="4">
        <v>4206801</v>
      </c>
      <c r="F4590" s="11" t="s">
        <v>9185</v>
      </c>
      <c r="G4590" s="4" t="s">
        <v>232</v>
      </c>
      <c r="H4590" s="13"/>
    </row>
    <row r="4591" s="1" customFormat="1" spans="1:8">
      <c r="A4591" s="4" t="s">
        <v>205</v>
      </c>
      <c r="B4591" s="4" t="s">
        <v>88</v>
      </c>
      <c r="C4591" s="4" t="s">
        <v>91</v>
      </c>
      <c r="D4591" s="11" t="s">
        <v>9186</v>
      </c>
      <c r="E4591" s="4">
        <v>4207205</v>
      </c>
      <c r="F4591" s="11" t="s">
        <v>9187</v>
      </c>
      <c r="G4591" s="4" t="s">
        <v>232</v>
      </c>
      <c r="H4591" s="13"/>
    </row>
    <row r="4592" s="1" customFormat="1" spans="1:8">
      <c r="A4592" s="4" t="s">
        <v>205</v>
      </c>
      <c r="B4592" s="4" t="s">
        <v>88</v>
      </c>
      <c r="C4592" s="4" t="s">
        <v>91</v>
      </c>
      <c r="D4592" s="11" t="s">
        <v>9188</v>
      </c>
      <c r="E4592" s="4">
        <v>4207577</v>
      </c>
      <c r="F4592" s="11" t="s">
        <v>9189</v>
      </c>
      <c r="G4592" s="4" t="s">
        <v>232</v>
      </c>
      <c r="H4592" s="13"/>
    </row>
    <row r="4593" s="1" customFormat="1" spans="1:8">
      <c r="A4593" s="4" t="s">
        <v>205</v>
      </c>
      <c r="B4593" s="4" t="s">
        <v>88</v>
      </c>
      <c r="C4593" s="4" t="s">
        <v>91</v>
      </c>
      <c r="D4593" s="11" t="s">
        <v>9190</v>
      </c>
      <c r="E4593" s="4">
        <v>4207601</v>
      </c>
      <c r="F4593" s="11" t="s">
        <v>9191</v>
      </c>
      <c r="G4593" s="4" t="s">
        <v>232</v>
      </c>
      <c r="H4593" s="13"/>
    </row>
    <row r="4594" s="1" customFormat="1" spans="1:8">
      <c r="A4594" s="4" t="s">
        <v>205</v>
      </c>
      <c r="B4594" s="4" t="s">
        <v>88</v>
      </c>
      <c r="C4594" s="4" t="s">
        <v>91</v>
      </c>
      <c r="D4594" s="11" t="s">
        <v>9192</v>
      </c>
      <c r="E4594" s="4">
        <v>4207684</v>
      </c>
      <c r="F4594" s="11" t="s">
        <v>9193</v>
      </c>
      <c r="G4594" s="4" t="s">
        <v>232</v>
      </c>
      <c r="H4594" s="13"/>
    </row>
    <row r="4595" s="1" customFormat="1" spans="1:8">
      <c r="A4595" s="4" t="s">
        <v>205</v>
      </c>
      <c r="B4595" s="4" t="s">
        <v>88</v>
      </c>
      <c r="C4595" s="4" t="s">
        <v>91</v>
      </c>
      <c r="D4595" s="11" t="s">
        <v>9194</v>
      </c>
      <c r="E4595" s="4">
        <v>4207700</v>
      </c>
      <c r="F4595" s="11" t="s">
        <v>9195</v>
      </c>
      <c r="G4595" s="4" t="s">
        <v>232</v>
      </c>
      <c r="H4595" s="13"/>
    </row>
    <row r="4596" s="1" customFormat="1" spans="1:8">
      <c r="A4596" s="4" t="s">
        <v>205</v>
      </c>
      <c r="B4596" s="4" t="s">
        <v>88</v>
      </c>
      <c r="C4596" s="4" t="s">
        <v>91</v>
      </c>
      <c r="D4596" s="11" t="s">
        <v>9196</v>
      </c>
      <c r="E4596" s="4">
        <v>4207809</v>
      </c>
      <c r="F4596" s="11" t="s">
        <v>9197</v>
      </c>
      <c r="G4596" s="4" t="s">
        <v>232</v>
      </c>
      <c r="H4596" s="13"/>
    </row>
    <row r="4597" s="1" customFormat="1" spans="1:8">
      <c r="A4597" s="4" t="s">
        <v>205</v>
      </c>
      <c r="B4597" s="4" t="s">
        <v>88</v>
      </c>
      <c r="C4597" s="4" t="s">
        <v>91</v>
      </c>
      <c r="D4597" s="11" t="s">
        <v>9198</v>
      </c>
      <c r="E4597" s="4">
        <v>4208005</v>
      </c>
      <c r="F4597" s="11" t="s">
        <v>9199</v>
      </c>
      <c r="G4597" s="4" t="s">
        <v>232</v>
      </c>
      <c r="H4597" s="13"/>
    </row>
    <row r="4598" s="1" customFormat="1" spans="1:8">
      <c r="A4598" s="4" t="s">
        <v>205</v>
      </c>
      <c r="B4598" s="4" t="s">
        <v>88</v>
      </c>
      <c r="C4598" s="4" t="s">
        <v>91</v>
      </c>
      <c r="D4598" s="11" t="s">
        <v>9200</v>
      </c>
      <c r="E4598" s="4">
        <v>4207007</v>
      </c>
      <c r="F4598" s="11" t="s">
        <v>9201</v>
      </c>
      <c r="G4598" s="4" t="s">
        <v>232</v>
      </c>
      <c r="H4598" s="13"/>
    </row>
    <row r="4599" s="1" customFormat="1" spans="1:8">
      <c r="A4599" s="4" t="s">
        <v>205</v>
      </c>
      <c r="B4599" s="4" t="s">
        <v>88</v>
      </c>
      <c r="C4599" s="4" t="s">
        <v>91</v>
      </c>
      <c r="D4599" s="11" t="s">
        <v>9202</v>
      </c>
      <c r="E4599" s="4">
        <v>4208609</v>
      </c>
      <c r="F4599" s="11" t="s">
        <v>9203</v>
      </c>
      <c r="G4599" s="4" t="s">
        <v>232</v>
      </c>
      <c r="H4599" s="13"/>
    </row>
    <row r="4600" s="1" customFormat="1" spans="1:8">
      <c r="A4600" s="4" t="s">
        <v>205</v>
      </c>
      <c r="B4600" s="4" t="s">
        <v>88</v>
      </c>
      <c r="C4600" s="4" t="s">
        <v>91</v>
      </c>
      <c r="D4600" s="11" t="s">
        <v>9204</v>
      </c>
      <c r="E4600" s="4">
        <v>4208708</v>
      </c>
      <c r="F4600" s="11" t="s">
        <v>9205</v>
      </c>
      <c r="G4600" s="4" t="s">
        <v>232</v>
      </c>
      <c r="H4600" s="13"/>
    </row>
    <row r="4601" s="1" customFormat="1" spans="1:8">
      <c r="A4601" s="4" t="s">
        <v>205</v>
      </c>
      <c r="B4601" s="4" t="s">
        <v>88</v>
      </c>
      <c r="C4601" s="4" t="s">
        <v>91</v>
      </c>
      <c r="D4601" s="11" t="s">
        <v>9206</v>
      </c>
      <c r="E4601" s="4">
        <v>4208807</v>
      </c>
      <c r="F4601" s="11" t="s">
        <v>9207</v>
      </c>
      <c r="G4601" s="4" t="s">
        <v>232</v>
      </c>
      <c r="H4601" s="13"/>
    </row>
    <row r="4602" s="1" customFormat="1" spans="1:8">
      <c r="A4602" s="4" t="s">
        <v>205</v>
      </c>
      <c r="B4602" s="4" t="s">
        <v>88</v>
      </c>
      <c r="C4602" s="4" t="s">
        <v>91</v>
      </c>
      <c r="D4602" s="11" t="s">
        <v>9208</v>
      </c>
      <c r="E4602" s="4">
        <v>4209003</v>
      </c>
      <c r="F4602" s="11" t="s">
        <v>9209</v>
      </c>
      <c r="G4602" s="4" t="s">
        <v>232</v>
      </c>
      <c r="H4602" s="13"/>
    </row>
    <row r="4603" s="1" customFormat="1" spans="1:8">
      <c r="A4603" s="4" t="s">
        <v>205</v>
      </c>
      <c r="B4603" s="4" t="s">
        <v>88</v>
      </c>
      <c r="C4603" s="4" t="s">
        <v>91</v>
      </c>
      <c r="D4603" s="11" t="s">
        <v>9210</v>
      </c>
      <c r="E4603" s="4">
        <v>4209177</v>
      </c>
      <c r="F4603" s="11" t="s">
        <v>9211</v>
      </c>
      <c r="G4603" s="4" t="s">
        <v>232</v>
      </c>
      <c r="H4603" s="13"/>
    </row>
    <row r="4604" s="1" customFormat="1" spans="1:8">
      <c r="A4604" s="4" t="s">
        <v>205</v>
      </c>
      <c r="B4604" s="4" t="s">
        <v>88</v>
      </c>
      <c r="C4604" s="4" t="s">
        <v>91</v>
      </c>
      <c r="D4604" s="11" t="s">
        <v>9212</v>
      </c>
      <c r="E4604" s="4">
        <v>4209201</v>
      </c>
      <c r="F4604" s="11" t="s">
        <v>9213</v>
      </c>
      <c r="G4604" s="4" t="s">
        <v>232</v>
      </c>
      <c r="H4604" s="13"/>
    </row>
    <row r="4605" s="1" customFormat="1" spans="1:8">
      <c r="A4605" s="4" t="s">
        <v>205</v>
      </c>
      <c r="B4605" s="4" t="s">
        <v>88</v>
      </c>
      <c r="C4605" s="4" t="s">
        <v>91</v>
      </c>
      <c r="D4605" s="11" t="s">
        <v>9214</v>
      </c>
      <c r="E4605" s="4">
        <v>4209300</v>
      </c>
      <c r="F4605" s="11" t="s">
        <v>9215</v>
      </c>
      <c r="G4605" s="4" t="s">
        <v>232</v>
      </c>
      <c r="H4605" s="13"/>
    </row>
    <row r="4606" s="1" customFormat="1" spans="1:8">
      <c r="A4606" s="4" t="s">
        <v>205</v>
      </c>
      <c r="B4606" s="4" t="s">
        <v>88</v>
      </c>
      <c r="C4606" s="4" t="s">
        <v>91</v>
      </c>
      <c r="D4606" s="11" t="s">
        <v>9216</v>
      </c>
      <c r="E4606" s="4">
        <v>4209409</v>
      </c>
      <c r="F4606" s="11" t="s">
        <v>9217</v>
      </c>
      <c r="G4606" s="4" t="s">
        <v>232</v>
      </c>
      <c r="H4606" s="13"/>
    </row>
    <row r="4607" s="1" customFormat="1" spans="1:8">
      <c r="A4607" s="4" t="s">
        <v>205</v>
      </c>
      <c r="B4607" s="4" t="s">
        <v>88</v>
      </c>
      <c r="C4607" s="4" t="s">
        <v>91</v>
      </c>
      <c r="D4607" s="11" t="s">
        <v>9218</v>
      </c>
      <c r="E4607" s="4">
        <v>4209458</v>
      </c>
      <c r="F4607" s="11" t="s">
        <v>9219</v>
      </c>
      <c r="G4607" s="4" t="s">
        <v>232</v>
      </c>
      <c r="H4607" s="13"/>
    </row>
    <row r="4608" s="1" customFormat="1" spans="1:8">
      <c r="A4608" s="4" t="s">
        <v>205</v>
      </c>
      <c r="B4608" s="4" t="s">
        <v>88</v>
      </c>
      <c r="C4608" s="4" t="s">
        <v>91</v>
      </c>
      <c r="D4608" s="7" t="s">
        <v>9220</v>
      </c>
      <c r="E4608" s="4">
        <v>4209607</v>
      </c>
      <c r="F4608" s="11" t="s">
        <v>9221</v>
      </c>
      <c r="G4608" s="4" t="s">
        <v>232</v>
      </c>
      <c r="H4608" s="13"/>
    </row>
    <row r="4609" s="1" customFormat="1" spans="1:8">
      <c r="A4609" s="4" t="s">
        <v>205</v>
      </c>
      <c r="B4609" s="4" t="s">
        <v>88</v>
      </c>
      <c r="C4609" s="4" t="s">
        <v>91</v>
      </c>
      <c r="D4609" s="11" t="s">
        <v>9222</v>
      </c>
      <c r="E4609" s="4">
        <v>4209706</v>
      </c>
      <c r="F4609" s="11" t="s">
        <v>9223</v>
      </c>
      <c r="G4609" s="4" t="s">
        <v>232</v>
      </c>
      <c r="H4609" s="13"/>
    </row>
    <row r="4610" s="1" customFormat="1" spans="1:8">
      <c r="A4610" s="4" t="s">
        <v>205</v>
      </c>
      <c r="B4610" s="4" t="s">
        <v>88</v>
      </c>
      <c r="C4610" s="4" t="s">
        <v>91</v>
      </c>
      <c r="D4610" s="11" t="s">
        <v>9224</v>
      </c>
      <c r="E4610" s="4">
        <v>4209854</v>
      </c>
      <c r="F4610" s="11" t="s">
        <v>9225</v>
      </c>
      <c r="G4610" s="4" t="s">
        <v>232</v>
      </c>
      <c r="H4610" s="13"/>
    </row>
    <row r="4611" s="1" customFormat="1" spans="1:8">
      <c r="A4611" s="4" t="s">
        <v>205</v>
      </c>
      <c r="B4611" s="4" t="s">
        <v>88</v>
      </c>
      <c r="C4611" s="4" t="s">
        <v>91</v>
      </c>
      <c r="D4611" s="11" t="s">
        <v>9226</v>
      </c>
      <c r="E4611" s="4">
        <v>4210035</v>
      </c>
      <c r="F4611" s="11" t="s">
        <v>9227</v>
      </c>
      <c r="G4611" s="4" t="s">
        <v>232</v>
      </c>
      <c r="H4611" s="13"/>
    </row>
    <row r="4612" s="1" customFormat="1" spans="1:8">
      <c r="A4612" s="4" t="s">
        <v>205</v>
      </c>
      <c r="B4612" s="4" t="s">
        <v>88</v>
      </c>
      <c r="C4612" s="4" t="s">
        <v>91</v>
      </c>
      <c r="D4612" s="11" t="s">
        <v>9228</v>
      </c>
      <c r="E4612" s="4">
        <v>4210050</v>
      </c>
      <c r="F4612" s="11" t="s">
        <v>9229</v>
      </c>
      <c r="G4612" s="4" t="s">
        <v>232</v>
      </c>
      <c r="H4612" s="13"/>
    </row>
    <row r="4613" s="1" customFormat="1" spans="1:8">
      <c r="A4613" s="4" t="s">
        <v>205</v>
      </c>
      <c r="B4613" s="4" t="s">
        <v>88</v>
      </c>
      <c r="C4613" s="4" t="s">
        <v>91</v>
      </c>
      <c r="D4613" s="11" t="s">
        <v>9230</v>
      </c>
      <c r="E4613" s="4">
        <v>4210407</v>
      </c>
      <c r="F4613" s="11" t="s">
        <v>9231</v>
      </c>
      <c r="G4613" s="4" t="s">
        <v>232</v>
      </c>
      <c r="H4613" s="13"/>
    </row>
    <row r="4614" s="1" customFormat="1" spans="1:8">
      <c r="A4614" s="4" t="s">
        <v>205</v>
      </c>
      <c r="B4614" s="4" t="s">
        <v>88</v>
      </c>
      <c r="C4614" s="4" t="s">
        <v>91</v>
      </c>
      <c r="D4614" s="11" t="s">
        <v>9232</v>
      </c>
      <c r="E4614" s="4">
        <v>4210555</v>
      </c>
      <c r="F4614" s="11" t="s">
        <v>9233</v>
      </c>
      <c r="G4614" s="4" t="s">
        <v>232</v>
      </c>
      <c r="H4614" s="13"/>
    </row>
    <row r="4615" s="1" customFormat="1" spans="1:8">
      <c r="A4615" s="4" t="s">
        <v>205</v>
      </c>
      <c r="B4615" s="4" t="s">
        <v>88</v>
      </c>
      <c r="C4615" s="4" t="s">
        <v>91</v>
      </c>
      <c r="D4615" s="11" t="s">
        <v>9234</v>
      </c>
      <c r="E4615" s="4">
        <v>4210704</v>
      </c>
      <c r="F4615" s="11" t="s">
        <v>9235</v>
      </c>
      <c r="G4615" s="4" t="s">
        <v>232</v>
      </c>
      <c r="H4615" s="13"/>
    </row>
    <row r="4616" s="1" customFormat="1" spans="1:8">
      <c r="A4616" s="4" t="s">
        <v>205</v>
      </c>
      <c r="B4616" s="4" t="s">
        <v>88</v>
      </c>
      <c r="C4616" s="4" t="s">
        <v>91</v>
      </c>
      <c r="D4616" s="11" t="s">
        <v>9236</v>
      </c>
      <c r="E4616" s="4">
        <v>4210803</v>
      </c>
      <c r="F4616" s="11" t="s">
        <v>9237</v>
      </c>
      <c r="G4616" s="4" t="s">
        <v>232</v>
      </c>
      <c r="H4616" s="13"/>
    </row>
    <row r="4617" s="1" customFormat="1" spans="1:8">
      <c r="A4617" s="4" t="s">
        <v>205</v>
      </c>
      <c r="B4617" s="4" t="s">
        <v>88</v>
      </c>
      <c r="C4617" s="4" t="s">
        <v>91</v>
      </c>
      <c r="D4617" s="11" t="s">
        <v>9238</v>
      </c>
      <c r="E4617" s="4">
        <v>4211058</v>
      </c>
      <c r="F4617" s="11" t="s">
        <v>9239</v>
      </c>
      <c r="G4617" s="4" t="s">
        <v>232</v>
      </c>
      <c r="H4617" s="13"/>
    </row>
    <row r="4618" s="1" customFormat="1" spans="1:8">
      <c r="A4618" s="4" t="s">
        <v>205</v>
      </c>
      <c r="B4618" s="4" t="s">
        <v>88</v>
      </c>
      <c r="C4618" s="4" t="s">
        <v>91</v>
      </c>
      <c r="D4618" s="11" t="s">
        <v>9240</v>
      </c>
      <c r="E4618" s="4">
        <v>4211207</v>
      </c>
      <c r="F4618" s="11" t="s">
        <v>9241</v>
      </c>
      <c r="G4618" s="4" t="s">
        <v>232</v>
      </c>
      <c r="H4618" s="13"/>
    </row>
    <row r="4619" s="1" customFormat="1" spans="1:8">
      <c r="A4619" s="4" t="s">
        <v>205</v>
      </c>
      <c r="B4619" s="4" t="s">
        <v>88</v>
      </c>
      <c r="C4619" s="4" t="s">
        <v>91</v>
      </c>
      <c r="D4619" s="11" t="s">
        <v>2224</v>
      </c>
      <c r="E4619" s="4">
        <v>4211603</v>
      </c>
      <c r="F4619" s="11" t="s">
        <v>9242</v>
      </c>
      <c r="G4619" s="4" t="s">
        <v>232</v>
      </c>
      <c r="H4619" s="13"/>
    </row>
    <row r="4620" s="1" customFormat="1" spans="1:8">
      <c r="A4620" s="4" t="s">
        <v>205</v>
      </c>
      <c r="B4620" s="4" t="s">
        <v>88</v>
      </c>
      <c r="C4620" s="4" t="s">
        <v>91</v>
      </c>
      <c r="D4620" s="11" t="s">
        <v>9243</v>
      </c>
      <c r="E4620" s="4">
        <v>4211702</v>
      </c>
      <c r="F4620" s="11" t="s">
        <v>9244</v>
      </c>
      <c r="G4620" s="4" t="s">
        <v>232</v>
      </c>
      <c r="H4620" s="13"/>
    </row>
    <row r="4621" s="1" customFormat="1" spans="1:8">
      <c r="A4621" s="4" t="s">
        <v>205</v>
      </c>
      <c r="B4621" s="4" t="s">
        <v>88</v>
      </c>
      <c r="C4621" s="4" t="s">
        <v>91</v>
      </c>
      <c r="D4621" s="11" t="s">
        <v>9245</v>
      </c>
      <c r="E4621" s="4">
        <v>4211801</v>
      </c>
      <c r="F4621" s="11" t="s">
        <v>9246</v>
      </c>
      <c r="G4621" s="4" t="s">
        <v>232</v>
      </c>
      <c r="H4621" s="13"/>
    </row>
    <row r="4622" s="1" customFormat="1" spans="1:8">
      <c r="A4622" s="4" t="s">
        <v>205</v>
      </c>
      <c r="B4622" s="4" t="s">
        <v>88</v>
      </c>
      <c r="C4622" s="4" t="s">
        <v>91</v>
      </c>
      <c r="D4622" s="11" t="s">
        <v>9247</v>
      </c>
      <c r="E4622" s="4">
        <v>4211850</v>
      </c>
      <c r="F4622" s="11" t="s">
        <v>9248</v>
      </c>
      <c r="G4622" s="4" t="s">
        <v>232</v>
      </c>
      <c r="H4622" s="13"/>
    </row>
    <row r="4623" s="1" customFormat="1" spans="1:8">
      <c r="A4623" s="4" t="s">
        <v>205</v>
      </c>
      <c r="B4623" s="4" t="s">
        <v>88</v>
      </c>
      <c r="C4623" s="4" t="s">
        <v>91</v>
      </c>
      <c r="D4623" s="11" t="s">
        <v>9249</v>
      </c>
      <c r="E4623" s="4">
        <v>4211892</v>
      </c>
      <c r="F4623" s="11" t="s">
        <v>9250</v>
      </c>
      <c r="G4623" s="4" t="s">
        <v>232</v>
      </c>
      <c r="H4623" s="13"/>
    </row>
    <row r="4624" s="1" customFormat="1" spans="1:8">
      <c r="A4624" s="4" t="s">
        <v>205</v>
      </c>
      <c r="B4624" s="4" t="s">
        <v>88</v>
      </c>
      <c r="C4624" s="4" t="s">
        <v>91</v>
      </c>
      <c r="D4624" s="11" t="s">
        <v>6625</v>
      </c>
      <c r="E4624" s="4">
        <v>4212056</v>
      </c>
      <c r="F4624" s="11" t="s">
        <v>9251</v>
      </c>
      <c r="G4624" s="4" t="s">
        <v>232</v>
      </c>
      <c r="H4624" s="13"/>
    </row>
    <row r="4625" s="1" customFormat="1" spans="1:8">
      <c r="A4625" s="4" t="s">
        <v>205</v>
      </c>
      <c r="B4625" s="4" t="s">
        <v>88</v>
      </c>
      <c r="C4625" s="4" t="s">
        <v>91</v>
      </c>
      <c r="D4625" s="11" t="s">
        <v>9252</v>
      </c>
      <c r="E4625" s="4">
        <v>4212254</v>
      </c>
      <c r="F4625" s="11" t="s">
        <v>9253</v>
      </c>
      <c r="G4625" s="4" t="s">
        <v>232</v>
      </c>
      <c r="H4625" s="13"/>
    </row>
    <row r="4626" s="1" customFormat="1" spans="1:8">
      <c r="A4626" s="4" t="s">
        <v>205</v>
      </c>
      <c r="B4626" s="4" t="s">
        <v>88</v>
      </c>
      <c r="C4626" s="4" t="s">
        <v>91</v>
      </c>
      <c r="D4626" s="11" t="s">
        <v>9254</v>
      </c>
      <c r="E4626" s="4">
        <v>4212270</v>
      </c>
      <c r="F4626" s="11" t="s">
        <v>9255</v>
      </c>
      <c r="G4626" s="4" t="s">
        <v>232</v>
      </c>
      <c r="H4626" s="13"/>
    </row>
    <row r="4627" s="1" customFormat="1" spans="1:8">
      <c r="A4627" s="4" t="s">
        <v>205</v>
      </c>
      <c r="B4627" s="4" t="s">
        <v>88</v>
      </c>
      <c r="C4627" s="4" t="s">
        <v>91</v>
      </c>
      <c r="D4627" s="11" t="s">
        <v>9256</v>
      </c>
      <c r="E4627" s="4">
        <v>4212403</v>
      </c>
      <c r="F4627" s="11" t="s">
        <v>9257</v>
      </c>
      <c r="G4627" s="4" t="s">
        <v>232</v>
      </c>
      <c r="H4627" s="13"/>
    </row>
    <row r="4628" s="1" customFormat="1" spans="1:8">
      <c r="A4628" s="4" t="s">
        <v>205</v>
      </c>
      <c r="B4628" s="4" t="s">
        <v>88</v>
      </c>
      <c r="C4628" s="4" t="s">
        <v>91</v>
      </c>
      <c r="D4628" s="11" t="s">
        <v>9258</v>
      </c>
      <c r="E4628" s="4">
        <v>4212601</v>
      </c>
      <c r="F4628" s="11" t="s">
        <v>9259</v>
      </c>
      <c r="G4628" s="4" t="s">
        <v>232</v>
      </c>
      <c r="H4628" s="13"/>
    </row>
    <row r="4629" s="1" customFormat="1" spans="1:8">
      <c r="A4629" s="4" t="s">
        <v>205</v>
      </c>
      <c r="B4629" s="4" t="s">
        <v>88</v>
      </c>
      <c r="C4629" s="4" t="s">
        <v>91</v>
      </c>
      <c r="D4629" s="11" t="s">
        <v>9260</v>
      </c>
      <c r="E4629" s="4">
        <v>4212650</v>
      </c>
      <c r="F4629" s="11" t="s">
        <v>9261</v>
      </c>
      <c r="G4629" s="4" t="s">
        <v>232</v>
      </c>
      <c r="H4629" s="13"/>
    </row>
    <row r="4630" s="1" customFormat="1" spans="1:8">
      <c r="A4630" s="4" t="s">
        <v>205</v>
      </c>
      <c r="B4630" s="4" t="s">
        <v>88</v>
      </c>
      <c r="C4630" s="4" t="s">
        <v>91</v>
      </c>
      <c r="D4630" s="11" t="s">
        <v>9262</v>
      </c>
      <c r="E4630" s="4">
        <v>4213005</v>
      </c>
      <c r="F4630" s="11" t="s">
        <v>9263</v>
      </c>
      <c r="G4630" s="4" t="s">
        <v>232</v>
      </c>
      <c r="H4630" s="13"/>
    </row>
    <row r="4631" s="1" customFormat="1" spans="1:8">
      <c r="A4631" s="4" t="s">
        <v>205</v>
      </c>
      <c r="B4631" s="4" t="s">
        <v>88</v>
      </c>
      <c r="C4631" s="4" t="s">
        <v>91</v>
      </c>
      <c r="D4631" s="11" t="s">
        <v>9264</v>
      </c>
      <c r="E4631" s="4">
        <v>4213104</v>
      </c>
      <c r="F4631" s="11" t="s">
        <v>9265</v>
      </c>
      <c r="G4631" s="4" t="s">
        <v>232</v>
      </c>
      <c r="H4631" s="13"/>
    </row>
    <row r="4632" s="1" customFormat="1" spans="1:8">
      <c r="A4632" s="4" t="s">
        <v>205</v>
      </c>
      <c r="B4632" s="4" t="s">
        <v>88</v>
      </c>
      <c r="C4632" s="4" t="s">
        <v>91</v>
      </c>
      <c r="D4632" s="11" t="s">
        <v>9266</v>
      </c>
      <c r="E4632" s="4">
        <v>4213302</v>
      </c>
      <c r="F4632" s="11" t="s">
        <v>9267</v>
      </c>
      <c r="G4632" s="4" t="s">
        <v>232</v>
      </c>
      <c r="H4632" s="13"/>
    </row>
    <row r="4633" s="1" customFormat="1" spans="1:8">
      <c r="A4633" s="4" t="s">
        <v>205</v>
      </c>
      <c r="B4633" s="4" t="s">
        <v>88</v>
      </c>
      <c r="C4633" s="4" t="s">
        <v>91</v>
      </c>
      <c r="D4633" s="11" t="s">
        <v>9268</v>
      </c>
      <c r="E4633" s="4">
        <v>4213351</v>
      </c>
      <c r="F4633" s="11" t="s">
        <v>9269</v>
      </c>
      <c r="G4633" s="4" t="s">
        <v>232</v>
      </c>
      <c r="H4633" s="13"/>
    </row>
    <row r="4634" s="1" customFormat="1" spans="1:8">
      <c r="A4634" s="4" t="s">
        <v>205</v>
      </c>
      <c r="B4634" s="4" t="s">
        <v>88</v>
      </c>
      <c r="C4634" s="4" t="s">
        <v>91</v>
      </c>
      <c r="D4634" s="11" t="s">
        <v>9270</v>
      </c>
      <c r="E4634" s="4">
        <v>4213401</v>
      </c>
      <c r="F4634" s="11" t="s">
        <v>9271</v>
      </c>
      <c r="G4634" s="4" t="s">
        <v>232</v>
      </c>
      <c r="H4634" s="13"/>
    </row>
    <row r="4635" s="1" customFormat="1" spans="1:8">
      <c r="A4635" s="4" t="s">
        <v>205</v>
      </c>
      <c r="B4635" s="4" t="s">
        <v>88</v>
      </c>
      <c r="C4635" s="4" t="s">
        <v>91</v>
      </c>
      <c r="D4635" s="11" t="s">
        <v>9272</v>
      </c>
      <c r="E4635" s="4">
        <v>4213609</v>
      </c>
      <c r="F4635" s="11" t="s">
        <v>9273</v>
      </c>
      <c r="G4635" s="4" t="s">
        <v>232</v>
      </c>
      <c r="H4635" s="13"/>
    </row>
    <row r="4636" s="1" customFormat="1" spans="1:8">
      <c r="A4636" s="4" t="s">
        <v>205</v>
      </c>
      <c r="B4636" s="4" t="s">
        <v>88</v>
      </c>
      <c r="C4636" s="4" t="s">
        <v>91</v>
      </c>
      <c r="D4636" s="11" t="s">
        <v>9274</v>
      </c>
      <c r="E4636" s="4">
        <v>4213807</v>
      </c>
      <c r="F4636" s="11" t="s">
        <v>9275</v>
      </c>
      <c r="G4636" s="4" t="s">
        <v>232</v>
      </c>
      <c r="H4636" s="13"/>
    </row>
    <row r="4637" s="1" customFormat="1" spans="1:8">
      <c r="A4637" s="4" t="s">
        <v>205</v>
      </c>
      <c r="B4637" s="4" t="s">
        <v>88</v>
      </c>
      <c r="C4637" s="4" t="s">
        <v>91</v>
      </c>
      <c r="D4637" s="11" t="s">
        <v>9276</v>
      </c>
      <c r="E4637" s="4">
        <v>4213906</v>
      </c>
      <c r="F4637" s="11" t="s">
        <v>9277</v>
      </c>
      <c r="G4637" s="4" t="s">
        <v>232</v>
      </c>
      <c r="H4637" s="13"/>
    </row>
    <row r="4638" s="1" customFormat="1" spans="1:8">
      <c r="A4638" s="4" t="s">
        <v>205</v>
      </c>
      <c r="B4638" s="4" t="s">
        <v>88</v>
      </c>
      <c r="C4638" s="4" t="s">
        <v>91</v>
      </c>
      <c r="D4638" s="11" t="s">
        <v>9278</v>
      </c>
      <c r="E4638" s="4">
        <v>4214409</v>
      </c>
      <c r="F4638" s="11" t="s">
        <v>9279</v>
      </c>
      <c r="G4638" s="4" t="s">
        <v>232</v>
      </c>
      <c r="H4638" s="13"/>
    </row>
    <row r="4639" s="1" customFormat="1" spans="1:8">
      <c r="A4639" s="4" t="s">
        <v>205</v>
      </c>
      <c r="B4639" s="4" t="s">
        <v>88</v>
      </c>
      <c r="C4639" s="4" t="s">
        <v>91</v>
      </c>
      <c r="D4639" s="11" t="s">
        <v>9280</v>
      </c>
      <c r="E4639" s="4">
        <v>4214508</v>
      </c>
      <c r="F4639" s="11" t="s">
        <v>9281</v>
      </c>
      <c r="G4639" s="4" t="s">
        <v>232</v>
      </c>
      <c r="H4639" s="13"/>
    </row>
    <row r="4640" s="1" customFormat="1" spans="1:8">
      <c r="A4640" s="4" t="s">
        <v>205</v>
      </c>
      <c r="B4640" s="4" t="s">
        <v>88</v>
      </c>
      <c r="C4640" s="4" t="s">
        <v>91</v>
      </c>
      <c r="D4640" s="11" t="s">
        <v>9282</v>
      </c>
      <c r="E4640" s="4">
        <v>4214904</v>
      </c>
      <c r="F4640" s="11" t="s">
        <v>9283</v>
      </c>
      <c r="G4640" s="4" t="s">
        <v>232</v>
      </c>
      <c r="H4640" s="13"/>
    </row>
    <row r="4641" s="1" customFormat="1" spans="1:8">
      <c r="A4641" s="4" t="s">
        <v>205</v>
      </c>
      <c r="B4641" s="4" t="s">
        <v>88</v>
      </c>
      <c r="C4641" s="4" t="s">
        <v>91</v>
      </c>
      <c r="D4641" s="11" t="s">
        <v>9284</v>
      </c>
      <c r="E4641" s="4">
        <v>4215059</v>
      </c>
      <c r="F4641" s="11" t="s">
        <v>9285</v>
      </c>
      <c r="G4641" s="4" t="s">
        <v>232</v>
      </c>
      <c r="H4641" s="13"/>
    </row>
    <row r="4642" s="1" customFormat="1" spans="1:8">
      <c r="A4642" s="4" t="s">
        <v>205</v>
      </c>
      <c r="B4642" s="4" t="s">
        <v>88</v>
      </c>
      <c r="C4642" s="4" t="s">
        <v>91</v>
      </c>
      <c r="D4642" s="11" t="s">
        <v>9286</v>
      </c>
      <c r="E4642" s="4">
        <v>4215406</v>
      </c>
      <c r="F4642" s="11" t="s">
        <v>9287</v>
      </c>
      <c r="G4642" s="4" t="s">
        <v>232</v>
      </c>
      <c r="H4642" s="13"/>
    </row>
    <row r="4643" s="1" customFormat="1" spans="1:8">
      <c r="A4643" s="4" t="s">
        <v>205</v>
      </c>
      <c r="B4643" s="4" t="s">
        <v>88</v>
      </c>
      <c r="C4643" s="4" t="s">
        <v>91</v>
      </c>
      <c r="D4643" s="11" t="s">
        <v>9288</v>
      </c>
      <c r="E4643" s="4">
        <v>4215455</v>
      </c>
      <c r="F4643" s="11" t="s">
        <v>9289</v>
      </c>
      <c r="G4643" s="4" t="s">
        <v>232</v>
      </c>
      <c r="H4643" s="13"/>
    </row>
    <row r="4644" s="1" customFormat="1" spans="1:8">
      <c r="A4644" s="4" t="s">
        <v>205</v>
      </c>
      <c r="B4644" s="4" t="s">
        <v>88</v>
      </c>
      <c r="C4644" s="4" t="s">
        <v>91</v>
      </c>
      <c r="D4644" s="11" t="s">
        <v>5571</v>
      </c>
      <c r="E4644" s="4">
        <v>4215505</v>
      </c>
      <c r="F4644" s="11" t="s">
        <v>9290</v>
      </c>
      <c r="G4644" s="4" t="s">
        <v>232</v>
      </c>
      <c r="H4644" s="13"/>
    </row>
    <row r="4645" s="1" customFormat="1" spans="1:8">
      <c r="A4645" s="4" t="s">
        <v>205</v>
      </c>
      <c r="B4645" s="4" t="s">
        <v>88</v>
      </c>
      <c r="C4645" s="4" t="s">
        <v>91</v>
      </c>
      <c r="D4645" s="11" t="s">
        <v>9291</v>
      </c>
      <c r="E4645" s="4">
        <v>4215604</v>
      </c>
      <c r="F4645" s="11" t="s">
        <v>9292</v>
      </c>
      <c r="G4645" s="4" t="s">
        <v>232</v>
      </c>
      <c r="H4645" s="13"/>
    </row>
    <row r="4646" s="1" customFormat="1" spans="1:8">
      <c r="A4646" s="4" t="s">
        <v>205</v>
      </c>
      <c r="B4646" s="4" t="s">
        <v>88</v>
      </c>
      <c r="C4646" s="4" t="s">
        <v>91</v>
      </c>
      <c r="D4646" s="11" t="s">
        <v>9293</v>
      </c>
      <c r="E4646" s="4">
        <v>4215653</v>
      </c>
      <c r="F4646" s="11" t="s">
        <v>9294</v>
      </c>
      <c r="G4646" s="4" t="s">
        <v>232</v>
      </c>
      <c r="H4646" s="13"/>
    </row>
    <row r="4647" s="1" customFormat="1" spans="1:8">
      <c r="A4647" s="4" t="s">
        <v>205</v>
      </c>
      <c r="B4647" s="4" t="s">
        <v>88</v>
      </c>
      <c r="C4647" s="4" t="s">
        <v>91</v>
      </c>
      <c r="D4647" s="11" t="s">
        <v>9295</v>
      </c>
      <c r="E4647" s="4">
        <v>4215695</v>
      </c>
      <c r="F4647" s="11" t="s">
        <v>9296</v>
      </c>
      <c r="G4647" s="4" t="s">
        <v>232</v>
      </c>
      <c r="H4647" s="13"/>
    </row>
    <row r="4648" s="1" customFormat="1" spans="1:8">
      <c r="A4648" s="4" t="s">
        <v>205</v>
      </c>
      <c r="B4648" s="4" t="s">
        <v>88</v>
      </c>
      <c r="C4648" s="4" t="s">
        <v>91</v>
      </c>
      <c r="D4648" s="11" t="s">
        <v>9297</v>
      </c>
      <c r="E4648" s="4">
        <v>4217501</v>
      </c>
      <c r="F4648" s="11" t="s">
        <v>9298</v>
      </c>
      <c r="G4648" s="4" t="s">
        <v>232</v>
      </c>
      <c r="H4648" s="13"/>
    </row>
    <row r="4649" s="1" customFormat="1" spans="1:8">
      <c r="A4649" s="4" t="s">
        <v>205</v>
      </c>
      <c r="B4649" s="4" t="s">
        <v>88</v>
      </c>
      <c r="C4649" s="4" t="s">
        <v>91</v>
      </c>
      <c r="D4649" s="11" t="s">
        <v>9299</v>
      </c>
      <c r="E4649" s="4">
        <v>4217600</v>
      </c>
      <c r="F4649" s="11" t="s">
        <v>9300</v>
      </c>
      <c r="G4649" s="4" t="s">
        <v>232</v>
      </c>
      <c r="H4649" s="13"/>
    </row>
    <row r="4650" s="1" customFormat="1" spans="1:8">
      <c r="A4650" s="4" t="s">
        <v>205</v>
      </c>
      <c r="B4650" s="4" t="s">
        <v>88</v>
      </c>
      <c r="C4650" s="4" t="s">
        <v>91</v>
      </c>
      <c r="D4650" s="11" t="s">
        <v>9301</v>
      </c>
      <c r="E4650" s="4">
        <v>4217709</v>
      </c>
      <c r="F4650" s="11" t="s">
        <v>9302</v>
      </c>
      <c r="G4650" s="4" t="s">
        <v>232</v>
      </c>
      <c r="H4650" s="13"/>
    </row>
    <row r="4651" s="1" customFormat="1" spans="1:8">
      <c r="A4651" s="4" t="s">
        <v>205</v>
      </c>
      <c r="B4651" s="4" t="s">
        <v>88</v>
      </c>
      <c r="C4651" s="4" t="s">
        <v>91</v>
      </c>
      <c r="D4651" s="11" t="s">
        <v>9303</v>
      </c>
      <c r="E4651" s="4">
        <v>4216057</v>
      </c>
      <c r="F4651" s="11" t="s">
        <v>9304</v>
      </c>
      <c r="G4651" s="4" t="s">
        <v>232</v>
      </c>
      <c r="H4651" s="13"/>
    </row>
    <row r="4652" s="1" customFormat="1" spans="1:8">
      <c r="A4652" s="4" t="s">
        <v>205</v>
      </c>
      <c r="B4652" s="4" t="s">
        <v>88</v>
      </c>
      <c r="C4652" s="4" t="s">
        <v>91</v>
      </c>
      <c r="D4652" s="11" t="s">
        <v>847</v>
      </c>
      <c r="E4652" s="4">
        <v>4216107</v>
      </c>
      <c r="F4652" s="11" t="s">
        <v>9305</v>
      </c>
      <c r="G4652" s="4" t="s">
        <v>232</v>
      </c>
      <c r="H4652" s="13"/>
    </row>
    <row r="4653" s="1" customFormat="1" spans="1:8">
      <c r="A4653" s="4" t="s">
        <v>205</v>
      </c>
      <c r="B4653" s="4" t="s">
        <v>88</v>
      </c>
      <c r="C4653" s="4" t="s">
        <v>91</v>
      </c>
      <c r="D4653" s="11" t="s">
        <v>9306</v>
      </c>
      <c r="E4653" s="4">
        <v>4216503</v>
      </c>
      <c r="F4653" s="11" t="s">
        <v>9307</v>
      </c>
      <c r="G4653" s="4" t="s">
        <v>232</v>
      </c>
      <c r="H4653" s="13"/>
    </row>
    <row r="4654" s="1" customFormat="1" spans="1:8">
      <c r="A4654" s="4" t="s">
        <v>205</v>
      </c>
      <c r="B4654" s="4" t="s">
        <v>88</v>
      </c>
      <c r="C4654" s="4" t="s">
        <v>91</v>
      </c>
      <c r="D4654" s="11" t="s">
        <v>9308</v>
      </c>
      <c r="E4654" s="4">
        <v>4216701</v>
      </c>
      <c r="F4654" s="11" t="s">
        <v>9309</v>
      </c>
      <c r="G4654" s="4" t="s">
        <v>232</v>
      </c>
      <c r="H4654" s="13"/>
    </row>
    <row r="4655" s="1" customFormat="1" spans="1:8">
      <c r="A4655" s="4" t="s">
        <v>205</v>
      </c>
      <c r="B4655" s="4" t="s">
        <v>88</v>
      </c>
      <c r="C4655" s="4" t="s">
        <v>91</v>
      </c>
      <c r="D4655" s="11" t="s">
        <v>9310</v>
      </c>
      <c r="E4655" s="4">
        <v>4216800</v>
      </c>
      <c r="F4655" s="11" t="s">
        <v>9311</v>
      </c>
      <c r="G4655" s="4" t="s">
        <v>232</v>
      </c>
      <c r="H4655" s="13"/>
    </row>
    <row r="4656" s="1" customFormat="1" spans="1:8">
      <c r="A4656" s="4" t="s">
        <v>205</v>
      </c>
      <c r="B4656" s="4" t="s">
        <v>88</v>
      </c>
      <c r="C4656" s="4" t="s">
        <v>91</v>
      </c>
      <c r="D4656" s="11" t="s">
        <v>9312</v>
      </c>
      <c r="E4656" s="4">
        <v>4216404</v>
      </c>
      <c r="F4656" s="11" t="s">
        <v>9313</v>
      </c>
      <c r="G4656" s="4" t="s">
        <v>232</v>
      </c>
      <c r="H4656" s="13"/>
    </row>
    <row r="4657" s="1" customFormat="1" spans="1:8">
      <c r="A4657" s="4" t="s">
        <v>205</v>
      </c>
      <c r="B4657" s="4" t="s">
        <v>88</v>
      </c>
      <c r="C4657" s="4" t="s">
        <v>91</v>
      </c>
      <c r="D4657" s="11" t="s">
        <v>9314</v>
      </c>
      <c r="E4657" s="4">
        <v>4216909</v>
      </c>
      <c r="F4657" s="11" t="s">
        <v>9315</v>
      </c>
      <c r="G4657" s="4" t="s">
        <v>232</v>
      </c>
      <c r="H4657" s="13"/>
    </row>
    <row r="4658" s="1" customFormat="1" spans="1:8">
      <c r="A4658" s="4" t="s">
        <v>205</v>
      </c>
      <c r="B4658" s="4" t="s">
        <v>88</v>
      </c>
      <c r="C4658" s="4" t="s">
        <v>91</v>
      </c>
      <c r="D4658" s="11" t="s">
        <v>9316</v>
      </c>
      <c r="E4658" s="4">
        <v>4217006</v>
      </c>
      <c r="F4658" s="11" t="s">
        <v>9317</v>
      </c>
      <c r="G4658" s="4" t="s">
        <v>232</v>
      </c>
      <c r="H4658" s="13"/>
    </row>
    <row r="4659" s="1" customFormat="1" spans="1:8">
      <c r="A4659" s="4" t="s">
        <v>205</v>
      </c>
      <c r="B4659" s="4" t="s">
        <v>88</v>
      </c>
      <c r="C4659" s="4" t="s">
        <v>91</v>
      </c>
      <c r="D4659" s="11" t="s">
        <v>8711</v>
      </c>
      <c r="E4659" s="4">
        <v>4217105</v>
      </c>
      <c r="F4659" s="11" t="s">
        <v>9318</v>
      </c>
      <c r="G4659" s="4" t="s">
        <v>232</v>
      </c>
      <c r="H4659" s="13"/>
    </row>
    <row r="4660" s="1" customFormat="1" spans="1:8">
      <c r="A4660" s="4" t="s">
        <v>205</v>
      </c>
      <c r="B4660" s="4" t="s">
        <v>88</v>
      </c>
      <c r="C4660" s="4" t="s">
        <v>91</v>
      </c>
      <c r="D4660" s="11" t="s">
        <v>7606</v>
      </c>
      <c r="E4660" s="4">
        <v>4217907</v>
      </c>
      <c r="F4660" s="11" t="s">
        <v>9319</v>
      </c>
      <c r="G4660" s="4" t="s">
        <v>232</v>
      </c>
      <c r="H4660" s="13"/>
    </row>
    <row r="4661" s="1" customFormat="1" spans="1:8">
      <c r="A4661" s="4" t="s">
        <v>205</v>
      </c>
      <c r="B4661" s="4" t="s">
        <v>88</v>
      </c>
      <c r="C4661" s="4" t="s">
        <v>91</v>
      </c>
      <c r="D4661" s="11" t="s">
        <v>9320</v>
      </c>
      <c r="E4661" s="4">
        <v>4218103</v>
      </c>
      <c r="F4661" s="11" t="s">
        <v>9321</v>
      </c>
      <c r="G4661" s="4" t="s">
        <v>232</v>
      </c>
      <c r="H4661" s="13"/>
    </row>
    <row r="4662" s="1" customFormat="1" spans="1:8">
      <c r="A4662" s="4" t="s">
        <v>205</v>
      </c>
      <c r="B4662" s="4" t="s">
        <v>88</v>
      </c>
      <c r="C4662" s="4" t="s">
        <v>91</v>
      </c>
      <c r="D4662" s="11" t="s">
        <v>9322</v>
      </c>
      <c r="E4662" s="4">
        <v>4218251</v>
      </c>
      <c r="F4662" s="11" t="s">
        <v>9323</v>
      </c>
      <c r="G4662" s="4" t="s">
        <v>232</v>
      </c>
      <c r="H4662" s="13"/>
    </row>
    <row r="4663" s="1" customFormat="1" spans="1:8">
      <c r="A4663" s="4" t="s">
        <v>205</v>
      </c>
      <c r="B4663" s="4" t="s">
        <v>88</v>
      </c>
      <c r="C4663" s="4" t="s">
        <v>91</v>
      </c>
      <c r="D4663" s="11" t="s">
        <v>9324</v>
      </c>
      <c r="E4663" s="4">
        <v>4218350</v>
      </c>
      <c r="F4663" s="11" t="s">
        <v>9325</v>
      </c>
      <c r="G4663" s="4" t="s">
        <v>232</v>
      </c>
      <c r="H4663" s="13"/>
    </row>
    <row r="4664" s="1" customFormat="1" spans="1:8">
      <c r="A4664" s="4" t="s">
        <v>205</v>
      </c>
      <c r="B4664" s="4" t="s">
        <v>88</v>
      </c>
      <c r="C4664" s="4" t="s">
        <v>91</v>
      </c>
      <c r="D4664" s="11" t="s">
        <v>9326</v>
      </c>
      <c r="E4664" s="4">
        <v>4218400</v>
      </c>
      <c r="F4664" s="11" t="s">
        <v>9327</v>
      </c>
      <c r="G4664" s="4" t="s">
        <v>232</v>
      </c>
      <c r="H4664" s="13"/>
    </row>
    <row r="4665" s="1" customFormat="1" spans="1:8">
      <c r="A4665" s="4" t="s">
        <v>205</v>
      </c>
      <c r="B4665" s="4" t="s">
        <v>88</v>
      </c>
      <c r="C4665" s="4" t="s">
        <v>91</v>
      </c>
      <c r="D4665" s="11" t="s">
        <v>9328</v>
      </c>
      <c r="E4665" s="4">
        <v>4218509</v>
      </c>
      <c r="F4665" s="11" t="s">
        <v>9329</v>
      </c>
      <c r="G4665" s="4" t="s">
        <v>232</v>
      </c>
      <c r="H4665" s="13"/>
    </row>
    <row r="4666" s="1" customFormat="1" spans="1:8">
      <c r="A4666" s="4" t="s">
        <v>205</v>
      </c>
      <c r="B4666" s="4" t="s">
        <v>88</v>
      </c>
      <c r="C4666" s="4" t="s">
        <v>91</v>
      </c>
      <c r="D4666" s="11" t="s">
        <v>9330</v>
      </c>
      <c r="E4666" s="4">
        <v>4218707</v>
      </c>
      <c r="F4666" s="11" t="s">
        <v>9331</v>
      </c>
      <c r="G4666" s="4" t="s">
        <v>232</v>
      </c>
      <c r="H4666" s="13"/>
    </row>
    <row r="4667" s="1" customFormat="1" spans="1:8">
      <c r="A4667" s="4" t="s">
        <v>205</v>
      </c>
      <c r="B4667" s="4" t="s">
        <v>88</v>
      </c>
      <c r="C4667" s="4" t="s">
        <v>91</v>
      </c>
      <c r="D4667" s="11" t="s">
        <v>6952</v>
      </c>
      <c r="E4667" s="4">
        <v>4218806</v>
      </c>
      <c r="F4667" s="11" t="s">
        <v>9332</v>
      </c>
      <c r="G4667" s="4" t="s">
        <v>232</v>
      </c>
      <c r="H4667" s="13"/>
    </row>
    <row r="4668" s="1" customFormat="1" spans="1:8">
      <c r="A4668" s="4" t="s">
        <v>205</v>
      </c>
      <c r="B4668" s="4" t="s">
        <v>88</v>
      </c>
      <c r="C4668" s="4" t="s">
        <v>91</v>
      </c>
      <c r="D4668" s="11" t="s">
        <v>9333</v>
      </c>
      <c r="E4668" s="4">
        <v>4218905</v>
      </c>
      <c r="F4668" s="11" t="s">
        <v>9334</v>
      </c>
      <c r="G4668" s="4" t="s">
        <v>232</v>
      </c>
      <c r="H4668" s="13"/>
    </row>
    <row r="4669" s="1" customFormat="1" spans="1:8">
      <c r="A4669" s="4" t="s">
        <v>205</v>
      </c>
      <c r="B4669" s="4" t="s">
        <v>88</v>
      </c>
      <c r="C4669" s="4" t="s">
        <v>91</v>
      </c>
      <c r="D4669" s="11" t="s">
        <v>9335</v>
      </c>
      <c r="E4669" s="4">
        <v>4218954</v>
      </c>
      <c r="F4669" s="11" t="s">
        <v>9336</v>
      </c>
      <c r="G4669" s="4" t="s">
        <v>232</v>
      </c>
      <c r="H4669" s="13"/>
    </row>
    <row r="4670" s="1" customFormat="1" spans="1:8">
      <c r="A4670" s="4" t="s">
        <v>205</v>
      </c>
      <c r="B4670" s="4" t="s">
        <v>88</v>
      </c>
      <c r="C4670" s="4" t="s">
        <v>91</v>
      </c>
      <c r="D4670" s="11" t="s">
        <v>9337</v>
      </c>
      <c r="E4670" s="4">
        <v>4219002</v>
      </c>
      <c r="F4670" s="11" t="s">
        <v>9338</v>
      </c>
      <c r="G4670" s="4" t="s">
        <v>232</v>
      </c>
      <c r="H4670" s="13"/>
    </row>
    <row r="4671" s="1" customFormat="1" spans="1:8">
      <c r="A4671" s="4" t="s">
        <v>205</v>
      </c>
      <c r="B4671" s="4" t="s">
        <v>88</v>
      </c>
      <c r="C4671" s="4" t="s">
        <v>91</v>
      </c>
      <c r="D4671" s="11" t="s">
        <v>9339</v>
      </c>
      <c r="E4671" s="4">
        <v>4219150</v>
      </c>
      <c r="F4671" s="11" t="s">
        <v>9340</v>
      </c>
      <c r="G4671" s="4" t="s">
        <v>232</v>
      </c>
      <c r="H4671" s="13"/>
    </row>
    <row r="4672" s="1" customFormat="1" spans="1:8">
      <c r="A4672" s="4" t="s">
        <v>205</v>
      </c>
      <c r="B4672" s="4" t="s">
        <v>88</v>
      </c>
      <c r="C4672" s="4" t="s">
        <v>91</v>
      </c>
      <c r="D4672" s="11" t="s">
        <v>4366</v>
      </c>
      <c r="E4672" s="4">
        <v>4219176</v>
      </c>
      <c r="F4672" s="11" t="s">
        <v>9341</v>
      </c>
      <c r="G4672" s="4" t="s">
        <v>232</v>
      </c>
      <c r="H4672" s="13"/>
    </row>
    <row r="4673" s="1" customFormat="1" spans="1:8">
      <c r="A4673" s="4" t="s">
        <v>205</v>
      </c>
      <c r="B4673" s="4" t="s">
        <v>88</v>
      </c>
      <c r="C4673" s="4" t="s">
        <v>91</v>
      </c>
      <c r="D4673" s="11" t="s">
        <v>9342</v>
      </c>
      <c r="E4673" s="4">
        <v>4219101</v>
      </c>
      <c r="F4673" s="11" t="s">
        <v>9343</v>
      </c>
      <c r="G4673" s="4" t="s">
        <v>232</v>
      </c>
      <c r="H4673" s="13"/>
    </row>
    <row r="4674" s="1" customFormat="1" spans="1:8">
      <c r="A4674" s="4" t="s">
        <v>205</v>
      </c>
      <c r="B4674" s="4" t="s">
        <v>88</v>
      </c>
      <c r="C4674" s="4" t="s">
        <v>91</v>
      </c>
      <c r="D4674" s="11" t="s">
        <v>9344</v>
      </c>
      <c r="E4674" s="4">
        <v>4219309</v>
      </c>
      <c r="F4674" s="11" t="s">
        <v>9345</v>
      </c>
      <c r="G4674" s="4" t="s">
        <v>232</v>
      </c>
      <c r="H4674" s="13"/>
    </row>
    <row r="4675" s="1" customFormat="1" spans="1:8">
      <c r="A4675" s="4" t="s">
        <v>205</v>
      </c>
      <c r="B4675" s="4" t="s">
        <v>88</v>
      </c>
      <c r="C4675" s="4" t="s">
        <v>91</v>
      </c>
      <c r="D4675" s="11" t="s">
        <v>9346</v>
      </c>
      <c r="E4675" s="4">
        <v>4219507</v>
      </c>
      <c r="F4675" s="11" t="s">
        <v>9347</v>
      </c>
      <c r="G4675" s="4" t="s">
        <v>232</v>
      </c>
      <c r="H4675" s="13"/>
    </row>
    <row r="4676" s="1" customFormat="1" spans="1:8">
      <c r="A4676" s="4" t="s">
        <v>205</v>
      </c>
      <c r="B4676" s="4" t="s">
        <v>88</v>
      </c>
      <c r="C4676" s="4" t="s">
        <v>91</v>
      </c>
      <c r="D4676" s="11" t="s">
        <v>9348</v>
      </c>
      <c r="E4676" s="4">
        <v>4219606</v>
      </c>
      <c r="F4676" s="11" t="s">
        <v>9349</v>
      </c>
      <c r="G4676" s="4" t="s">
        <v>232</v>
      </c>
      <c r="H4676" s="13"/>
    </row>
    <row r="4677" s="1" customFormat="1" spans="1:8">
      <c r="A4677" s="4" t="s">
        <v>205</v>
      </c>
      <c r="B4677" s="4" t="s">
        <v>88</v>
      </c>
      <c r="C4677" s="4" t="s">
        <v>91</v>
      </c>
      <c r="D4677" s="11" t="s">
        <v>9350</v>
      </c>
      <c r="E4677" s="4">
        <v>4219705</v>
      </c>
      <c r="F4677" s="11" t="s">
        <v>9351</v>
      </c>
      <c r="G4677" s="4" t="s">
        <v>232</v>
      </c>
      <c r="H4677" s="13"/>
    </row>
    <row r="4678" s="1" customFormat="1" spans="1:8">
      <c r="A4678" s="4" t="s">
        <v>205</v>
      </c>
      <c r="B4678" s="4" t="s">
        <v>88</v>
      </c>
      <c r="C4678" s="4" t="s">
        <v>91</v>
      </c>
      <c r="D4678" s="11" t="s">
        <v>9352</v>
      </c>
      <c r="E4678" s="4">
        <v>4219853</v>
      </c>
      <c r="F4678" s="11" t="s">
        <v>9353</v>
      </c>
      <c r="G4678" s="4" t="s">
        <v>232</v>
      </c>
      <c r="H4678" s="13"/>
    </row>
    <row r="4679" s="1" customFormat="1" spans="1:8">
      <c r="A4679" s="4" t="s">
        <v>205</v>
      </c>
      <c r="B4679" s="4" t="s">
        <v>88</v>
      </c>
      <c r="C4679" s="4" t="s">
        <v>91</v>
      </c>
      <c r="D4679" s="11" t="s">
        <v>9354</v>
      </c>
      <c r="E4679" s="4">
        <v>4200408</v>
      </c>
      <c r="F4679" s="11" t="s">
        <v>9355</v>
      </c>
      <c r="G4679" s="4" t="s">
        <v>232</v>
      </c>
      <c r="H4679" s="13"/>
    </row>
    <row r="4680" s="1" customFormat="1" spans="1:8">
      <c r="A4680" s="4" t="s">
        <v>205</v>
      </c>
      <c r="B4680" s="4" t="s">
        <v>88</v>
      </c>
      <c r="C4680" s="4" t="s">
        <v>91</v>
      </c>
      <c r="D4680" s="11" t="s">
        <v>9356</v>
      </c>
      <c r="E4680" s="4">
        <v>4202081</v>
      </c>
      <c r="F4680" s="11" t="s">
        <v>9357</v>
      </c>
      <c r="G4680" s="4" t="s">
        <v>243</v>
      </c>
      <c r="H4680" s="13"/>
    </row>
    <row r="4681" s="1" customFormat="1" spans="1:8">
      <c r="A4681" s="4" t="s">
        <v>205</v>
      </c>
      <c r="B4681" s="4" t="s">
        <v>88</v>
      </c>
      <c r="C4681" s="4" t="s">
        <v>91</v>
      </c>
      <c r="D4681" s="11" t="s">
        <v>9358</v>
      </c>
      <c r="E4681" s="4">
        <v>4202099</v>
      </c>
      <c r="F4681" s="11" t="s">
        <v>9359</v>
      </c>
      <c r="G4681" s="4" t="s">
        <v>243</v>
      </c>
      <c r="H4681" s="13"/>
    </row>
    <row r="4682" s="1" customFormat="1" spans="1:8">
      <c r="A4682" s="4" t="s">
        <v>205</v>
      </c>
      <c r="B4682" s="4" t="s">
        <v>88</v>
      </c>
      <c r="C4682" s="4" t="s">
        <v>91</v>
      </c>
      <c r="D4682" s="11" t="s">
        <v>1292</v>
      </c>
      <c r="E4682" s="4">
        <v>4202156</v>
      </c>
      <c r="F4682" s="11" t="s">
        <v>9360</v>
      </c>
      <c r="G4682" s="4" t="s">
        <v>243</v>
      </c>
      <c r="H4682" s="13"/>
    </row>
    <row r="4683" s="1" customFormat="1" spans="1:8">
      <c r="A4683" s="4" t="s">
        <v>205</v>
      </c>
      <c r="B4683" s="4" t="s">
        <v>88</v>
      </c>
      <c r="C4683" s="4" t="s">
        <v>91</v>
      </c>
      <c r="D4683" s="11" t="s">
        <v>9361</v>
      </c>
      <c r="E4683" s="4">
        <v>4202578</v>
      </c>
      <c r="F4683" s="11" t="s">
        <v>9362</v>
      </c>
      <c r="G4683" s="4" t="s">
        <v>243</v>
      </c>
      <c r="H4683" s="13"/>
    </row>
    <row r="4684" s="1" customFormat="1" spans="1:8">
      <c r="A4684" s="4" t="s">
        <v>205</v>
      </c>
      <c r="B4684" s="4" t="s">
        <v>88</v>
      </c>
      <c r="C4684" s="4" t="s">
        <v>91</v>
      </c>
      <c r="D4684" s="11" t="s">
        <v>9363</v>
      </c>
      <c r="E4684" s="4">
        <v>4203105</v>
      </c>
      <c r="F4684" s="11" t="s">
        <v>9364</v>
      </c>
      <c r="G4684" s="4" t="s">
        <v>243</v>
      </c>
      <c r="H4684" s="13"/>
    </row>
    <row r="4685" s="1" customFormat="1" spans="1:8">
      <c r="A4685" s="4" t="s">
        <v>205</v>
      </c>
      <c r="B4685" s="4" t="s">
        <v>88</v>
      </c>
      <c r="C4685" s="4" t="s">
        <v>91</v>
      </c>
      <c r="D4685" s="11" t="s">
        <v>9365</v>
      </c>
      <c r="E4685" s="4">
        <v>4203501</v>
      </c>
      <c r="F4685" s="11" t="s">
        <v>9366</v>
      </c>
      <c r="G4685" s="4" t="s">
        <v>243</v>
      </c>
      <c r="H4685" s="13"/>
    </row>
    <row r="4686" s="1" customFormat="1" spans="1:8">
      <c r="A4686" s="4" t="s">
        <v>205</v>
      </c>
      <c r="B4686" s="4" t="s">
        <v>88</v>
      </c>
      <c r="C4686" s="4" t="s">
        <v>91</v>
      </c>
      <c r="D4686" s="11" t="s">
        <v>9367</v>
      </c>
      <c r="E4686" s="4">
        <v>4204103</v>
      </c>
      <c r="F4686" s="11" t="s">
        <v>9368</v>
      </c>
      <c r="G4686" s="4" t="s">
        <v>243</v>
      </c>
      <c r="H4686" s="13"/>
    </row>
    <row r="4687" s="1" customFormat="1" spans="1:8">
      <c r="A4687" s="4" t="s">
        <v>205</v>
      </c>
      <c r="B4687" s="4" t="s">
        <v>88</v>
      </c>
      <c r="C4687" s="4" t="s">
        <v>91</v>
      </c>
      <c r="D4687" s="11" t="s">
        <v>9369</v>
      </c>
      <c r="E4687" s="4">
        <v>4204707</v>
      </c>
      <c r="F4687" s="11" t="s">
        <v>9370</v>
      </c>
      <c r="G4687" s="4" t="s">
        <v>243</v>
      </c>
      <c r="H4687" s="13"/>
    </row>
    <row r="4688" s="1" customFormat="1" spans="1:8">
      <c r="A4688" s="4" t="s">
        <v>205</v>
      </c>
      <c r="B4688" s="4" t="s">
        <v>88</v>
      </c>
      <c r="C4688" s="4" t="s">
        <v>91</v>
      </c>
      <c r="D4688" s="11" t="s">
        <v>9371</v>
      </c>
      <c r="E4688" s="4">
        <v>4204756</v>
      </c>
      <c r="F4688" s="11" t="s">
        <v>9372</v>
      </c>
      <c r="G4688" s="4" t="s">
        <v>243</v>
      </c>
      <c r="H4688" s="13"/>
    </row>
    <row r="4689" s="1" customFormat="1" spans="1:8">
      <c r="A4689" s="4" t="s">
        <v>205</v>
      </c>
      <c r="B4689" s="4" t="s">
        <v>88</v>
      </c>
      <c r="C4689" s="4" t="s">
        <v>91</v>
      </c>
      <c r="D4689" s="11" t="s">
        <v>9373</v>
      </c>
      <c r="E4689" s="4">
        <v>4204905</v>
      </c>
      <c r="F4689" s="11" t="s">
        <v>9374</v>
      </c>
      <c r="G4689" s="4" t="s">
        <v>243</v>
      </c>
      <c r="H4689" s="13"/>
    </row>
    <row r="4690" s="1" customFormat="1" spans="1:8">
      <c r="A4690" s="4" t="s">
        <v>205</v>
      </c>
      <c r="B4690" s="4" t="s">
        <v>88</v>
      </c>
      <c r="C4690" s="4" t="s">
        <v>91</v>
      </c>
      <c r="D4690" s="11" t="s">
        <v>9375</v>
      </c>
      <c r="E4690" s="4">
        <v>4205001</v>
      </c>
      <c r="F4690" s="11" t="s">
        <v>9376</v>
      </c>
      <c r="G4690" s="4" t="s">
        <v>243</v>
      </c>
      <c r="H4690" s="13"/>
    </row>
    <row r="4691" s="1" customFormat="1" spans="1:8">
      <c r="A4691" s="4" t="s">
        <v>205</v>
      </c>
      <c r="B4691" s="4" t="s">
        <v>88</v>
      </c>
      <c r="C4691" s="4" t="s">
        <v>91</v>
      </c>
      <c r="D4691" s="11" t="s">
        <v>9377</v>
      </c>
      <c r="E4691" s="4">
        <v>4205357</v>
      </c>
      <c r="F4691" s="11" t="s">
        <v>9378</v>
      </c>
      <c r="G4691" s="4" t="s">
        <v>243</v>
      </c>
      <c r="H4691" s="13"/>
    </row>
    <row r="4692" s="1" customFormat="1" spans="1:8">
      <c r="A4692" s="4" t="s">
        <v>205</v>
      </c>
      <c r="B4692" s="4" t="s">
        <v>88</v>
      </c>
      <c r="C4692" s="4" t="s">
        <v>91</v>
      </c>
      <c r="D4692" s="11" t="s">
        <v>9379</v>
      </c>
      <c r="E4692" s="4">
        <v>4205431</v>
      </c>
      <c r="F4692" s="11" t="s">
        <v>9380</v>
      </c>
      <c r="G4692" s="4" t="s">
        <v>243</v>
      </c>
      <c r="H4692" s="13"/>
    </row>
    <row r="4693" s="1" customFormat="1" spans="1:8">
      <c r="A4693" s="4" t="s">
        <v>205</v>
      </c>
      <c r="B4693" s="4" t="s">
        <v>88</v>
      </c>
      <c r="C4693" s="4" t="s">
        <v>91</v>
      </c>
      <c r="D4693" s="11" t="s">
        <v>3187</v>
      </c>
      <c r="E4693" s="4">
        <v>4206405</v>
      </c>
      <c r="F4693" s="11" t="s">
        <v>9381</v>
      </c>
      <c r="G4693" s="4" t="s">
        <v>243</v>
      </c>
      <c r="H4693" s="13"/>
    </row>
    <row r="4694" s="1" customFormat="1" spans="1:8">
      <c r="A4694" s="4" t="s">
        <v>205</v>
      </c>
      <c r="B4694" s="4" t="s">
        <v>88</v>
      </c>
      <c r="C4694" s="4" t="s">
        <v>91</v>
      </c>
      <c r="D4694" s="11" t="s">
        <v>9382</v>
      </c>
      <c r="E4694" s="4">
        <v>4206603</v>
      </c>
      <c r="F4694" s="11" t="s">
        <v>9383</v>
      </c>
      <c r="G4694" s="4" t="s">
        <v>243</v>
      </c>
      <c r="H4694" s="13"/>
    </row>
    <row r="4695" s="1" customFormat="1" spans="1:8">
      <c r="A4695" s="4" t="s">
        <v>205</v>
      </c>
      <c r="B4695" s="4" t="s">
        <v>88</v>
      </c>
      <c r="C4695" s="4" t="s">
        <v>91</v>
      </c>
      <c r="D4695" s="11" t="s">
        <v>9384</v>
      </c>
      <c r="E4695" s="4">
        <v>4206652</v>
      </c>
      <c r="F4695" s="11" t="s">
        <v>9385</v>
      </c>
      <c r="G4695" s="4" t="s">
        <v>243</v>
      </c>
      <c r="H4695" s="13"/>
    </row>
    <row r="4696" s="1" customFormat="1" spans="1:8">
      <c r="A4696" s="4" t="s">
        <v>205</v>
      </c>
      <c r="B4696" s="4" t="s">
        <v>88</v>
      </c>
      <c r="C4696" s="4" t="s">
        <v>91</v>
      </c>
      <c r="D4696" s="11" t="s">
        <v>9386</v>
      </c>
      <c r="E4696" s="4">
        <v>4207650</v>
      </c>
      <c r="F4696" s="11" t="s">
        <v>9387</v>
      </c>
      <c r="G4696" s="4" t="s">
        <v>243</v>
      </c>
      <c r="H4696" s="13"/>
    </row>
    <row r="4697" s="1" customFormat="1" spans="1:8">
      <c r="A4697" s="4" t="s">
        <v>205</v>
      </c>
      <c r="B4697" s="4" t="s">
        <v>88</v>
      </c>
      <c r="C4697" s="4" t="s">
        <v>91</v>
      </c>
      <c r="D4697" s="11" t="s">
        <v>9388</v>
      </c>
      <c r="E4697" s="4">
        <v>4207759</v>
      </c>
      <c r="F4697" s="11" t="s">
        <v>9389</v>
      </c>
      <c r="G4697" s="4" t="s">
        <v>243</v>
      </c>
      <c r="H4697" s="13"/>
    </row>
    <row r="4698" s="1" customFormat="1" spans="1:8">
      <c r="A4698" s="4" t="s">
        <v>205</v>
      </c>
      <c r="B4698" s="4" t="s">
        <v>88</v>
      </c>
      <c r="C4698" s="4" t="s">
        <v>91</v>
      </c>
      <c r="D4698" s="11" t="s">
        <v>6611</v>
      </c>
      <c r="E4698" s="4">
        <v>4207858</v>
      </c>
      <c r="F4698" s="11" t="s">
        <v>9390</v>
      </c>
      <c r="G4698" s="4" t="s">
        <v>243</v>
      </c>
      <c r="H4698" s="13"/>
    </row>
    <row r="4699" s="1" customFormat="1" spans="1:8">
      <c r="A4699" s="4" t="s">
        <v>205</v>
      </c>
      <c r="B4699" s="4" t="s">
        <v>88</v>
      </c>
      <c r="C4699" s="4" t="s">
        <v>91</v>
      </c>
      <c r="D4699" s="11" t="s">
        <v>489</v>
      </c>
      <c r="E4699" s="4">
        <v>4208401</v>
      </c>
      <c r="F4699" s="11" t="s">
        <v>9391</v>
      </c>
      <c r="G4699" s="4" t="s">
        <v>243</v>
      </c>
      <c r="H4699" s="13"/>
    </row>
    <row r="4700" s="1" customFormat="1" spans="1:8">
      <c r="A4700" s="4" t="s">
        <v>205</v>
      </c>
      <c r="B4700" s="4" t="s">
        <v>88</v>
      </c>
      <c r="C4700" s="4" t="s">
        <v>91</v>
      </c>
      <c r="D4700" s="11" t="s">
        <v>9392</v>
      </c>
      <c r="E4700" s="4">
        <v>4208955</v>
      </c>
      <c r="F4700" s="11" t="s">
        <v>9393</v>
      </c>
      <c r="G4700" s="4" t="s">
        <v>243</v>
      </c>
      <c r="H4700" s="13"/>
    </row>
    <row r="4701" s="1" customFormat="1" spans="1:8">
      <c r="A4701" s="4" t="s">
        <v>205</v>
      </c>
      <c r="B4701" s="4" t="s">
        <v>88</v>
      </c>
      <c r="C4701" s="4" t="s">
        <v>91</v>
      </c>
      <c r="D4701" s="11" t="s">
        <v>379</v>
      </c>
      <c r="E4701" s="4">
        <v>4210506</v>
      </c>
      <c r="F4701" s="11" t="s">
        <v>9394</v>
      </c>
      <c r="G4701" s="4" t="s">
        <v>243</v>
      </c>
      <c r="H4701" s="13"/>
    </row>
    <row r="4702" s="1" customFormat="1" spans="1:8">
      <c r="A4702" s="4" t="s">
        <v>205</v>
      </c>
      <c r="B4702" s="4" t="s">
        <v>88</v>
      </c>
      <c r="C4702" s="4" t="s">
        <v>91</v>
      </c>
      <c r="D4702" s="11" t="s">
        <v>9395</v>
      </c>
      <c r="E4702" s="4">
        <v>4210902</v>
      </c>
      <c r="F4702" s="11" t="s">
        <v>9396</v>
      </c>
      <c r="G4702" s="4" t="s">
        <v>243</v>
      </c>
      <c r="H4702" s="13"/>
    </row>
    <row r="4703" s="1" customFormat="1" spans="1:8">
      <c r="A4703" s="4" t="s">
        <v>205</v>
      </c>
      <c r="B4703" s="4" t="s">
        <v>88</v>
      </c>
      <c r="C4703" s="4" t="s">
        <v>91</v>
      </c>
      <c r="D4703" s="11" t="s">
        <v>9397</v>
      </c>
      <c r="E4703" s="4">
        <v>4211009</v>
      </c>
      <c r="F4703" s="11" t="s">
        <v>9398</v>
      </c>
      <c r="G4703" s="4" t="s">
        <v>243</v>
      </c>
      <c r="H4703" s="13"/>
    </row>
    <row r="4704" s="1" customFormat="1" spans="1:8">
      <c r="A4704" s="4" t="s">
        <v>205</v>
      </c>
      <c r="B4704" s="4" t="s">
        <v>88</v>
      </c>
      <c r="C4704" s="4" t="s">
        <v>91</v>
      </c>
      <c r="D4704" s="11" t="s">
        <v>9399</v>
      </c>
      <c r="E4704" s="4">
        <v>4211405</v>
      </c>
      <c r="F4704" s="11" t="s">
        <v>9400</v>
      </c>
      <c r="G4704" s="4" t="s">
        <v>243</v>
      </c>
      <c r="H4704" s="13"/>
    </row>
    <row r="4705" s="1" customFormat="1" spans="1:8">
      <c r="A4705" s="4" t="s">
        <v>205</v>
      </c>
      <c r="B4705" s="4" t="s">
        <v>88</v>
      </c>
      <c r="C4705" s="4" t="s">
        <v>91</v>
      </c>
      <c r="D4705" s="11" t="s">
        <v>9401</v>
      </c>
      <c r="E4705" s="4">
        <v>4211454</v>
      </c>
      <c r="F4705" s="11" t="s">
        <v>9402</v>
      </c>
      <c r="G4705" s="4" t="s">
        <v>243</v>
      </c>
      <c r="H4705" s="13"/>
    </row>
    <row r="4706" s="1" customFormat="1" spans="1:8">
      <c r="A4706" s="4" t="s">
        <v>205</v>
      </c>
      <c r="B4706" s="4" t="s">
        <v>88</v>
      </c>
      <c r="C4706" s="4" t="s">
        <v>91</v>
      </c>
      <c r="D4706" s="11" t="s">
        <v>1175</v>
      </c>
      <c r="E4706" s="4">
        <v>4211652</v>
      </c>
      <c r="F4706" s="11" t="s">
        <v>9403</v>
      </c>
      <c r="G4706" s="4" t="s">
        <v>243</v>
      </c>
      <c r="H4706" s="13"/>
    </row>
    <row r="4707" s="1" customFormat="1" spans="1:8">
      <c r="A4707" s="4" t="s">
        <v>205</v>
      </c>
      <c r="B4707" s="4" t="s">
        <v>88</v>
      </c>
      <c r="C4707" s="4" t="s">
        <v>91</v>
      </c>
      <c r="D4707" s="11" t="s">
        <v>9404</v>
      </c>
      <c r="E4707" s="4">
        <v>4211876</v>
      </c>
      <c r="F4707" s="11" t="s">
        <v>9405</v>
      </c>
      <c r="G4707" s="4" t="s">
        <v>243</v>
      </c>
      <c r="H4707" s="13"/>
    </row>
    <row r="4708" s="1" customFormat="1" spans="1:8">
      <c r="A4708" s="4" t="s">
        <v>205</v>
      </c>
      <c r="B4708" s="4" t="s">
        <v>88</v>
      </c>
      <c r="C4708" s="4" t="s">
        <v>91</v>
      </c>
      <c r="D4708" s="11" t="s">
        <v>9406</v>
      </c>
      <c r="E4708" s="4">
        <v>4212007</v>
      </c>
      <c r="F4708" s="11" t="s">
        <v>9407</v>
      </c>
      <c r="G4708" s="4" t="s">
        <v>243</v>
      </c>
      <c r="H4708" s="13"/>
    </row>
    <row r="4709" s="1" customFormat="1" spans="1:8">
      <c r="A4709" s="4" t="s">
        <v>205</v>
      </c>
      <c r="B4709" s="4" t="s">
        <v>88</v>
      </c>
      <c r="C4709" s="4" t="s">
        <v>91</v>
      </c>
      <c r="D4709" s="11" t="s">
        <v>9408</v>
      </c>
      <c r="E4709" s="4">
        <v>4212106</v>
      </c>
      <c r="F4709" s="11" t="s">
        <v>9409</v>
      </c>
      <c r="G4709" s="4" t="s">
        <v>243</v>
      </c>
      <c r="H4709" s="13"/>
    </row>
    <row r="4710" s="1" customFormat="1" spans="1:8">
      <c r="A4710" s="4" t="s">
        <v>205</v>
      </c>
      <c r="B4710" s="4" t="s">
        <v>88</v>
      </c>
      <c r="C4710" s="4" t="s">
        <v>91</v>
      </c>
      <c r="D4710" s="11" t="s">
        <v>9410</v>
      </c>
      <c r="E4710" s="4">
        <v>4212239</v>
      </c>
      <c r="F4710" s="11" t="s">
        <v>9411</v>
      </c>
      <c r="G4710" s="4" t="s">
        <v>243</v>
      </c>
      <c r="H4710" s="13"/>
    </row>
    <row r="4711" s="1" customFormat="1" spans="1:8">
      <c r="A4711" s="4" t="s">
        <v>205</v>
      </c>
      <c r="B4711" s="4" t="s">
        <v>88</v>
      </c>
      <c r="C4711" s="4" t="s">
        <v>91</v>
      </c>
      <c r="D4711" s="11" t="s">
        <v>9412</v>
      </c>
      <c r="E4711" s="4">
        <v>4212908</v>
      </c>
      <c r="F4711" s="11" t="s">
        <v>9413</v>
      </c>
      <c r="G4711" s="4" t="s">
        <v>243</v>
      </c>
      <c r="H4711" s="13"/>
    </row>
    <row r="4712" s="1" customFormat="1" spans="1:8">
      <c r="A4712" s="4" t="s">
        <v>205</v>
      </c>
      <c r="B4712" s="4" t="s">
        <v>88</v>
      </c>
      <c r="C4712" s="4" t="s">
        <v>91</v>
      </c>
      <c r="D4712" s="11" t="s">
        <v>9414</v>
      </c>
      <c r="E4712" s="4">
        <v>4213153</v>
      </c>
      <c r="F4712" s="11" t="s">
        <v>9415</v>
      </c>
      <c r="G4712" s="4" t="s">
        <v>243</v>
      </c>
      <c r="H4712" s="13"/>
    </row>
    <row r="4713" s="1" customFormat="1" spans="1:8">
      <c r="A4713" s="4" t="s">
        <v>205</v>
      </c>
      <c r="B4713" s="4" t="s">
        <v>88</v>
      </c>
      <c r="C4713" s="4" t="s">
        <v>91</v>
      </c>
      <c r="D4713" s="11" t="s">
        <v>9416</v>
      </c>
      <c r="E4713" s="4">
        <v>4214151</v>
      </c>
      <c r="F4713" s="11" t="s">
        <v>9417</v>
      </c>
      <c r="G4713" s="4" t="s">
        <v>243</v>
      </c>
      <c r="H4713" s="13"/>
    </row>
    <row r="4714" s="1" customFormat="1" spans="1:8">
      <c r="A4714" s="4" t="s">
        <v>205</v>
      </c>
      <c r="B4714" s="4" t="s">
        <v>88</v>
      </c>
      <c r="C4714" s="4" t="s">
        <v>91</v>
      </c>
      <c r="D4714" s="11" t="s">
        <v>9418</v>
      </c>
      <c r="E4714" s="4">
        <v>4214201</v>
      </c>
      <c r="F4714" s="11" t="s">
        <v>9419</v>
      </c>
      <c r="G4714" s="4" t="s">
        <v>243</v>
      </c>
      <c r="H4714" s="13"/>
    </row>
    <row r="4715" s="1" customFormat="1" spans="1:8">
      <c r="A4715" s="4" t="s">
        <v>205</v>
      </c>
      <c r="B4715" s="4" t="s">
        <v>88</v>
      </c>
      <c r="C4715" s="4" t="s">
        <v>91</v>
      </c>
      <c r="D4715" s="11" t="s">
        <v>9420</v>
      </c>
      <c r="E4715" s="4">
        <v>4215075</v>
      </c>
      <c r="F4715" s="11" t="s">
        <v>9421</v>
      </c>
      <c r="G4715" s="4" t="s">
        <v>243</v>
      </c>
      <c r="H4715" s="13"/>
    </row>
    <row r="4716" s="1" customFormat="1" spans="1:8">
      <c r="A4716" s="4" t="s">
        <v>205</v>
      </c>
      <c r="B4716" s="4" t="s">
        <v>88</v>
      </c>
      <c r="C4716" s="4" t="s">
        <v>91</v>
      </c>
      <c r="D4716" s="11" t="s">
        <v>9422</v>
      </c>
      <c r="E4716" s="4">
        <v>4215208</v>
      </c>
      <c r="F4716" s="11" t="s">
        <v>9423</v>
      </c>
      <c r="G4716" s="4" t="s">
        <v>243</v>
      </c>
      <c r="H4716" s="13"/>
    </row>
    <row r="4717" s="1" customFormat="1" spans="1:8">
      <c r="A4717" s="4" t="s">
        <v>205</v>
      </c>
      <c r="B4717" s="4" t="s">
        <v>88</v>
      </c>
      <c r="C4717" s="4" t="s">
        <v>91</v>
      </c>
      <c r="D4717" s="11" t="s">
        <v>9424</v>
      </c>
      <c r="E4717" s="4">
        <v>4215356</v>
      </c>
      <c r="F4717" s="11" t="s">
        <v>9425</v>
      </c>
      <c r="G4717" s="4" t="s">
        <v>243</v>
      </c>
      <c r="H4717" s="13"/>
    </row>
    <row r="4718" s="1" customFormat="1" spans="1:8">
      <c r="A4718" s="4" t="s">
        <v>205</v>
      </c>
      <c r="B4718" s="4" t="s">
        <v>88</v>
      </c>
      <c r="C4718" s="4" t="s">
        <v>91</v>
      </c>
      <c r="D4718" s="11" t="s">
        <v>2716</v>
      </c>
      <c r="E4718" s="4">
        <v>4215554</v>
      </c>
      <c r="F4718" s="11" t="s">
        <v>9426</v>
      </c>
      <c r="G4718" s="4" t="s">
        <v>243</v>
      </c>
      <c r="H4718" s="13"/>
    </row>
    <row r="4719" s="1" customFormat="1" spans="1:8">
      <c r="A4719" s="4" t="s">
        <v>205</v>
      </c>
      <c r="B4719" s="4" t="s">
        <v>88</v>
      </c>
      <c r="C4719" s="4" t="s">
        <v>91</v>
      </c>
      <c r="D4719" s="11" t="s">
        <v>9427</v>
      </c>
      <c r="E4719" s="4">
        <v>4215687</v>
      </c>
      <c r="F4719" s="11" t="s">
        <v>9428</v>
      </c>
      <c r="G4719" s="4" t="s">
        <v>243</v>
      </c>
      <c r="H4719" s="13"/>
    </row>
    <row r="4720" s="1" customFormat="1" spans="1:8">
      <c r="A4720" s="4" t="s">
        <v>205</v>
      </c>
      <c r="B4720" s="4" t="s">
        <v>88</v>
      </c>
      <c r="C4720" s="4" t="s">
        <v>91</v>
      </c>
      <c r="D4720" s="11" t="s">
        <v>9429</v>
      </c>
      <c r="E4720" s="4">
        <v>4217303</v>
      </c>
      <c r="F4720" s="11" t="s">
        <v>9430</v>
      </c>
      <c r="G4720" s="4" t="s">
        <v>243</v>
      </c>
      <c r="H4720" s="13"/>
    </row>
    <row r="4721" s="1" customFormat="1" spans="1:8">
      <c r="A4721" s="4" t="s">
        <v>205</v>
      </c>
      <c r="B4721" s="4" t="s">
        <v>88</v>
      </c>
      <c r="C4721" s="4" t="s">
        <v>91</v>
      </c>
      <c r="D4721" s="11" t="s">
        <v>9431</v>
      </c>
      <c r="E4721" s="4">
        <v>4217550</v>
      </c>
      <c r="F4721" s="11" t="s">
        <v>9432</v>
      </c>
      <c r="G4721" s="4" t="s">
        <v>243</v>
      </c>
      <c r="H4721" s="13"/>
    </row>
    <row r="4722" s="1" customFormat="1" spans="1:8">
      <c r="A4722" s="4" t="s">
        <v>205</v>
      </c>
      <c r="B4722" s="4" t="s">
        <v>88</v>
      </c>
      <c r="C4722" s="4" t="s">
        <v>91</v>
      </c>
      <c r="D4722" s="11" t="s">
        <v>9433</v>
      </c>
      <c r="E4722" s="4">
        <v>4217758</v>
      </c>
      <c r="F4722" s="11" t="s">
        <v>9434</v>
      </c>
      <c r="G4722" s="4" t="s">
        <v>243</v>
      </c>
      <c r="H4722" s="13"/>
    </row>
    <row r="4723" s="1" customFormat="1" spans="1:8">
      <c r="A4723" s="4" t="s">
        <v>205</v>
      </c>
      <c r="B4723" s="4" t="s">
        <v>88</v>
      </c>
      <c r="C4723" s="4" t="s">
        <v>91</v>
      </c>
      <c r="D4723" s="11" t="s">
        <v>9435</v>
      </c>
      <c r="E4723" s="4">
        <v>4215752</v>
      </c>
      <c r="F4723" s="11" t="s">
        <v>9436</v>
      </c>
      <c r="G4723" s="4" t="s">
        <v>243</v>
      </c>
      <c r="H4723" s="13"/>
    </row>
    <row r="4724" s="1" customFormat="1" spans="1:8">
      <c r="A4724" s="4" t="s">
        <v>205</v>
      </c>
      <c r="B4724" s="4" t="s">
        <v>88</v>
      </c>
      <c r="C4724" s="4" t="s">
        <v>91</v>
      </c>
      <c r="D4724" s="11" t="s">
        <v>9437</v>
      </c>
      <c r="E4724" s="4">
        <v>4216008</v>
      </c>
      <c r="F4724" s="11" t="s">
        <v>9438</v>
      </c>
      <c r="G4724" s="4" t="s">
        <v>243</v>
      </c>
      <c r="H4724" s="13"/>
    </row>
    <row r="4725" s="1" customFormat="1" spans="1:8">
      <c r="A4725" s="4" t="s">
        <v>205</v>
      </c>
      <c r="B4725" s="4" t="s">
        <v>88</v>
      </c>
      <c r="C4725" s="4" t="s">
        <v>91</v>
      </c>
      <c r="D4725" s="11" t="s">
        <v>9439</v>
      </c>
      <c r="E4725" s="4">
        <v>4216255</v>
      </c>
      <c r="F4725" s="11" t="s">
        <v>9440</v>
      </c>
      <c r="G4725" s="4" t="s">
        <v>243</v>
      </c>
      <c r="H4725" s="13"/>
    </row>
    <row r="4726" s="1" customFormat="1" spans="1:8">
      <c r="A4726" s="4" t="s">
        <v>205</v>
      </c>
      <c r="B4726" s="4" t="s">
        <v>88</v>
      </c>
      <c r="C4726" s="4" t="s">
        <v>91</v>
      </c>
      <c r="D4726" s="11" t="s">
        <v>9441</v>
      </c>
      <c r="E4726" s="4">
        <v>4217154</v>
      </c>
      <c r="F4726" s="11" t="s">
        <v>9442</v>
      </c>
      <c r="G4726" s="4" t="s">
        <v>243</v>
      </c>
      <c r="H4726" s="13"/>
    </row>
    <row r="4727" s="1" customFormat="1" spans="1:8">
      <c r="A4727" s="4" t="s">
        <v>205</v>
      </c>
      <c r="B4727" s="4" t="s">
        <v>88</v>
      </c>
      <c r="C4727" s="4" t="s">
        <v>91</v>
      </c>
      <c r="D4727" s="11" t="s">
        <v>9443</v>
      </c>
      <c r="E4727" s="4">
        <v>4217204</v>
      </c>
      <c r="F4727" s="11" t="s">
        <v>9444</v>
      </c>
      <c r="G4727" s="4" t="s">
        <v>243</v>
      </c>
      <c r="H4727" s="13"/>
    </row>
    <row r="4728" s="1" customFormat="1" spans="1:8">
      <c r="A4728" s="4" t="s">
        <v>205</v>
      </c>
      <c r="B4728" s="4" t="s">
        <v>88</v>
      </c>
      <c r="C4728" s="4" t="s">
        <v>91</v>
      </c>
      <c r="D4728" s="11" t="s">
        <v>9445</v>
      </c>
      <c r="E4728" s="4">
        <v>4217956</v>
      </c>
      <c r="F4728" s="11" t="s">
        <v>9446</v>
      </c>
      <c r="G4728" s="4" t="s">
        <v>243</v>
      </c>
      <c r="H4728" s="13"/>
    </row>
    <row r="4729" s="1" customFormat="1" spans="1:8">
      <c r="A4729" s="4" t="s">
        <v>205</v>
      </c>
      <c r="B4729" s="4" t="s">
        <v>88</v>
      </c>
      <c r="C4729" s="4" t="s">
        <v>91</v>
      </c>
      <c r="D4729" s="11" t="s">
        <v>9447</v>
      </c>
      <c r="E4729" s="4">
        <v>4218756</v>
      </c>
      <c r="F4729" s="11" t="s">
        <v>9448</v>
      </c>
      <c r="G4729" s="4" t="s">
        <v>243</v>
      </c>
      <c r="H4729" s="13"/>
    </row>
    <row r="4730" s="1" customFormat="1" spans="1:8">
      <c r="A4730" s="4" t="s">
        <v>205</v>
      </c>
      <c r="B4730" s="4" t="s">
        <v>88</v>
      </c>
      <c r="C4730" s="4" t="s">
        <v>91</v>
      </c>
      <c r="D4730" s="11" t="s">
        <v>9449</v>
      </c>
      <c r="E4730" s="4">
        <v>4218855</v>
      </c>
      <c r="F4730" s="11" t="s">
        <v>9450</v>
      </c>
      <c r="G4730" s="4" t="s">
        <v>243</v>
      </c>
      <c r="H4730" s="13"/>
    </row>
    <row r="4731" s="1" customFormat="1" spans="1:8">
      <c r="A4731" s="4" t="s">
        <v>205</v>
      </c>
      <c r="B4731" s="4" t="s">
        <v>88</v>
      </c>
      <c r="C4731" s="4" t="s">
        <v>91</v>
      </c>
      <c r="D4731" s="11" t="s">
        <v>9451</v>
      </c>
      <c r="E4731" s="4">
        <v>4200507</v>
      </c>
      <c r="F4731" s="11" t="s">
        <v>9452</v>
      </c>
      <c r="G4731" s="4" t="s">
        <v>243</v>
      </c>
      <c r="H4731" s="13"/>
    </row>
    <row r="4732" s="1" customFormat="1" spans="1:8">
      <c r="A4732" s="4" t="s">
        <v>205</v>
      </c>
      <c r="B4732" s="4" t="s">
        <v>88</v>
      </c>
      <c r="C4732" s="4" t="s">
        <v>91</v>
      </c>
      <c r="D4732" s="11" t="s">
        <v>9453</v>
      </c>
      <c r="E4732" s="4">
        <v>4200556</v>
      </c>
      <c r="F4732" s="11" t="s">
        <v>9454</v>
      </c>
      <c r="G4732" s="4" t="s">
        <v>243</v>
      </c>
      <c r="H4732" s="13"/>
    </row>
    <row r="4733" s="1" customFormat="1" spans="1:8">
      <c r="A4733" s="4" t="s">
        <v>205</v>
      </c>
      <c r="B4733" s="4" t="s">
        <v>57</v>
      </c>
      <c r="C4733" s="4" t="s">
        <v>77</v>
      </c>
      <c r="D4733" s="4" t="s">
        <v>78</v>
      </c>
      <c r="E4733" s="4">
        <v>2800308</v>
      </c>
      <c r="F4733" s="4" t="s">
        <v>9455</v>
      </c>
      <c r="G4733" s="4" t="s">
        <v>207</v>
      </c>
      <c r="H4733" s="4"/>
    </row>
    <row r="4734" s="1" customFormat="1" spans="1:8">
      <c r="A4734" s="4" t="s">
        <v>205</v>
      </c>
      <c r="B4734" s="4" t="s">
        <v>57</v>
      </c>
      <c r="C4734" s="4" t="s">
        <v>77</v>
      </c>
      <c r="D4734" s="4" t="s">
        <v>7707</v>
      </c>
      <c r="E4734" s="4">
        <v>2800506</v>
      </c>
      <c r="F4734" s="4" t="s">
        <v>9456</v>
      </c>
      <c r="G4734" s="4" t="s">
        <v>210</v>
      </c>
      <c r="H4734" s="4"/>
    </row>
    <row r="4735" s="1" customFormat="1" spans="1:8">
      <c r="A4735" s="4" t="s">
        <v>205</v>
      </c>
      <c r="B4735" s="4" t="s">
        <v>57</v>
      </c>
      <c r="C4735" s="4" t="s">
        <v>77</v>
      </c>
      <c r="D4735" s="4" t="s">
        <v>9457</v>
      </c>
      <c r="E4735" s="4">
        <v>2800605</v>
      </c>
      <c r="F4735" s="4" t="s">
        <v>9458</v>
      </c>
      <c r="G4735" s="4" t="s">
        <v>210</v>
      </c>
      <c r="H4735" s="4"/>
    </row>
    <row r="4736" s="1" customFormat="1" spans="1:8">
      <c r="A4736" s="4" t="s">
        <v>205</v>
      </c>
      <c r="B4736" s="4" t="s">
        <v>57</v>
      </c>
      <c r="C4736" s="4" t="s">
        <v>77</v>
      </c>
      <c r="D4736" s="4" t="s">
        <v>9459</v>
      </c>
      <c r="E4736" s="4">
        <v>2802007</v>
      </c>
      <c r="F4736" s="4" t="s">
        <v>9460</v>
      </c>
      <c r="G4736" s="4" t="s">
        <v>210</v>
      </c>
      <c r="H4736" s="4"/>
    </row>
    <row r="4737" s="1" customFormat="1" spans="1:8">
      <c r="A4737" s="4" t="s">
        <v>205</v>
      </c>
      <c r="B4737" s="4" t="s">
        <v>57</v>
      </c>
      <c r="C4737" s="4" t="s">
        <v>77</v>
      </c>
      <c r="D4737" s="4" t="s">
        <v>9461</v>
      </c>
      <c r="E4737" s="4">
        <v>2803203</v>
      </c>
      <c r="F4737" s="4" t="s">
        <v>9462</v>
      </c>
      <c r="G4737" s="4" t="s">
        <v>210</v>
      </c>
      <c r="H4737" s="4"/>
    </row>
    <row r="4738" s="1" customFormat="1" spans="1:8">
      <c r="A4738" s="4" t="s">
        <v>205</v>
      </c>
      <c r="B4738" s="4" t="s">
        <v>57</v>
      </c>
      <c r="C4738" s="4" t="s">
        <v>77</v>
      </c>
      <c r="D4738" s="4" t="s">
        <v>9463</v>
      </c>
      <c r="E4738" s="4">
        <v>2803609</v>
      </c>
      <c r="F4738" s="4" t="s">
        <v>9464</v>
      </c>
      <c r="G4738" s="4" t="s">
        <v>210</v>
      </c>
      <c r="H4738" s="4"/>
    </row>
    <row r="4739" s="1" customFormat="1" spans="1:8">
      <c r="A4739" s="4" t="s">
        <v>205</v>
      </c>
      <c r="B4739" s="4" t="s">
        <v>57</v>
      </c>
      <c r="C4739" s="4" t="s">
        <v>77</v>
      </c>
      <c r="D4739" s="4" t="s">
        <v>9465</v>
      </c>
      <c r="E4739" s="4">
        <v>2804003</v>
      </c>
      <c r="F4739" s="4" t="s">
        <v>9466</v>
      </c>
      <c r="G4739" s="4" t="s">
        <v>210</v>
      </c>
      <c r="H4739" s="4"/>
    </row>
    <row r="4740" s="1" customFormat="1" spans="1:8">
      <c r="A4740" s="4" t="s">
        <v>205</v>
      </c>
      <c r="B4740" s="4" t="s">
        <v>57</v>
      </c>
      <c r="C4740" s="4" t="s">
        <v>77</v>
      </c>
      <c r="D4740" s="4" t="s">
        <v>9467</v>
      </c>
      <c r="E4740" s="4">
        <v>2804805</v>
      </c>
      <c r="F4740" s="4" t="s">
        <v>9468</v>
      </c>
      <c r="G4740" s="4" t="s">
        <v>210</v>
      </c>
      <c r="H4740" s="4"/>
    </row>
    <row r="4741" s="1" customFormat="1" spans="1:8">
      <c r="A4741" s="4" t="s">
        <v>205</v>
      </c>
      <c r="B4741" s="4" t="s">
        <v>57</v>
      </c>
      <c r="C4741" s="4" t="s">
        <v>77</v>
      </c>
      <c r="D4741" s="4" t="s">
        <v>7572</v>
      </c>
      <c r="E4741" s="4">
        <v>2805901</v>
      </c>
      <c r="F4741" s="4" t="s">
        <v>9469</v>
      </c>
      <c r="G4741" s="4" t="s">
        <v>210</v>
      </c>
      <c r="H4741" s="4"/>
    </row>
    <row r="4742" s="1" customFormat="1" spans="1:8">
      <c r="A4742" s="4" t="s">
        <v>205</v>
      </c>
      <c r="B4742" s="4" t="s">
        <v>57</v>
      </c>
      <c r="C4742" s="4" t="s">
        <v>77</v>
      </c>
      <c r="D4742" s="4" t="s">
        <v>9470</v>
      </c>
      <c r="E4742" s="4">
        <v>2806107</v>
      </c>
      <c r="F4742" s="4" t="s">
        <v>9471</v>
      </c>
      <c r="G4742" s="4" t="s">
        <v>210</v>
      </c>
      <c r="H4742" s="4"/>
    </row>
    <row r="4743" s="1" customFormat="1" spans="1:8">
      <c r="A4743" s="4" t="s">
        <v>205</v>
      </c>
      <c r="B4743" s="4" t="s">
        <v>57</v>
      </c>
      <c r="C4743" s="4" t="s">
        <v>77</v>
      </c>
      <c r="D4743" s="4" t="s">
        <v>9472</v>
      </c>
      <c r="E4743" s="4">
        <v>2806602</v>
      </c>
      <c r="F4743" s="4" t="s">
        <v>9473</v>
      </c>
      <c r="G4743" s="4" t="s">
        <v>210</v>
      </c>
      <c r="H4743" s="4"/>
    </row>
    <row r="4744" s="1" customFormat="1" spans="1:8">
      <c r="A4744" s="4" t="s">
        <v>205</v>
      </c>
      <c r="B4744" s="4" t="s">
        <v>57</v>
      </c>
      <c r="C4744" s="4" t="s">
        <v>77</v>
      </c>
      <c r="D4744" s="4" t="s">
        <v>9474</v>
      </c>
      <c r="E4744" s="4">
        <v>2806701</v>
      </c>
      <c r="F4744" s="4" t="s">
        <v>9475</v>
      </c>
      <c r="G4744" s="4" t="s">
        <v>210</v>
      </c>
      <c r="H4744" s="4"/>
    </row>
    <row r="4745" s="1" customFormat="1" spans="1:8">
      <c r="A4745" s="4" t="s">
        <v>205</v>
      </c>
      <c r="B4745" s="4" t="s">
        <v>57</v>
      </c>
      <c r="C4745" s="4" t="s">
        <v>77</v>
      </c>
      <c r="D4745" s="4" t="s">
        <v>9476</v>
      </c>
      <c r="E4745" s="4">
        <v>2801009</v>
      </c>
      <c r="F4745" s="4" t="s">
        <v>9477</v>
      </c>
      <c r="G4745" s="4" t="s">
        <v>215</v>
      </c>
      <c r="H4745" s="4"/>
    </row>
    <row r="4746" s="1" customFormat="1" spans="1:8">
      <c r="A4746" s="4" t="s">
        <v>205</v>
      </c>
      <c r="B4746" s="4" t="s">
        <v>57</v>
      </c>
      <c r="C4746" s="4" t="s">
        <v>77</v>
      </c>
      <c r="D4746" s="4" t="s">
        <v>9478</v>
      </c>
      <c r="E4746" s="4">
        <v>2801504</v>
      </c>
      <c r="F4746" s="4" t="s">
        <v>9479</v>
      </c>
      <c r="G4746" s="4" t="s">
        <v>215</v>
      </c>
      <c r="H4746" s="4"/>
    </row>
    <row r="4747" s="1" customFormat="1" spans="1:8">
      <c r="A4747" s="4" t="s">
        <v>205</v>
      </c>
      <c r="B4747" s="4" t="s">
        <v>57</v>
      </c>
      <c r="C4747" s="4" t="s">
        <v>77</v>
      </c>
      <c r="D4747" s="4" t="s">
        <v>9480</v>
      </c>
      <c r="E4747" s="4">
        <v>2802502</v>
      </c>
      <c r="F4747" s="4" t="s">
        <v>9481</v>
      </c>
      <c r="G4747" s="4" t="s">
        <v>215</v>
      </c>
      <c r="H4747" s="4"/>
    </row>
    <row r="4748" s="1" customFormat="1" spans="1:8">
      <c r="A4748" s="4" t="s">
        <v>205</v>
      </c>
      <c r="B4748" s="4" t="s">
        <v>57</v>
      </c>
      <c r="C4748" s="4" t="s">
        <v>77</v>
      </c>
      <c r="D4748" s="4" t="s">
        <v>5398</v>
      </c>
      <c r="E4748" s="4">
        <v>2802908</v>
      </c>
      <c r="F4748" s="4" t="s">
        <v>9482</v>
      </c>
      <c r="G4748" s="4" t="s">
        <v>215</v>
      </c>
      <c r="H4748" s="4"/>
    </row>
    <row r="4749" s="1" customFormat="1" spans="1:8">
      <c r="A4749" s="4" t="s">
        <v>205</v>
      </c>
      <c r="B4749" s="4" t="s">
        <v>57</v>
      </c>
      <c r="C4749" s="4" t="s">
        <v>77</v>
      </c>
      <c r="D4749" s="4" t="s">
        <v>9483</v>
      </c>
      <c r="E4749" s="4">
        <v>2803302</v>
      </c>
      <c r="F4749" s="4" t="s">
        <v>9484</v>
      </c>
      <c r="G4749" s="4" t="s">
        <v>215</v>
      </c>
      <c r="H4749" s="4"/>
    </row>
    <row r="4750" s="1" customFormat="1" spans="1:8">
      <c r="A4750" s="4" t="s">
        <v>205</v>
      </c>
      <c r="B4750" s="4" t="s">
        <v>57</v>
      </c>
      <c r="C4750" s="4" t="s">
        <v>77</v>
      </c>
      <c r="D4750" s="4" t="s">
        <v>9485</v>
      </c>
      <c r="E4750" s="4">
        <v>2803906</v>
      </c>
      <c r="F4750" s="4" t="s">
        <v>9486</v>
      </c>
      <c r="G4750" s="4" t="s">
        <v>215</v>
      </c>
      <c r="H4750" s="4"/>
    </row>
    <row r="4751" s="1" customFormat="1" spans="1:8">
      <c r="A4751" s="4" t="s">
        <v>205</v>
      </c>
      <c r="B4751" s="4" t="s">
        <v>57</v>
      </c>
      <c r="C4751" s="4" t="s">
        <v>77</v>
      </c>
      <c r="D4751" s="4" t="s">
        <v>9487</v>
      </c>
      <c r="E4751" s="4">
        <v>2805307</v>
      </c>
      <c r="F4751" s="4" t="s">
        <v>9488</v>
      </c>
      <c r="G4751" s="4" t="s">
        <v>215</v>
      </c>
      <c r="H4751" s="4"/>
    </row>
    <row r="4752" s="1" customFormat="1" spans="1:8">
      <c r="A4752" s="4" t="s">
        <v>205</v>
      </c>
      <c r="B4752" s="4" t="s">
        <v>57</v>
      </c>
      <c r="C4752" s="4" t="s">
        <v>77</v>
      </c>
      <c r="D4752" s="4" t="s">
        <v>9489</v>
      </c>
      <c r="E4752" s="4">
        <v>2806206</v>
      </c>
      <c r="F4752" s="4" t="s">
        <v>9490</v>
      </c>
      <c r="G4752" s="4" t="s">
        <v>215</v>
      </c>
      <c r="H4752" s="4"/>
    </row>
    <row r="4753" s="1" customFormat="1" spans="1:8">
      <c r="A4753" s="4" t="s">
        <v>205</v>
      </c>
      <c r="B4753" s="4" t="s">
        <v>57</v>
      </c>
      <c r="C4753" s="4" t="s">
        <v>77</v>
      </c>
      <c r="D4753" s="4" t="s">
        <v>9291</v>
      </c>
      <c r="E4753" s="4">
        <v>2806503</v>
      </c>
      <c r="F4753" s="4" t="s">
        <v>9491</v>
      </c>
      <c r="G4753" s="4" t="s">
        <v>215</v>
      </c>
      <c r="H4753" s="4"/>
    </row>
    <row r="4754" s="1" customFormat="1" spans="1:8">
      <c r="A4754" s="4" t="s">
        <v>205</v>
      </c>
      <c r="B4754" s="4" t="s">
        <v>57</v>
      </c>
      <c r="C4754" s="4" t="s">
        <v>77</v>
      </c>
      <c r="D4754" s="4" t="s">
        <v>9492</v>
      </c>
      <c r="E4754" s="4">
        <v>2807204</v>
      </c>
      <c r="F4754" s="4" t="s">
        <v>9493</v>
      </c>
      <c r="G4754" s="4" t="s">
        <v>215</v>
      </c>
      <c r="H4754" s="4"/>
    </row>
    <row r="4755" s="1" customFormat="1" spans="1:8">
      <c r="A4755" s="4" t="s">
        <v>205</v>
      </c>
      <c r="B4755" s="4" t="s">
        <v>57</v>
      </c>
      <c r="C4755" s="4" t="s">
        <v>77</v>
      </c>
      <c r="D4755" s="7" t="s">
        <v>9494</v>
      </c>
      <c r="E4755" s="4">
        <v>2800100</v>
      </c>
      <c r="F4755" s="4" t="s">
        <v>9495</v>
      </c>
      <c r="G4755" s="4" t="s">
        <v>232</v>
      </c>
      <c r="H4755" s="4"/>
    </row>
    <row r="4756" s="1" customFormat="1" spans="1:8">
      <c r="A4756" s="4" t="s">
        <v>205</v>
      </c>
      <c r="B4756" s="4" t="s">
        <v>57</v>
      </c>
      <c r="C4756" s="4" t="s">
        <v>77</v>
      </c>
      <c r="D4756" s="4" t="s">
        <v>9496</v>
      </c>
      <c r="E4756" s="4">
        <v>2800209</v>
      </c>
      <c r="F4756" s="4" t="s">
        <v>9497</v>
      </c>
      <c r="G4756" s="4" t="s">
        <v>232</v>
      </c>
      <c r="H4756" s="4"/>
    </row>
    <row r="4757" s="1" customFormat="1" spans="1:8">
      <c r="A4757" s="4" t="s">
        <v>205</v>
      </c>
      <c r="B4757" s="4" t="s">
        <v>57</v>
      </c>
      <c r="C4757" s="4" t="s">
        <v>77</v>
      </c>
      <c r="D4757" s="4" t="s">
        <v>9498</v>
      </c>
      <c r="E4757" s="4">
        <v>2800407</v>
      </c>
      <c r="F4757" s="4" t="s">
        <v>9499</v>
      </c>
      <c r="G4757" s="4" t="s">
        <v>232</v>
      </c>
      <c r="H4757" s="4"/>
    </row>
    <row r="4758" s="1" customFormat="1" spans="1:8">
      <c r="A4758" s="4" t="s">
        <v>205</v>
      </c>
      <c r="B4758" s="4" t="s">
        <v>57</v>
      </c>
      <c r="C4758" s="4" t="s">
        <v>77</v>
      </c>
      <c r="D4758" s="4" t="s">
        <v>9500</v>
      </c>
      <c r="E4758" s="4">
        <v>2800670</v>
      </c>
      <c r="F4758" s="4" t="s">
        <v>9501</v>
      </c>
      <c r="G4758" s="4" t="s">
        <v>232</v>
      </c>
      <c r="H4758" s="4"/>
    </row>
    <row r="4759" s="1" customFormat="1" spans="1:8">
      <c r="A4759" s="4" t="s">
        <v>205</v>
      </c>
      <c r="B4759" s="4" t="s">
        <v>57</v>
      </c>
      <c r="C4759" s="4" t="s">
        <v>77</v>
      </c>
      <c r="D4759" s="4" t="s">
        <v>9502</v>
      </c>
      <c r="E4759" s="4">
        <v>2801108</v>
      </c>
      <c r="F4759" s="4" t="s">
        <v>9503</v>
      </c>
      <c r="G4759" s="4" t="s">
        <v>232</v>
      </c>
      <c r="H4759" s="4"/>
    </row>
    <row r="4760" s="1" customFormat="1" spans="1:8">
      <c r="A4760" s="4" t="s">
        <v>205</v>
      </c>
      <c r="B4760" s="4" t="s">
        <v>57</v>
      </c>
      <c r="C4760" s="4" t="s">
        <v>77</v>
      </c>
      <c r="D4760" s="4" t="s">
        <v>287</v>
      </c>
      <c r="E4760" s="4">
        <v>2801306</v>
      </c>
      <c r="F4760" s="4" t="s">
        <v>9504</v>
      </c>
      <c r="G4760" s="4" t="s">
        <v>232</v>
      </c>
      <c r="H4760" s="4"/>
    </row>
    <row r="4761" s="1" customFormat="1" spans="1:8">
      <c r="A4761" s="4" t="s">
        <v>205</v>
      </c>
      <c r="B4761" s="4" t="s">
        <v>57</v>
      </c>
      <c r="C4761" s="4" t="s">
        <v>77</v>
      </c>
      <c r="D4761" s="4" t="s">
        <v>9505</v>
      </c>
      <c r="E4761" s="4">
        <v>2801405</v>
      </c>
      <c r="F4761" s="4" t="s">
        <v>9506</v>
      </c>
      <c r="G4761" s="4" t="s">
        <v>232</v>
      </c>
      <c r="H4761" s="4"/>
    </row>
    <row r="4762" s="1" customFormat="1" spans="1:8">
      <c r="A4762" s="4" t="s">
        <v>205</v>
      </c>
      <c r="B4762" s="4" t="s">
        <v>57</v>
      </c>
      <c r="C4762" s="4" t="s">
        <v>77</v>
      </c>
      <c r="D4762" s="4" t="s">
        <v>9507</v>
      </c>
      <c r="E4762" s="4">
        <v>2801603</v>
      </c>
      <c r="F4762" s="4" t="s">
        <v>9508</v>
      </c>
      <c r="G4762" s="4" t="s">
        <v>232</v>
      </c>
      <c r="H4762" s="4"/>
    </row>
    <row r="4763" s="1" customFormat="1" spans="1:8">
      <c r="A4763" s="4" t="s">
        <v>205</v>
      </c>
      <c r="B4763" s="4" t="s">
        <v>57</v>
      </c>
      <c r="C4763" s="4" t="s">
        <v>77</v>
      </c>
      <c r="D4763" s="4" t="s">
        <v>9509</v>
      </c>
      <c r="E4763" s="4">
        <v>2801702</v>
      </c>
      <c r="F4763" s="4" t="s">
        <v>9510</v>
      </c>
      <c r="G4763" s="4" t="s">
        <v>232</v>
      </c>
      <c r="H4763" s="4"/>
    </row>
    <row r="4764" s="1" customFormat="1" spans="1:8">
      <c r="A4764" s="4" t="s">
        <v>205</v>
      </c>
      <c r="B4764" s="4" t="s">
        <v>57</v>
      </c>
      <c r="C4764" s="4" t="s">
        <v>77</v>
      </c>
      <c r="D4764" s="4" t="s">
        <v>9511</v>
      </c>
      <c r="E4764" s="4">
        <v>2801900</v>
      </c>
      <c r="F4764" s="4" t="s">
        <v>9512</v>
      </c>
      <c r="G4764" s="4" t="s">
        <v>232</v>
      </c>
      <c r="H4764" s="4"/>
    </row>
    <row r="4765" s="1" customFormat="1" spans="1:8">
      <c r="A4765" s="4" t="s">
        <v>205</v>
      </c>
      <c r="B4765" s="4" t="s">
        <v>57</v>
      </c>
      <c r="C4765" s="4" t="s">
        <v>77</v>
      </c>
      <c r="D4765" s="4" t="s">
        <v>9513</v>
      </c>
      <c r="E4765" s="4">
        <v>2802106</v>
      </c>
      <c r="F4765" s="4" t="s">
        <v>9514</v>
      </c>
      <c r="G4765" s="4" t="s">
        <v>232</v>
      </c>
      <c r="H4765" s="4"/>
    </row>
    <row r="4766" s="1" customFormat="1" spans="1:8">
      <c r="A4766" s="4" t="s">
        <v>205</v>
      </c>
      <c r="B4766" s="4" t="s">
        <v>57</v>
      </c>
      <c r="C4766" s="4" t="s">
        <v>77</v>
      </c>
      <c r="D4766" s="4" t="s">
        <v>5840</v>
      </c>
      <c r="E4766" s="4">
        <v>2802205</v>
      </c>
      <c r="F4766" s="4" t="s">
        <v>9515</v>
      </c>
      <c r="G4766" s="4" t="s">
        <v>232</v>
      </c>
      <c r="H4766" s="4"/>
    </row>
    <row r="4767" s="1" customFormat="1" spans="1:8">
      <c r="A4767" s="4" t="s">
        <v>205</v>
      </c>
      <c r="B4767" s="4" t="s">
        <v>57</v>
      </c>
      <c r="C4767" s="4" t="s">
        <v>77</v>
      </c>
      <c r="D4767" s="4" t="s">
        <v>9516</v>
      </c>
      <c r="E4767" s="4">
        <v>2802304</v>
      </c>
      <c r="F4767" s="4" t="s">
        <v>9517</v>
      </c>
      <c r="G4767" s="4" t="s">
        <v>232</v>
      </c>
      <c r="H4767" s="4"/>
    </row>
    <row r="4768" s="1" customFormat="1" spans="1:8">
      <c r="A4768" s="4" t="s">
        <v>205</v>
      </c>
      <c r="B4768" s="4" t="s">
        <v>57</v>
      </c>
      <c r="C4768" s="4" t="s">
        <v>77</v>
      </c>
      <c r="D4768" s="4" t="s">
        <v>9518</v>
      </c>
      <c r="E4768" s="4">
        <v>2802601</v>
      </c>
      <c r="F4768" s="4" t="s">
        <v>9519</v>
      </c>
      <c r="G4768" s="4" t="s">
        <v>232</v>
      </c>
      <c r="H4768" s="4"/>
    </row>
    <row r="4769" s="1" customFormat="1" spans="1:8">
      <c r="A4769" s="4" t="s">
        <v>205</v>
      </c>
      <c r="B4769" s="4" t="s">
        <v>57</v>
      </c>
      <c r="C4769" s="4" t="s">
        <v>77</v>
      </c>
      <c r="D4769" s="4" t="s">
        <v>9520</v>
      </c>
      <c r="E4769" s="4">
        <v>2802809</v>
      </c>
      <c r="F4769" s="4" t="s">
        <v>9521</v>
      </c>
      <c r="G4769" s="4" t="s">
        <v>232</v>
      </c>
      <c r="H4769" s="4"/>
    </row>
    <row r="4770" s="1" customFormat="1" spans="1:8">
      <c r="A4770" s="4" t="s">
        <v>205</v>
      </c>
      <c r="B4770" s="4" t="s">
        <v>57</v>
      </c>
      <c r="C4770" s="4" t="s">
        <v>77</v>
      </c>
      <c r="D4770" s="4" t="s">
        <v>9522</v>
      </c>
      <c r="E4770" s="4">
        <v>2803005</v>
      </c>
      <c r="F4770" s="4" t="s">
        <v>9523</v>
      </c>
      <c r="G4770" s="4" t="s">
        <v>232</v>
      </c>
      <c r="H4770" s="4"/>
    </row>
    <row r="4771" s="1" customFormat="1" spans="1:8">
      <c r="A4771" s="4" t="s">
        <v>205</v>
      </c>
      <c r="B4771" s="4" t="s">
        <v>57</v>
      </c>
      <c r="C4771" s="4" t="s">
        <v>77</v>
      </c>
      <c r="D4771" s="4" t="s">
        <v>9524</v>
      </c>
      <c r="E4771" s="4">
        <v>2803401</v>
      </c>
      <c r="F4771" s="4" t="s">
        <v>9525</v>
      </c>
      <c r="G4771" s="4" t="s">
        <v>232</v>
      </c>
      <c r="H4771" s="4"/>
    </row>
    <row r="4772" s="1" customFormat="1" spans="1:8">
      <c r="A4772" s="4" t="s">
        <v>205</v>
      </c>
      <c r="B4772" s="4" t="s">
        <v>57</v>
      </c>
      <c r="C4772" s="4" t="s">
        <v>77</v>
      </c>
      <c r="D4772" s="4" t="s">
        <v>9526</v>
      </c>
      <c r="E4772" s="4">
        <v>2803500</v>
      </c>
      <c r="F4772" s="4" t="s">
        <v>9527</v>
      </c>
      <c r="G4772" s="4" t="s">
        <v>232</v>
      </c>
      <c r="H4772" s="4"/>
    </row>
    <row r="4773" s="1" customFormat="1" spans="1:8">
      <c r="A4773" s="4" t="s">
        <v>205</v>
      </c>
      <c r="B4773" s="4" t="s">
        <v>57</v>
      </c>
      <c r="C4773" s="4" t="s">
        <v>77</v>
      </c>
      <c r="D4773" s="4" t="s">
        <v>9528</v>
      </c>
      <c r="E4773" s="4">
        <v>2803708</v>
      </c>
      <c r="F4773" s="4" t="s">
        <v>9529</v>
      </c>
      <c r="G4773" s="4" t="s">
        <v>232</v>
      </c>
      <c r="H4773" s="4"/>
    </row>
    <row r="4774" s="1" customFormat="1" spans="1:8">
      <c r="A4774" s="4" t="s">
        <v>205</v>
      </c>
      <c r="B4774" s="4" t="s">
        <v>57</v>
      </c>
      <c r="C4774" s="4" t="s">
        <v>77</v>
      </c>
      <c r="D4774" s="4" t="s">
        <v>9530</v>
      </c>
      <c r="E4774" s="4">
        <v>2803807</v>
      </c>
      <c r="F4774" s="4" t="s">
        <v>9531</v>
      </c>
      <c r="G4774" s="4" t="s">
        <v>232</v>
      </c>
      <c r="H4774" s="4"/>
    </row>
    <row r="4775" s="1" customFormat="1" spans="1:8">
      <c r="A4775" s="4" t="s">
        <v>205</v>
      </c>
      <c r="B4775" s="4" t="s">
        <v>57</v>
      </c>
      <c r="C4775" s="4" t="s">
        <v>77</v>
      </c>
      <c r="D4775" s="4" t="s">
        <v>9532</v>
      </c>
      <c r="E4775" s="4">
        <v>2804102</v>
      </c>
      <c r="F4775" s="4" t="s">
        <v>9533</v>
      </c>
      <c r="G4775" s="4" t="s">
        <v>232</v>
      </c>
      <c r="H4775" s="4"/>
    </row>
    <row r="4776" s="1" customFormat="1" spans="1:8">
      <c r="A4776" s="4" t="s">
        <v>205</v>
      </c>
      <c r="B4776" s="4" t="s">
        <v>57</v>
      </c>
      <c r="C4776" s="4" t="s">
        <v>77</v>
      </c>
      <c r="D4776" s="4" t="s">
        <v>9534</v>
      </c>
      <c r="E4776" s="4">
        <v>2804300</v>
      </c>
      <c r="F4776" s="4" t="s">
        <v>9535</v>
      </c>
      <c r="G4776" s="4" t="s">
        <v>232</v>
      </c>
      <c r="H4776" s="4"/>
    </row>
    <row r="4777" s="1" customFormat="1" spans="1:8">
      <c r="A4777" s="4" t="s">
        <v>205</v>
      </c>
      <c r="B4777" s="4" t="s">
        <v>57</v>
      </c>
      <c r="C4777" s="4" t="s">
        <v>77</v>
      </c>
      <c r="D4777" s="4" t="s">
        <v>9536</v>
      </c>
      <c r="E4777" s="4">
        <v>2804409</v>
      </c>
      <c r="F4777" s="4" t="s">
        <v>9537</v>
      </c>
      <c r="G4777" s="4" t="s">
        <v>232</v>
      </c>
      <c r="H4777" s="4"/>
    </row>
    <row r="4778" s="1" customFormat="1" spans="1:8">
      <c r="A4778" s="4" t="s">
        <v>205</v>
      </c>
      <c r="B4778" s="4" t="s">
        <v>57</v>
      </c>
      <c r="C4778" s="4" t="s">
        <v>77</v>
      </c>
      <c r="D4778" s="4" t="s">
        <v>9538</v>
      </c>
      <c r="E4778" s="4">
        <v>2804458</v>
      </c>
      <c r="F4778" s="4" t="s">
        <v>9539</v>
      </c>
      <c r="G4778" s="4" t="s">
        <v>232</v>
      </c>
      <c r="H4778" s="4"/>
    </row>
    <row r="4779" s="1" customFormat="1" spans="1:8">
      <c r="A4779" s="4" t="s">
        <v>205</v>
      </c>
      <c r="B4779" s="4" t="s">
        <v>57</v>
      </c>
      <c r="C4779" s="4" t="s">
        <v>77</v>
      </c>
      <c r="D4779" s="4" t="s">
        <v>9540</v>
      </c>
      <c r="E4779" s="4">
        <v>2804508</v>
      </c>
      <c r="F4779" s="4" t="s">
        <v>9541</v>
      </c>
      <c r="G4779" s="4" t="s">
        <v>232</v>
      </c>
      <c r="H4779" s="4"/>
    </row>
    <row r="4780" s="1" customFormat="1" spans="1:8">
      <c r="A4780" s="4" t="s">
        <v>205</v>
      </c>
      <c r="B4780" s="4" t="s">
        <v>57</v>
      </c>
      <c r="C4780" s="4" t="s">
        <v>77</v>
      </c>
      <c r="D4780" s="4" t="s">
        <v>9542</v>
      </c>
      <c r="E4780" s="4">
        <v>2804607</v>
      </c>
      <c r="F4780" s="4" t="s">
        <v>9543</v>
      </c>
      <c r="G4780" s="4" t="s">
        <v>232</v>
      </c>
      <c r="H4780" s="4"/>
    </row>
    <row r="4781" s="1" customFormat="1" spans="1:8">
      <c r="A4781" s="4" t="s">
        <v>205</v>
      </c>
      <c r="B4781" s="4" t="s">
        <v>57</v>
      </c>
      <c r="C4781" s="4" t="s">
        <v>77</v>
      </c>
      <c r="D4781" s="4" t="s">
        <v>1525</v>
      </c>
      <c r="E4781" s="4">
        <v>2804904</v>
      </c>
      <c r="F4781" s="4" t="s">
        <v>9544</v>
      </c>
      <c r="G4781" s="4" t="s">
        <v>232</v>
      </c>
      <c r="H4781" s="4"/>
    </row>
    <row r="4782" s="1" customFormat="1" spans="1:8">
      <c r="A4782" s="4" t="s">
        <v>205</v>
      </c>
      <c r="B4782" s="4" t="s">
        <v>57</v>
      </c>
      <c r="C4782" s="4" t="s">
        <v>77</v>
      </c>
      <c r="D4782" s="4" t="s">
        <v>9545</v>
      </c>
      <c r="E4782" s="4">
        <v>2805000</v>
      </c>
      <c r="F4782" s="4" t="s">
        <v>9546</v>
      </c>
      <c r="G4782" s="4" t="s">
        <v>232</v>
      </c>
      <c r="H4782" s="4"/>
    </row>
    <row r="4783" s="1" customFormat="1" spans="1:8">
      <c r="A4783" s="4" t="s">
        <v>205</v>
      </c>
      <c r="B4783" s="4" t="s">
        <v>57</v>
      </c>
      <c r="C4783" s="4" t="s">
        <v>77</v>
      </c>
      <c r="D4783" s="4" t="s">
        <v>9547</v>
      </c>
      <c r="E4783" s="4">
        <v>2805109</v>
      </c>
      <c r="F4783" s="4" t="s">
        <v>9548</v>
      </c>
      <c r="G4783" s="4" t="s">
        <v>232</v>
      </c>
      <c r="H4783" s="4"/>
    </row>
    <row r="4784" s="1" customFormat="1" spans="1:8">
      <c r="A4784" s="4" t="s">
        <v>205</v>
      </c>
      <c r="B4784" s="4" t="s">
        <v>57</v>
      </c>
      <c r="C4784" s="4" t="s">
        <v>77</v>
      </c>
      <c r="D4784" s="4" t="s">
        <v>6861</v>
      </c>
      <c r="E4784" s="4">
        <v>2805208</v>
      </c>
      <c r="F4784" s="4" t="s">
        <v>9549</v>
      </c>
      <c r="G4784" s="4" t="s">
        <v>232</v>
      </c>
      <c r="H4784" s="4"/>
    </row>
    <row r="4785" s="1" customFormat="1" spans="1:8">
      <c r="A4785" s="4" t="s">
        <v>205</v>
      </c>
      <c r="B4785" s="4" t="s">
        <v>57</v>
      </c>
      <c r="C4785" s="4" t="s">
        <v>77</v>
      </c>
      <c r="D4785" s="4" t="s">
        <v>9550</v>
      </c>
      <c r="E4785" s="4">
        <v>2805703</v>
      </c>
      <c r="F4785" s="4" t="s">
        <v>9551</v>
      </c>
      <c r="G4785" s="4" t="s">
        <v>232</v>
      </c>
      <c r="H4785" s="4"/>
    </row>
    <row r="4786" s="1" customFormat="1" spans="1:8">
      <c r="A4786" s="4" t="s">
        <v>205</v>
      </c>
      <c r="B4786" s="4" t="s">
        <v>57</v>
      </c>
      <c r="C4786" s="4" t="s">
        <v>77</v>
      </c>
      <c r="D4786" s="4" t="s">
        <v>9552</v>
      </c>
      <c r="E4786" s="4">
        <v>2805802</v>
      </c>
      <c r="F4786" s="4" t="s">
        <v>9553</v>
      </c>
      <c r="G4786" s="4" t="s">
        <v>232</v>
      </c>
      <c r="H4786" s="4"/>
    </row>
    <row r="4787" s="1" customFormat="1" spans="1:8">
      <c r="A4787" s="4" t="s">
        <v>205</v>
      </c>
      <c r="B4787" s="4" t="s">
        <v>57</v>
      </c>
      <c r="C4787" s="4" t="s">
        <v>77</v>
      </c>
      <c r="D4787" s="4" t="s">
        <v>9554</v>
      </c>
      <c r="E4787" s="4">
        <v>2806008</v>
      </c>
      <c r="F4787" s="4" t="s">
        <v>9555</v>
      </c>
      <c r="G4787" s="4" t="s">
        <v>232</v>
      </c>
      <c r="H4787" s="4"/>
    </row>
    <row r="4788" s="1" customFormat="1" spans="1:8">
      <c r="A4788" s="4" t="s">
        <v>205</v>
      </c>
      <c r="B4788" s="4" t="s">
        <v>57</v>
      </c>
      <c r="C4788" s="4" t="s">
        <v>77</v>
      </c>
      <c r="D4788" s="4" t="s">
        <v>9556</v>
      </c>
      <c r="E4788" s="4">
        <v>2806305</v>
      </c>
      <c r="F4788" s="4" t="s">
        <v>9557</v>
      </c>
      <c r="G4788" s="4" t="s">
        <v>232</v>
      </c>
      <c r="H4788" s="4"/>
    </row>
    <row r="4789" s="1" customFormat="1" spans="1:8">
      <c r="A4789" s="4" t="s">
        <v>205</v>
      </c>
      <c r="B4789" s="4" t="s">
        <v>57</v>
      </c>
      <c r="C4789" s="4" t="s">
        <v>77</v>
      </c>
      <c r="D4789" s="4" t="s">
        <v>9558</v>
      </c>
      <c r="E4789" s="4">
        <v>2806404</v>
      </c>
      <c r="F4789" s="4" t="s">
        <v>9559</v>
      </c>
      <c r="G4789" s="4" t="s">
        <v>232</v>
      </c>
      <c r="H4789" s="4"/>
    </row>
    <row r="4790" s="1" customFormat="1" spans="1:8">
      <c r="A4790" s="4" t="s">
        <v>205</v>
      </c>
      <c r="B4790" s="4" t="s">
        <v>57</v>
      </c>
      <c r="C4790" s="4" t="s">
        <v>77</v>
      </c>
      <c r="D4790" s="4" t="s">
        <v>9560</v>
      </c>
      <c r="E4790" s="4">
        <v>2807105</v>
      </c>
      <c r="F4790" s="4" t="s">
        <v>9561</v>
      </c>
      <c r="G4790" s="4" t="s">
        <v>232</v>
      </c>
      <c r="H4790" s="4"/>
    </row>
    <row r="4791" s="1" customFormat="1" spans="1:8">
      <c r="A4791" s="4" t="s">
        <v>205</v>
      </c>
      <c r="B4791" s="4" t="s">
        <v>57</v>
      </c>
      <c r="C4791" s="4" t="s">
        <v>77</v>
      </c>
      <c r="D4791" s="4" t="s">
        <v>847</v>
      </c>
      <c r="E4791" s="4">
        <v>2806800</v>
      </c>
      <c r="F4791" s="4" t="s">
        <v>9562</v>
      </c>
      <c r="G4791" s="4" t="s">
        <v>232</v>
      </c>
      <c r="H4791" s="4"/>
    </row>
    <row r="4792" s="1" customFormat="1" spans="1:8">
      <c r="A4792" s="4" t="s">
        <v>205</v>
      </c>
      <c r="B4792" s="4" t="s">
        <v>57</v>
      </c>
      <c r="C4792" s="4" t="s">
        <v>77</v>
      </c>
      <c r="D4792" s="4" t="s">
        <v>4268</v>
      </c>
      <c r="E4792" s="4">
        <v>2806909</v>
      </c>
      <c r="F4792" s="4" t="s">
        <v>9563</v>
      </c>
      <c r="G4792" s="4" t="s">
        <v>232</v>
      </c>
      <c r="H4792" s="4"/>
    </row>
    <row r="4793" s="1" customFormat="1" spans="1:8">
      <c r="A4793" s="4" t="s">
        <v>205</v>
      </c>
      <c r="B4793" s="4" t="s">
        <v>57</v>
      </c>
      <c r="C4793" s="4" t="s">
        <v>77</v>
      </c>
      <c r="D4793" s="4" t="s">
        <v>9564</v>
      </c>
      <c r="E4793" s="4">
        <v>2807006</v>
      </c>
      <c r="F4793" s="4" t="s">
        <v>9565</v>
      </c>
      <c r="G4793" s="4" t="s">
        <v>232</v>
      </c>
      <c r="H4793" s="4"/>
    </row>
    <row r="4794" s="1" customFormat="1" spans="1:8">
      <c r="A4794" s="4" t="s">
        <v>205</v>
      </c>
      <c r="B4794" s="4" t="s">
        <v>57</v>
      </c>
      <c r="C4794" s="4" t="s">
        <v>77</v>
      </c>
      <c r="D4794" s="4" t="s">
        <v>9566</v>
      </c>
      <c r="E4794" s="4">
        <v>2807303</v>
      </c>
      <c r="F4794" s="4" t="s">
        <v>9567</v>
      </c>
      <c r="G4794" s="4" t="s">
        <v>232</v>
      </c>
      <c r="H4794" s="4"/>
    </row>
    <row r="4795" s="1" customFormat="1" spans="1:8">
      <c r="A4795" s="4" t="s">
        <v>205</v>
      </c>
      <c r="B4795" s="4" t="s">
        <v>57</v>
      </c>
      <c r="C4795" s="4" t="s">
        <v>77</v>
      </c>
      <c r="D4795" s="4" t="s">
        <v>9568</v>
      </c>
      <c r="E4795" s="4">
        <v>2807402</v>
      </c>
      <c r="F4795" s="4" t="s">
        <v>9569</v>
      </c>
      <c r="G4795" s="4" t="s">
        <v>232</v>
      </c>
      <c r="H4795" s="4"/>
    </row>
    <row r="4796" s="1" customFormat="1" spans="1:8">
      <c r="A4796" s="4" t="s">
        <v>205</v>
      </c>
      <c r="B4796" s="4" t="s">
        <v>57</v>
      </c>
      <c r="C4796" s="4" t="s">
        <v>77</v>
      </c>
      <c r="D4796" s="4" t="s">
        <v>9570</v>
      </c>
      <c r="E4796" s="4">
        <v>2807600</v>
      </c>
      <c r="F4796" s="4" t="s">
        <v>9571</v>
      </c>
      <c r="G4796" s="4" t="s">
        <v>232</v>
      </c>
      <c r="H4796" s="4"/>
    </row>
    <row r="4797" s="1" customFormat="1" spans="1:8">
      <c r="A4797" s="4" t="s">
        <v>205</v>
      </c>
      <c r="B4797" s="4" t="s">
        <v>57</v>
      </c>
      <c r="C4797" s="4" t="s">
        <v>77</v>
      </c>
      <c r="D4797" s="4" t="s">
        <v>9572</v>
      </c>
      <c r="E4797" s="4">
        <v>2800704</v>
      </c>
      <c r="F4797" s="4" t="s">
        <v>9573</v>
      </c>
      <c r="G4797" s="4" t="s">
        <v>243</v>
      </c>
      <c r="H4797" s="4"/>
    </row>
    <row r="4798" s="1" customFormat="1" spans="1:8">
      <c r="A4798" s="4" t="s">
        <v>205</v>
      </c>
      <c r="B4798" s="4" t="s">
        <v>57</v>
      </c>
      <c r="C4798" s="4" t="s">
        <v>77</v>
      </c>
      <c r="D4798" s="4" t="s">
        <v>9574</v>
      </c>
      <c r="E4798" s="4">
        <v>2801207</v>
      </c>
      <c r="F4798" s="4" t="s">
        <v>9575</v>
      </c>
      <c r="G4798" s="4" t="s">
        <v>243</v>
      </c>
      <c r="H4798" s="4"/>
    </row>
    <row r="4799" s="1" customFormat="1" spans="1:8">
      <c r="A4799" s="4" t="s">
        <v>205</v>
      </c>
      <c r="B4799" s="4" t="s">
        <v>57</v>
      </c>
      <c r="C4799" s="4" t="s">
        <v>77</v>
      </c>
      <c r="D4799" s="4" t="s">
        <v>9576</v>
      </c>
      <c r="E4799" s="4">
        <v>2802403</v>
      </c>
      <c r="F4799" s="4" t="s">
        <v>9577</v>
      </c>
      <c r="G4799" s="4" t="s">
        <v>243</v>
      </c>
      <c r="H4799" s="4"/>
    </row>
    <row r="4800" s="1" customFormat="1" spans="1:8">
      <c r="A4800" s="4" t="s">
        <v>205</v>
      </c>
      <c r="B4800" s="4" t="s">
        <v>57</v>
      </c>
      <c r="C4800" s="4" t="s">
        <v>77</v>
      </c>
      <c r="D4800" s="4" t="s">
        <v>9578</v>
      </c>
      <c r="E4800" s="4">
        <v>2802700</v>
      </c>
      <c r="F4800" s="4" t="s">
        <v>9579</v>
      </c>
      <c r="G4800" s="4" t="s">
        <v>243</v>
      </c>
      <c r="H4800" s="4"/>
    </row>
    <row r="4801" s="1" customFormat="1" spans="1:8">
      <c r="A4801" s="4" t="s">
        <v>205</v>
      </c>
      <c r="B4801" s="4" t="s">
        <v>57</v>
      </c>
      <c r="C4801" s="4" t="s">
        <v>77</v>
      </c>
      <c r="D4801" s="4" t="s">
        <v>9580</v>
      </c>
      <c r="E4801" s="4">
        <v>2803104</v>
      </c>
      <c r="F4801" s="4" t="s">
        <v>9581</v>
      </c>
      <c r="G4801" s="4" t="s">
        <v>243</v>
      </c>
      <c r="H4801" s="4"/>
    </row>
    <row r="4802" s="1" customFormat="1" spans="1:8">
      <c r="A4802" s="4" t="s">
        <v>205</v>
      </c>
      <c r="B4802" s="4" t="s">
        <v>57</v>
      </c>
      <c r="C4802" s="4" t="s">
        <v>77</v>
      </c>
      <c r="D4802" s="4" t="s">
        <v>9582</v>
      </c>
      <c r="E4802" s="4">
        <v>2804201</v>
      </c>
      <c r="F4802" s="4" t="s">
        <v>9583</v>
      </c>
      <c r="G4802" s="4" t="s">
        <v>243</v>
      </c>
      <c r="H4802" s="4"/>
    </row>
    <row r="4803" s="1" customFormat="1" spans="1:8">
      <c r="A4803" s="4" t="s">
        <v>205</v>
      </c>
      <c r="B4803" s="4" t="s">
        <v>57</v>
      </c>
      <c r="C4803" s="4" t="s">
        <v>77</v>
      </c>
      <c r="D4803" s="4" t="s">
        <v>9584</v>
      </c>
      <c r="E4803" s="4">
        <v>2804706</v>
      </c>
      <c r="F4803" s="4" t="s">
        <v>9585</v>
      </c>
      <c r="G4803" s="4" t="s">
        <v>243</v>
      </c>
      <c r="H4803" s="4"/>
    </row>
    <row r="4804" s="1" customFormat="1" spans="1:8">
      <c r="A4804" s="4" t="s">
        <v>205</v>
      </c>
      <c r="B4804" s="4" t="s">
        <v>57</v>
      </c>
      <c r="C4804" s="4" t="s">
        <v>77</v>
      </c>
      <c r="D4804" s="4" t="s">
        <v>9586</v>
      </c>
      <c r="E4804" s="4">
        <v>2805604</v>
      </c>
      <c r="F4804" s="4" t="s">
        <v>9587</v>
      </c>
      <c r="G4804" s="4" t="s">
        <v>243</v>
      </c>
      <c r="H4804" s="4"/>
    </row>
    <row r="4805" s="1" customFormat="1" spans="1:8">
      <c r="A4805" s="4" t="s">
        <v>205</v>
      </c>
      <c r="B4805" s="4" t="s">
        <v>57</v>
      </c>
      <c r="C4805" s="4" t="s">
        <v>77</v>
      </c>
      <c r="D4805" s="4" t="s">
        <v>9588</v>
      </c>
      <c r="E4805" s="4">
        <v>2805406</v>
      </c>
      <c r="F4805" s="4" t="s">
        <v>9589</v>
      </c>
      <c r="G4805" s="4" t="s">
        <v>243</v>
      </c>
      <c r="H4805" s="4"/>
    </row>
    <row r="4806" s="1" customFormat="1" spans="1:8">
      <c r="A4806" s="4" t="s">
        <v>205</v>
      </c>
      <c r="B4806" s="4" t="s">
        <v>57</v>
      </c>
      <c r="C4806" s="4" t="s">
        <v>77</v>
      </c>
      <c r="D4806" s="4" t="s">
        <v>9590</v>
      </c>
      <c r="E4806" s="4">
        <v>2805505</v>
      </c>
      <c r="F4806" s="4" t="s">
        <v>9591</v>
      </c>
      <c r="G4806" s="4" t="s">
        <v>243</v>
      </c>
      <c r="H4806" s="4"/>
    </row>
    <row r="4807" s="1" customFormat="1" spans="1:8">
      <c r="A4807" s="4" t="s">
        <v>205</v>
      </c>
      <c r="B4807" s="4" t="s">
        <v>57</v>
      </c>
      <c r="C4807" s="4" t="s">
        <v>77</v>
      </c>
      <c r="D4807" s="4" t="s">
        <v>9592</v>
      </c>
      <c r="E4807" s="4">
        <v>2807501</v>
      </c>
      <c r="F4807" s="4" t="s">
        <v>9593</v>
      </c>
      <c r="G4807" s="4" t="s">
        <v>243</v>
      </c>
      <c r="H4807" s="4"/>
    </row>
    <row r="4808" s="1" customFormat="1" spans="1:8">
      <c r="A4808" s="4" t="s">
        <v>205</v>
      </c>
      <c r="B4808" s="4" t="s">
        <v>79</v>
      </c>
      <c r="C4808" s="4" t="s">
        <v>86</v>
      </c>
      <c r="D4808" s="4" t="s">
        <v>87</v>
      </c>
      <c r="E4808" s="4">
        <v>3550308</v>
      </c>
      <c r="F4808" s="4" t="s">
        <v>9594</v>
      </c>
      <c r="G4808" s="4" t="s">
        <v>207</v>
      </c>
      <c r="H4808" s="13"/>
    </row>
    <row r="4809" s="1" customFormat="1" spans="1:8">
      <c r="A4809" s="4" t="s">
        <v>205</v>
      </c>
      <c r="B4809" s="4" t="s">
        <v>79</v>
      </c>
      <c r="C4809" s="4" t="s">
        <v>86</v>
      </c>
      <c r="D4809" s="4" t="s">
        <v>87</v>
      </c>
      <c r="E4809" s="4">
        <v>3550308</v>
      </c>
      <c r="F4809" s="4" t="s">
        <v>9595</v>
      </c>
      <c r="G4809" s="4" t="s">
        <v>207</v>
      </c>
      <c r="H4809" s="13"/>
    </row>
    <row r="4810" s="1" customFormat="1" spans="1:8">
      <c r="A4810" s="4" t="s">
        <v>205</v>
      </c>
      <c r="B4810" s="4" t="s">
        <v>79</v>
      </c>
      <c r="C4810" s="4" t="s">
        <v>86</v>
      </c>
      <c r="D4810" s="4" t="s">
        <v>9596</v>
      </c>
      <c r="E4810" s="4">
        <v>3503901</v>
      </c>
      <c r="F4810" s="4" t="s">
        <v>9597</v>
      </c>
      <c r="G4810" s="4" t="s">
        <v>210</v>
      </c>
      <c r="H4810" s="13"/>
    </row>
    <row r="4811" s="1" customFormat="1" spans="1:8">
      <c r="A4811" s="4" t="s">
        <v>205</v>
      </c>
      <c r="B4811" s="4" t="s">
        <v>79</v>
      </c>
      <c r="C4811" s="4" t="s">
        <v>86</v>
      </c>
      <c r="D4811" s="4" t="s">
        <v>9598</v>
      </c>
      <c r="E4811" s="4">
        <v>3505708</v>
      </c>
      <c r="F4811" s="4" t="s">
        <v>9599</v>
      </c>
      <c r="G4811" s="4" t="s">
        <v>210</v>
      </c>
      <c r="H4811" s="13"/>
    </row>
    <row r="4812" s="1" customFormat="1" spans="1:8">
      <c r="A4812" s="4" t="s">
        <v>205</v>
      </c>
      <c r="B4812" s="4" t="s">
        <v>79</v>
      </c>
      <c r="C4812" s="4" t="s">
        <v>86</v>
      </c>
      <c r="D4812" s="4" t="s">
        <v>9600</v>
      </c>
      <c r="E4812" s="4">
        <v>3509007</v>
      </c>
      <c r="F4812" s="4" t="s">
        <v>9601</v>
      </c>
      <c r="G4812" s="4" t="s">
        <v>210</v>
      </c>
      <c r="H4812" s="13"/>
    </row>
    <row r="4813" s="1" customFormat="1" spans="1:8">
      <c r="A4813" s="4" t="s">
        <v>205</v>
      </c>
      <c r="B4813" s="4" t="s">
        <v>79</v>
      </c>
      <c r="C4813" s="4" t="s">
        <v>86</v>
      </c>
      <c r="D4813" s="4" t="s">
        <v>9602</v>
      </c>
      <c r="E4813" s="4">
        <v>3510609</v>
      </c>
      <c r="F4813" s="4" t="s">
        <v>9603</v>
      </c>
      <c r="G4813" s="4" t="s">
        <v>210</v>
      </c>
      <c r="H4813" s="13"/>
    </row>
    <row r="4814" s="1" customFormat="1" spans="1:8">
      <c r="A4814" s="4" t="s">
        <v>205</v>
      </c>
      <c r="B4814" s="4" t="s">
        <v>79</v>
      </c>
      <c r="C4814" s="4" t="s">
        <v>86</v>
      </c>
      <c r="D4814" s="4" t="s">
        <v>9604</v>
      </c>
      <c r="E4814" s="4">
        <v>3513801</v>
      </c>
      <c r="F4814" s="4" t="s">
        <v>9605</v>
      </c>
      <c r="G4814" s="4" t="s">
        <v>210</v>
      </c>
      <c r="H4814" s="13"/>
    </row>
    <row r="4815" s="1" customFormat="1" spans="1:8">
      <c r="A4815" s="4" t="s">
        <v>205</v>
      </c>
      <c r="B4815" s="4" t="s">
        <v>79</v>
      </c>
      <c r="C4815" s="4" t="s">
        <v>86</v>
      </c>
      <c r="D4815" s="4" t="s">
        <v>9606</v>
      </c>
      <c r="E4815" s="4">
        <v>3515004</v>
      </c>
      <c r="F4815" s="4" t="s">
        <v>9607</v>
      </c>
      <c r="G4815" s="4" t="s">
        <v>210</v>
      </c>
      <c r="H4815" s="13"/>
    </row>
    <row r="4816" s="1" customFormat="1" spans="1:8">
      <c r="A4816" s="4" t="s">
        <v>205</v>
      </c>
      <c r="B4816" s="4" t="s">
        <v>79</v>
      </c>
      <c r="C4816" s="4" t="s">
        <v>86</v>
      </c>
      <c r="D4816" s="4" t="s">
        <v>9608</v>
      </c>
      <c r="E4816" s="4">
        <v>3515707</v>
      </c>
      <c r="F4816" s="4" t="s">
        <v>9609</v>
      </c>
      <c r="G4816" s="4" t="s">
        <v>210</v>
      </c>
      <c r="H4816" s="13"/>
    </row>
    <row r="4817" s="1" customFormat="1" spans="1:8">
      <c r="A4817" s="4" t="s">
        <v>205</v>
      </c>
      <c r="B4817" s="4" t="s">
        <v>79</v>
      </c>
      <c r="C4817" s="4" t="s">
        <v>86</v>
      </c>
      <c r="D4817" s="4" t="s">
        <v>9610</v>
      </c>
      <c r="E4817" s="4">
        <v>3518800</v>
      </c>
      <c r="F4817" s="4" t="s">
        <v>9611</v>
      </c>
      <c r="G4817" s="4" t="s">
        <v>210</v>
      </c>
      <c r="H4817" s="13"/>
    </row>
    <row r="4818" s="1" customFormat="1" spans="1:8">
      <c r="A4818" s="4" t="s">
        <v>205</v>
      </c>
      <c r="B4818" s="4" t="s">
        <v>79</v>
      </c>
      <c r="C4818" s="4" t="s">
        <v>86</v>
      </c>
      <c r="D4818" s="4" t="s">
        <v>9612</v>
      </c>
      <c r="E4818" s="4">
        <v>3523107</v>
      </c>
      <c r="F4818" s="4" t="s">
        <v>9613</v>
      </c>
      <c r="G4818" s="4" t="s">
        <v>210</v>
      </c>
      <c r="H4818" s="13"/>
    </row>
    <row r="4819" s="1" customFormat="1" spans="1:8">
      <c r="A4819" s="4" t="s">
        <v>205</v>
      </c>
      <c r="B4819" s="4" t="s">
        <v>79</v>
      </c>
      <c r="C4819" s="4" t="s">
        <v>86</v>
      </c>
      <c r="D4819" s="4" t="s">
        <v>9614</v>
      </c>
      <c r="E4819" s="4">
        <v>3525003</v>
      </c>
      <c r="F4819" s="4" t="s">
        <v>9615</v>
      </c>
      <c r="G4819" s="4" t="s">
        <v>210</v>
      </c>
      <c r="H4819" s="13"/>
    </row>
    <row r="4820" s="1" customFormat="1" spans="1:8">
      <c r="A4820" s="4" t="s">
        <v>205</v>
      </c>
      <c r="B4820" s="4" t="s">
        <v>79</v>
      </c>
      <c r="C4820" s="4" t="s">
        <v>86</v>
      </c>
      <c r="D4820" s="4" t="s">
        <v>9616</v>
      </c>
      <c r="E4820" s="4">
        <v>3528502</v>
      </c>
      <c r="F4820" s="4" t="s">
        <v>9617</v>
      </c>
      <c r="G4820" s="4" t="s">
        <v>210</v>
      </c>
      <c r="H4820" s="13"/>
    </row>
    <row r="4821" s="1" customFormat="1" spans="1:8">
      <c r="A4821" s="4" t="s">
        <v>205</v>
      </c>
      <c r="B4821" s="4" t="s">
        <v>79</v>
      </c>
      <c r="C4821" s="4" t="s">
        <v>86</v>
      </c>
      <c r="D4821" s="4" t="s">
        <v>9618</v>
      </c>
      <c r="E4821" s="4">
        <v>3529401</v>
      </c>
      <c r="F4821" s="4" t="s">
        <v>9619</v>
      </c>
      <c r="G4821" s="4" t="s">
        <v>210</v>
      </c>
      <c r="H4821" s="13"/>
    </row>
    <row r="4822" s="1" customFormat="1" spans="1:8">
      <c r="A4822" s="4" t="s">
        <v>205</v>
      </c>
      <c r="B4822" s="4" t="s">
        <v>79</v>
      </c>
      <c r="C4822" s="4" t="s">
        <v>86</v>
      </c>
      <c r="D4822" s="4" t="s">
        <v>9620</v>
      </c>
      <c r="E4822" s="4">
        <v>3534401</v>
      </c>
      <c r="F4822" s="4" t="s">
        <v>9621</v>
      </c>
      <c r="G4822" s="4" t="s">
        <v>210</v>
      </c>
      <c r="H4822" s="13"/>
    </row>
    <row r="4823" s="1" customFormat="1" spans="1:8">
      <c r="A4823" s="4" t="s">
        <v>205</v>
      </c>
      <c r="B4823" s="4" t="s">
        <v>79</v>
      </c>
      <c r="C4823" s="4" t="s">
        <v>86</v>
      </c>
      <c r="D4823" s="4" t="s">
        <v>5576</v>
      </c>
      <c r="E4823" s="4">
        <v>3547809</v>
      </c>
      <c r="F4823" s="4" t="s">
        <v>9622</v>
      </c>
      <c r="G4823" s="4" t="s">
        <v>210</v>
      </c>
      <c r="H4823" s="13"/>
    </row>
    <row r="4824" s="1" customFormat="1" spans="1:8">
      <c r="A4824" s="4" t="s">
        <v>205</v>
      </c>
      <c r="B4824" s="4" t="s">
        <v>79</v>
      </c>
      <c r="C4824" s="4" t="s">
        <v>86</v>
      </c>
      <c r="D4824" s="4" t="s">
        <v>9623</v>
      </c>
      <c r="E4824" s="4">
        <v>3548708</v>
      </c>
      <c r="F4824" s="4" t="s">
        <v>9624</v>
      </c>
      <c r="G4824" s="4" t="s">
        <v>210</v>
      </c>
      <c r="H4824" s="13"/>
    </row>
    <row r="4825" s="1" customFormat="1" spans="1:8">
      <c r="A4825" s="4" t="s">
        <v>205</v>
      </c>
      <c r="B4825" s="4" t="s">
        <v>79</v>
      </c>
      <c r="C4825" s="4" t="s">
        <v>86</v>
      </c>
      <c r="D4825" s="4" t="s">
        <v>9625</v>
      </c>
      <c r="E4825" s="4">
        <v>3548807</v>
      </c>
      <c r="F4825" s="4" t="s">
        <v>9626</v>
      </c>
      <c r="G4825" s="4" t="s">
        <v>210</v>
      </c>
      <c r="H4825" s="13"/>
    </row>
    <row r="4826" s="1" customFormat="1" spans="1:8">
      <c r="A4826" s="4" t="s">
        <v>205</v>
      </c>
      <c r="B4826" s="4" t="s">
        <v>79</v>
      </c>
      <c r="C4826" s="4" t="s">
        <v>86</v>
      </c>
      <c r="D4826" s="4" t="s">
        <v>9627</v>
      </c>
      <c r="E4826" s="4">
        <v>3552809</v>
      </c>
      <c r="F4826" s="4" t="s">
        <v>9628</v>
      </c>
      <c r="G4826" s="4" t="s">
        <v>210</v>
      </c>
      <c r="H4826" s="13"/>
    </row>
    <row r="4827" s="1" customFormat="1" spans="1:8">
      <c r="A4827" s="4" t="s">
        <v>205</v>
      </c>
      <c r="B4827" s="4" t="s">
        <v>79</v>
      </c>
      <c r="C4827" s="4" t="s">
        <v>86</v>
      </c>
      <c r="D4827" s="4" t="s">
        <v>9629</v>
      </c>
      <c r="E4827" s="4">
        <v>3500303</v>
      </c>
      <c r="F4827" s="4" t="s">
        <v>9630</v>
      </c>
      <c r="G4827" s="4" t="s">
        <v>215</v>
      </c>
      <c r="H4827" s="13"/>
    </row>
    <row r="4828" s="1" customFormat="1" spans="1:8">
      <c r="A4828" s="4" t="s">
        <v>205</v>
      </c>
      <c r="B4828" s="4" t="s">
        <v>79</v>
      </c>
      <c r="C4828" s="4" t="s">
        <v>86</v>
      </c>
      <c r="D4828" s="4" t="s">
        <v>9631</v>
      </c>
      <c r="E4828" s="4">
        <v>3500758</v>
      </c>
      <c r="F4828" s="4" t="s">
        <v>9632</v>
      </c>
      <c r="G4828" s="4" t="s">
        <v>215</v>
      </c>
      <c r="H4828" s="13"/>
    </row>
    <row r="4829" s="1" customFormat="1" spans="1:8">
      <c r="A4829" s="4" t="s">
        <v>205</v>
      </c>
      <c r="B4829" s="4" t="s">
        <v>79</v>
      </c>
      <c r="C4829" s="4" t="s">
        <v>86</v>
      </c>
      <c r="D4829" s="4" t="s">
        <v>9633</v>
      </c>
      <c r="E4829" s="4">
        <v>3501152</v>
      </c>
      <c r="F4829" s="4" t="s">
        <v>9634</v>
      </c>
      <c r="G4829" s="4" t="s">
        <v>215</v>
      </c>
      <c r="H4829" s="13"/>
    </row>
    <row r="4830" s="1" customFormat="1" spans="1:8">
      <c r="A4830" s="4" t="s">
        <v>205</v>
      </c>
      <c r="B4830" s="4" t="s">
        <v>79</v>
      </c>
      <c r="C4830" s="4" t="s">
        <v>86</v>
      </c>
      <c r="D4830" s="4" t="s">
        <v>9635</v>
      </c>
      <c r="E4830" s="4">
        <v>3501608</v>
      </c>
      <c r="F4830" s="4" t="s">
        <v>9636</v>
      </c>
      <c r="G4830" s="4" t="s">
        <v>215</v>
      </c>
      <c r="H4830" s="13"/>
    </row>
    <row r="4831" s="1" customFormat="1" spans="1:8">
      <c r="A4831" s="4" t="s">
        <v>205</v>
      </c>
      <c r="B4831" s="4" t="s">
        <v>79</v>
      </c>
      <c r="C4831" s="4" t="s">
        <v>86</v>
      </c>
      <c r="D4831" s="4" t="s">
        <v>5492</v>
      </c>
      <c r="E4831" s="4">
        <v>3501905</v>
      </c>
      <c r="F4831" s="4" t="s">
        <v>9637</v>
      </c>
      <c r="G4831" s="4" t="s">
        <v>215</v>
      </c>
      <c r="H4831" s="13"/>
    </row>
    <row r="4832" s="1" customFormat="1" spans="1:8">
      <c r="A4832" s="4" t="s">
        <v>205</v>
      </c>
      <c r="B4832" s="4" t="s">
        <v>79</v>
      </c>
      <c r="C4832" s="4" t="s">
        <v>86</v>
      </c>
      <c r="D4832" s="4" t="s">
        <v>9638</v>
      </c>
      <c r="E4832" s="4">
        <v>3502002</v>
      </c>
      <c r="F4832" s="4" t="s">
        <v>9639</v>
      </c>
      <c r="G4832" s="4" t="s">
        <v>215</v>
      </c>
      <c r="H4832" s="13"/>
    </row>
    <row r="4833" s="1" customFormat="1" spans="1:8">
      <c r="A4833" s="4" t="s">
        <v>205</v>
      </c>
      <c r="B4833" s="4" t="s">
        <v>79</v>
      </c>
      <c r="C4833" s="4" t="s">
        <v>86</v>
      </c>
      <c r="D4833" s="4" t="s">
        <v>9640</v>
      </c>
      <c r="E4833" s="4">
        <v>3502200</v>
      </c>
      <c r="F4833" s="4" t="s">
        <v>9641</v>
      </c>
      <c r="G4833" s="4" t="s">
        <v>215</v>
      </c>
      <c r="H4833" s="13"/>
    </row>
    <row r="4834" s="1" customFormat="1" spans="1:8">
      <c r="A4834" s="4" t="s">
        <v>205</v>
      </c>
      <c r="B4834" s="4" t="s">
        <v>79</v>
      </c>
      <c r="C4834" s="4" t="s">
        <v>86</v>
      </c>
      <c r="D4834" s="4" t="s">
        <v>9642</v>
      </c>
      <c r="E4834" s="4">
        <v>3502309</v>
      </c>
      <c r="F4834" s="4" t="s">
        <v>9643</v>
      </c>
      <c r="G4834" s="4" t="s">
        <v>215</v>
      </c>
      <c r="H4834" s="13"/>
    </row>
    <row r="4835" s="1" customFormat="1" spans="1:8">
      <c r="A4835" s="4" t="s">
        <v>205</v>
      </c>
      <c r="B4835" s="4" t="s">
        <v>79</v>
      </c>
      <c r="C4835" s="4" t="s">
        <v>86</v>
      </c>
      <c r="D4835" s="4" t="s">
        <v>5619</v>
      </c>
      <c r="E4835" s="4">
        <v>3502507</v>
      </c>
      <c r="F4835" s="4" t="s">
        <v>9644</v>
      </c>
      <c r="G4835" s="4" t="s">
        <v>215</v>
      </c>
      <c r="H4835" s="13"/>
    </row>
    <row r="4836" s="1" customFormat="1" spans="1:8">
      <c r="A4836" s="4" t="s">
        <v>205</v>
      </c>
      <c r="B4836" s="4" t="s">
        <v>79</v>
      </c>
      <c r="C4836" s="4" t="s">
        <v>86</v>
      </c>
      <c r="D4836" s="4" t="s">
        <v>9645</v>
      </c>
      <c r="E4836" s="4">
        <v>3503307</v>
      </c>
      <c r="F4836" s="4" t="s">
        <v>9646</v>
      </c>
      <c r="G4836" s="4" t="s">
        <v>215</v>
      </c>
      <c r="H4836" s="13"/>
    </row>
    <row r="4837" s="1" customFormat="1" spans="1:8">
      <c r="A4837" s="4" t="s">
        <v>205</v>
      </c>
      <c r="B4837" s="4" t="s">
        <v>79</v>
      </c>
      <c r="C4837" s="4" t="s">
        <v>86</v>
      </c>
      <c r="D4837" s="4" t="s">
        <v>9647</v>
      </c>
      <c r="E4837" s="4">
        <v>3502754</v>
      </c>
      <c r="F4837" s="4" t="s">
        <v>9648</v>
      </c>
      <c r="G4837" s="4" t="s">
        <v>215</v>
      </c>
      <c r="H4837" s="13"/>
    </row>
    <row r="4838" s="1" customFormat="1" spans="1:8">
      <c r="A4838" s="4" t="s">
        <v>205</v>
      </c>
      <c r="B4838" s="4" t="s">
        <v>79</v>
      </c>
      <c r="C4838" s="4" t="s">
        <v>86</v>
      </c>
      <c r="D4838" s="4" t="s">
        <v>9649</v>
      </c>
      <c r="E4838" s="4">
        <v>3502903</v>
      </c>
      <c r="F4838" s="4" t="s">
        <v>9650</v>
      </c>
      <c r="G4838" s="4" t="s">
        <v>215</v>
      </c>
      <c r="H4838" s="13"/>
    </row>
    <row r="4839" s="1" customFormat="1" spans="1:8">
      <c r="A4839" s="4" t="s">
        <v>205</v>
      </c>
      <c r="B4839" s="4" t="s">
        <v>79</v>
      </c>
      <c r="C4839" s="4" t="s">
        <v>86</v>
      </c>
      <c r="D4839" s="4" t="s">
        <v>9651</v>
      </c>
      <c r="E4839" s="4">
        <v>3503356</v>
      </c>
      <c r="F4839" s="4" t="s">
        <v>9652</v>
      </c>
      <c r="G4839" s="4" t="s">
        <v>215</v>
      </c>
      <c r="H4839" s="13"/>
    </row>
    <row r="4840" s="1" customFormat="1" spans="1:8">
      <c r="A4840" s="4" t="s">
        <v>205</v>
      </c>
      <c r="B4840" s="4" t="s">
        <v>79</v>
      </c>
      <c r="C4840" s="4" t="s">
        <v>86</v>
      </c>
      <c r="D4840" s="4" t="s">
        <v>9653</v>
      </c>
      <c r="E4840" s="4">
        <v>3503505</v>
      </c>
      <c r="F4840" s="4" t="s">
        <v>9654</v>
      </c>
      <c r="G4840" s="4" t="s">
        <v>215</v>
      </c>
      <c r="H4840" s="13"/>
    </row>
    <row r="4841" s="1" customFormat="1" spans="1:8">
      <c r="A4841" s="4" t="s">
        <v>205</v>
      </c>
      <c r="B4841" s="4" t="s">
        <v>79</v>
      </c>
      <c r="C4841" s="4" t="s">
        <v>86</v>
      </c>
      <c r="D4841" s="4" t="s">
        <v>9655</v>
      </c>
      <c r="E4841" s="4">
        <v>3503802</v>
      </c>
      <c r="F4841" s="4" t="s">
        <v>9656</v>
      </c>
      <c r="G4841" s="4" t="s">
        <v>215</v>
      </c>
      <c r="H4841" s="13"/>
    </row>
    <row r="4842" s="1" customFormat="1" spans="1:8">
      <c r="A4842" s="4" t="s">
        <v>205</v>
      </c>
      <c r="B4842" s="4" t="s">
        <v>79</v>
      </c>
      <c r="C4842" s="4" t="s">
        <v>86</v>
      </c>
      <c r="D4842" s="4" t="s">
        <v>9657</v>
      </c>
      <c r="E4842" s="4">
        <v>3504107</v>
      </c>
      <c r="F4842" s="4" t="s">
        <v>9658</v>
      </c>
      <c r="G4842" s="4" t="s">
        <v>215</v>
      </c>
      <c r="H4842" s="13"/>
    </row>
    <row r="4843" s="1" customFormat="1" spans="1:8">
      <c r="A4843" s="4" t="s">
        <v>205</v>
      </c>
      <c r="B4843" s="4" t="s">
        <v>79</v>
      </c>
      <c r="C4843" s="4" t="s">
        <v>86</v>
      </c>
      <c r="D4843" s="4" t="s">
        <v>9659</v>
      </c>
      <c r="E4843" s="4">
        <v>3504503</v>
      </c>
      <c r="F4843" s="4" t="s">
        <v>9660</v>
      </c>
      <c r="G4843" s="4" t="s">
        <v>215</v>
      </c>
      <c r="H4843" s="13"/>
    </row>
    <row r="4844" s="1" customFormat="1" spans="1:8">
      <c r="A4844" s="4" t="s">
        <v>205</v>
      </c>
      <c r="B4844" s="4" t="s">
        <v>79</v>
      </c>
      <c r="C4844" s="4" t="s">
        <v>86</v>
      </c>
      <c r="D4844" s="4" t="s">
        <v>9661</v>
      </c>
      <c r="E4844" s="4">
        <v>3506359</v>
      </c>
      <c r="F4844" s="4" t="s">
        <v>9662</v>
      </c>
      <c r="G4844" s="4" t="s">
        <v>215</v>
      </c>
      <c r="H4844" s="13"/>
    </row>
    <row r="4845" s="1" customFormat="1" spans="1:8">
      <c r="A4845" s="4" t="s">
        <v>205</v>
      </c>
      <c r="B4845" s="4" t="s">
        <v>79</v>
      </c>
      <c r="C4845" s="4" t="s">
        <v>86</v>
      </c>
      <c r="D4845" s="7" t="s">
        <v>9663</v>
      </c>
      <c r="E4845" s="4">
        <v>3506607</v>
      </c>
      <c r="F4845" s="4" t="s">
        <v>9664</v>
      </c>
      <c r="G4845" s="4" t="s">
        <v>215</v>
      </c>
      <c r="H4845" s="13"/>
    </row>
    <row r="4846" s="1" customFormat="1" spans="1:8">
      <c r="A4846" s="4" t="s">
        <v>205</v>
      </c>
      <c r="B4846" s="4" t="s">
        <v>79</v>
      </c>
      <c r="C4846" s="4" t="s">
        <v>86</v>
      </c>
      <c r="D4846" s="4" t="s">
        <v>9665</v>
      </c>
      <c r="E4846" s="4">
        <v>3506904</v>
      </c>
      <c r="F4846" s="4" t="s">
        <v>9666</v>
      </c>
      <c r="G4846" s="4" t="s">
        <v>215</v>
      </c>
      <c r="H4846" s="13"/>
    </row>
    <row r="4847" s="1" customFormat="1" spans="1:8">
      <c r="A4847" s="4" t="s">
        <v>205</v>
      </c>
      <c r="B4847" s="4" t="s">
        <v>79</v>
      </c>
      <c r="C4847" s="4" t="s">
        <v>86</v>
      </c>
      <c r="D4847" s="4" t="s">
        <v>9667</v>
      </c>
      <c r="E4847" s="4">
        <v>3507001</v>
      </c>
      <c r="F4847" s="4" t="s">
        <v>9668</v>
      </c>
      <c r="G4847" s="4" t="s">
        <v>215</v>
      </c>
      <c r="H4847" s="13"/>
    </row>
    <row r="4848" s="1" customFormat="1" spans="1:8">
      <c r="A4848" s="4" t="s">
        <v>205</v>
      </c>
      <c r="B4848" s="4" t="s">
        <v>79</v>
      </c>
      <c r="C4848" s="4" t="s">
        <v>86</v>
      </c>
      <c r="D4848" s="4" t="s">
        <v>9669</v>
      </c>
      <c r="E4848" s="4">
        <v>3507100</v>
      </c>
      <c r="F4848" s="4" t="s">
        <v>9670</v>
      </c>
      <c r="G4848" s="4" t="s">
        <v>215</v>
      </c>
      <c r="H4848" s="13"/>
    </row>
    <row r="4849" s="1" customFormat="1" spans="1:8">
      <c r="A4849" s="4" t="s">
        <v>205</v>
      </c>
      <c r="B4849" s="4" t="s">
        <v>79</v>
      </c>
      <c r="C4849" s="4" t="s">
        <v>86</v>
      </c>
      <c r="D4849" s="4" t="s">
        <v>9671</v>
      </c>
      <c r="E4849" s="4">
        <v>3507506</v>
      </c>
      <c r="F4849" s="4" t="s">
        <v>9672</v>
      </c>
      <c r="G4849" s="4" t="s">
        <v>215</v>
      </c>
      <c r="H4849" s="13"/>
    </row>
    <row r="4850" s="1" customFormat="1" spans="1:8">
      <c r="A4850" s="4" t="s">
        <v>205</v>
      </c>
      <c r="B4850" s="4" t="s">
        <v>79</v>
      </c>
      <c r="C4850" s="4" t="s">
        <v>86</v>
      </c>
      <c r="D4850" s="4" t="s">
        <v>9673</v>
      </c>
      <c r="E4850" s="4">
        <v>3507605</v>
      </c>
      <c r="F4850" s="4" t="s">
        <v>9674</v>
      </c>
      <c r="G4850" s="4" t="s">
        <v>215</v>
      </c>
      <c r="H4850" s="13"/>
    </row>
    <row r="4851" s="1" customFormat="1" spans="1:8">
      <c r="A4851" s="4" t="s">
        <v>205</v>
      </c>
      <c r="B4851" s="4" t="s">
        <v>79</v>
      </c>
      <c r="C4851" s="4" t="s">
        <v>86</v>
      </c>
      <c r="D4851" s="4" t="s">
        <v>9675</v>
      </c>
      <c r="E4851" s="4">
        <v>3507902</v>
      </c>
      <c r="F4851" s="4" t="s">
        <v>9676</v>
      </c>
      <c r="G4851" s="4" t="s">
        <v>215</v>
      </c>
      <c r="H4851" s="13"/>
    </row>
    <row r="4852" s="1" customFormat="1" spans="1:8">
      <c r="A4852" s="4" t="s">
        <v>205</v>
      </c>
      <c r="B4852" s="4" t="s">
        <v>79</v>
      </c>
      <c r="C4852" s="4" t="s">
        <v>86</v>
      </c>
      <c r="D4852" s="4" t="s">
        <v>9677</v>
      </c>
      <c r="E4852" s="4">
        <v>3508009</v>
      </c>
      <c r="F4852" s="4" t="s">
        <v>9678</v>
      </c>
      <c r="G4852" s="4" t="s">
        <v>215</v>
      </c>
      <c r="H4852" s="13"/>
    </row>
    <row r="4853" s="1" customFormat="1" spans="1:8">
      <c r="A4853" s="4" t="s">
        <v>205</v>
      </c>
      <c r="B4853" s="4" t="s">
        <v>79</v>
      </c>
      <c r="C4853" s="4" t="s">
        <v>86</v>
      </c>
      <c r="D4853" s="4" t="s">
        <v>9679</v>
      </c>
      <c r="E4853" s="4">
        <v>3508405</v>
      </c>
      <c r="F4853" s="4" t="s">
        <v>9680</v>
      </c>
      <c r="G4853" s="4" t="s">
        <v>215</v>
      </c>
      <c r="H4853" s="13"/>
    </row>
    <row r="4854" s="1" customFormat="1" spans="1:8">
      <c r="A4854" s="4" t="s">
        <v>205</v>
      </c>
      <c r="B4854" s="4" t="s">
        <v>79</v>
      </c>
      <c r="C4854" s="4" t="s">
        <v>86</v>
      </c>
      <c r="D4854" s="4" t="s">
        <v>9681</v>
      </c>
      <c r="E4854" s="4">
        <v>3508603</v>
      </c>
      <c r="F4854" s="4" t="s">
        <v>9682</v>
      </c>
      <c r="G4854" s="4" t="s">
        <v>215</v>
      </c>
      <c r="H4854" s="13"/>
    </row>
    <row r="4855" s="1" customFormat="1" spans="1:8">
      <c r="A4855" s="4" t="s">
        <v>205</v>
      </c>
      <c r="B4855" s="4" t="s">
        <v>79</v>
      </c>
      <c r="C4855" s="4" t="s">
        <v>86</v>
      </c>
      <c r="D4855" s="4" t="s">
        <v>9683</v>
      </c>
      <c r="E4855" s="4">
        <v>3509205</v>
      </c>
      <c r="F4855" s="4" t="s">
        <v>9684</v>
      </c>
      <c r="G4855" s="4" t="s">
        <v>215</v>
      </c>
      <c r="H4855" s="13"/>
    </row>
    <row r="4856" s="1" customFormat="1" spans="1:8">
      <c r="A4856" s="4" t="s">
        <v>205</v>
      </c>
      <c r="B4856" s="4" t="s">
        <v>79</v>
      </c>
      <c r="C4856" s="4" t="s">
        <v>86</v>
      </c>
      <c r="D4856" s="4" t="s">
        <v>9685</v>
      </c>
      <c r="E4856" s="4">
        <v>3509254</v>
      </c>
      <c r="F4856" s="4" t="s">
        <v>9686</v>
      </c>
      <c r="G4856" s="4" t="s">
        <v>215</v>
      </c>
      <c r="H4856" s="13"/>
    </row>
    <row r="4857" s="1" customFormat="1" spans="1:8">
      <c r="A4857" s="4" t="s">
        <v>205</v>
      </c>
      <c r="B4857" s="4" t="s">
        <v>79</v>
      </c>
      <c r="C4857" s="4" t="s">
        <v>86</v>
      </c>
      <c r="D4857" s="4" t="s">
        <v>9687</v>
      </c>
      <c r="E4857" s="4">
        <v>3509452</v>
      </c>
      <c r="F4857" s="4" t="s">
        <v>9688</v>
      </c>
      <c r="G4857" s="4" t="s">
        <v>215</v>
      </c>
      <c r="H4857" s="13"/>
    </row>
    <row r="4858" s="1" customFormat="1" spans="1:8">
      <c r="A4858" s="4" t="s">
        <v>205</v>
      </c>
      <c r="B4858" s="4" t="s">
        <v>79</v>
      </c>
      <c r="C4858" s="4" t="s">
        <v>86</v>
      </c>
      <c r="D4858" s="4" t="s">
        <v>9689</v>
      </c>
      <c r="E4858" s="4">
        <v>3509502</v>
      </c>
      <c r="F4858" s="4" t="s">
        <v>9690</v>
      </c>
      <c r="G4858" s="4" t="s">
        <v>215</v>
      </c>
      <c r="H4858" s="13"/>
    </row>
    <row r="4859" s="1" customFormat="1" spans="1:8">
      <c r="A4859" s="4" t="s">
        <v>205</v>
      </c>
      <c r="B4859" s="4" t="s">
        <v>79</v>
      </c>
      <c r="C4859" s="4" t="s">
        <v>86</v>
      </c>
      <c r="D4859" s="4" t="s">
        <v>9691</v>
      </c>
      <c r="E4859" s="4">
        <v>3509601</v>
      </c>
      <c r="F4859" s="4" t="s">
        <v>9692</v>
      </c>
      <c r="G4859" s="4" t="s">
        <v>215</v>
      </c>
      <c r="H4859" s="13"/>
    </row>
    <row r="4860" s="1" customFormat="1" spans="1:8">
      <c r="A4860" s="4" t="s">
        <v>205</v>
      </c>
      <c r="B4860" s="4" t="s">
        <v>79</v>
      </c>
      <c r="C4860" s="4" t="s">
        <v>86</v>
      </c>
      <c r="D4860" s="4" t="s">
        <v>9693</v>
      </c>
      <c r="E4860" s="4">
        <v>3509700</v>
      </c>
      <c r="F4860" s="4" t="s">
        <v>9694</v>
      </c>
      <c r="G4860" s="4" t="s">
        <v>215</v>
      </c>
      <c r="H4860" s="13"/>
    </row>
    <row r="4861" s="1" customFormat="1" spans="1:8">
      <c r="A4861" s="4" t="s">
        <v>205</v>
      </c>
      <c r="B4861" s="4" t="s">
        <v>79</v>
      </c>
      <c r="C4861" s="4" t="s">
        <v>86</v>
      </c>
      <c r="D4861" s="4" t="s">
        <v>9695</v>
      </c>
      <c r="E4861" s="4">
        <v>3509957</v>
      </c>
      <c r="F4861" s="4" t="s">
        <v>9696</v>
      </c>
      <c r="G4861" s="4" t="s">
        <v>215</v>
      </c>
      <c r="H4861" s="13"/>
    </row>
    <row r="4862" s="1" customFormat="1" spans="1:8">
      <c r="A4862" s="4" t="s">
        <v>205</v>
      </c>
      <c r="B4862" s="4" t="s">
        <v>79</v>
      </c>
      <c r="C4862" s="4" t="s">
        <v>86</v>
      </c>
      <c r="D4862" s="4" t="s">
        <v>9697</v>
      </c>
      <c r="E4862" s="4">
        <v>3510302</v>
      </c>
      <c r="F4862" s="4" t="s">
        <v>9698</v>
      </c>
      <c r="G4862" s="4" t="s">
        <v>215</v>
      </c>
      <c r="H4862" s="13"/>
    </row>
    <row r="4863" s="1" customFormat="1" spans="1:8">
      <c r="A4863" s="4" t="s">
        <v>205</v>
      </c>
      <c r="B4863" s="4" t="s">
        <v>79</v>
      </c>
      <c r="C4863" s="4" t="s">
        <v>86</v>
      </c>
      <c r="D4863" s="4" t="s">
        <v>9699</v>
      </c>
      <c r="E4863" s="4">
        <v>3510401</v>
      </c>
      <c r="F4863" s="4" t="s">
        <v>9700</v>
      </c>
      <c r="G4863" s="4" t="s">
        <v>215</v>
      </c>
      <c r="H4863" s="13"/>
    </row>
    <row r="4864" s="1" customFormat="1" spans="1:8">
      <c r="A4864" s="4" t="s">
        <v>205</v>
      </c>
      <c r="B4864" s="4" t="s">
        <v>79</v>
      </c>
      <c r="C4864" s="4" t="s">
        <v>86</v>
      </c>
      <c r="D4864" s="4" t="s">
        <v>9701</v>
      </c>
      <c r="E4864" s="4">
        <v>3510203</v>
      </c>
      <c r="F4864" s="4" t="s">
        <v>9702</v>
      </c>
      <c r="G4864" s="4" t="s">
        <v>215</v>
      </c>
      <c r="H4864" s="13"/>
    </row>
    <row r="4865" s="1" customFormat="1" spans="1:8">
      <c r="A4865" s="4" t="s">
        <v>205</v>
      </c>
      <c r="B4865" s="4" t="s">
        <v>79</v>
      </c>
      <c r="C4865" s="4" t="s">
        <v>86</v>
      </c>
      <c r="D4865" s="4" t="s">
        <v>9703</v>
      </c>
      <c r="E4865" s="4">
        <v>3510500</v>
      </c>
      <c r="F4865" s="4" t="s">
        <v>9704</v>
      </c>
      <c r="G4865" s="4" t="s">
        <v>215</v>
      </c>
      <c r="H4865" s="13"/>
    </row>
    <row r="4866" s="1" customFormat="1" spans="1:8">
      <c r="A4866" s="4" t="s">
        <v>205</v>
      </c>
      <c r="B4866" s="4" t="s">
        <v>79</v>
      </c>
      <c r="C4866" s="4" t="s">
        <v>86</v>
      </c>
      <c r="D4866" s="4" t="s">
        <v>9705</v>
      </c>
      <c r="E4866" s="4">
        <v>3510807</v>
      </c>
      <c r="F4866" s="4" t="s">
        <v>9706</v>
      </c>
      <c r="G4866" s="4" t="s">
        <v>215</v>
      </c>
      <c r="H4866" s="13"/>
    </row>
    <row r="4867" s="1" customFormat="1" spans="1:8">
      <c r="A4867" s="4" t="s">
        <v>205</v>
      </c>
      <c r="B4867" s="4" t="s">
        <v>79</v>
      </c>
      <c r="C4867" s="4" t="s">
        <v>86</v>
      </c>
      <c r="D4867" s="4" t="s">
        <v>9707</v>
      </c>
      <c r="E4867" s="4">
        <v>3508504</v>
      </c>
      <c r="F4867" s="4" t="s">
        <v>9708</v>
      </c>
      <c r="G4867" s="4" t="s">
        <v>215</v>
      </c>
      <c r="H4867" s="13"/>
    </row>
    <row r="4868" s="1" customFormat="1" spans="1:8">
      <c r="A4868" s="4" t="s">
        <v>205</v>
      </c>
      <c r="B4868" s="4" t="s">
        <v>79</v>
      </c>
      <c r="C4868" s="4" t="s">
        <v>86</v>
      </c>
      <c r="D4868" s="4" t="s">
        <v>9709</v>
      </c>
      <c r="E4868" s="4">
        <v>3511508</v>
      </c>
      <c r="F4868" s="4" t="s">
        <v>9710</v>
      </c>
      <c r="G4868" s="4" t="s">
        <v>215</v>
      </c>
      <c r="H4868" s="13"/>
    </row>
    <row r="4869" s="1" customFormat="1" spans="1:8">
      <c r="A4869" s="4" t="s">
        <v>205</v>
      </c>
      <c r="B4869" s="4" t="s">
        <v>79</v>
      </c>
      <c r="C4869" s="4" t="s">
        <v>86</v>
      </c>
      <c r="D4869" s="4" t="s">
        <v>9711</v>
      </c>
      <c r="E4869" s="4">
        <v>3511607</v>
      </c>
      <c r="F4869" s="4" t="s">
        <v>9712</v>
      </c>
      <c r="G4869" s="4" t="s">
        <v>215</v>
      </c>
      <c r="H4869" s="13"/>
    </row>
    <row r="4870" s="1" customFormat="1" spans="1:8">
      <c r="A4870" s="4" t="s">
        <v>205</v>
      </c>
      <c r="B4870" s="4" t="s">
        <v>79</v>
      </c>
      <c r="C4870" s="4" t="s">
        <v>86</v>
      </c>
      <c r="D4870" s="4" t="s">
        <v>9713</v>
      </c>
      <c r="E4870" s="4">
        <v>3511706</v>
      </c>
      <c r="F4870" s="4" t="s">
        <v>9714</v>
      </c>
      <c r="G4870" s="4" t="s">
        <v>215</v>
      </c>
      <c r="H4870" s="13"/>
    </row>
    <row r="4871" s="1" customFormat="1" spans="1:8">
      <c r="A4871" s="4" t="s">
        <v>205</v>
      </c>
      <c r="B4871" s="4" t="s">
        <v>79</v>
      </c>
      <c r="C4871" s="4" t="s">
        <v>86</v>
      </c>
      <c r="D4871" s="4" t="s">
        <v>9715</v>
      </c>
      <c r="E4871" s="4">
        <v>3512209</v>
      </c>
      <c r="F4871" s="4" t="s">
        <v>9716</v>
      </c>
      <c r="G4871" s="4" t="s">
        <v>215</v>
      </c>
      <c r="H4871" s="13"/>
    </row>
    <row r="4872" s="1" customFormat="1" spans="1:8">
      <c r="A4872" s="4" t="s">
        <v>205</v>
      </c>
      <c r="B4872" s="4" t="s">
        <v>79</v>
      </c>
      <c r="C4872" s="4" t="s">
        <v>86</v>
      </c>
      <c r="D4872" s="4" t="s">
        <v>9717</v>
      </c>
      <c r="E4872" s="4">
        <v>3512308</v>
      </c>
      <c r="F4872" s="4" t="s">
        <v>9718</v>
      </c>
      <c r="G4872" s="4" t="s">
        <v>215</v>
      </c>
      <c r="H4872" s="13"/>
    </row>
    <row r="4873" s="1" customFormat="1" spans="1:8">
      <c r="A4873" s="4" t="s">
        <v>205</v>
      </c>
      <c r="B4873" s="4" t="s">
        <v>79</v>
      </c>
      <c r="C4873" s="4" t="s">
        <v>86</v>
      </c>
      <c r="D4873" s="4" t="s">
        <v>9719</v>
      </c>
      <c r="E4873" s="4">
        <v>3512704</v>
      </c>
      <c r="F4873" s="4" t="s">
        <v>9720</v>
      </c>
      <c r="G4873" s="4" t="s">
        <v>215</v>
      </c>
      <c r="H4873" s="13"/>
    </row>
    <row r="4874" s="1" customFormat="1" spans="1:8">
      <c r="A4874" s="4" t="s">
        <v>205</v>
      </c>
      <c r="B4874" s="4" t="s">
        <v>79</v>
      </c>
      <c r="C4874" s="4" t="s">
        <v>86</v>
      </c>
      <c r="D4874" s="4" t="s">
        <v>9721</v>
      </c>
      <c r="E4874" s="4">
        <v>3512803</v>
      </c>
      <c r="F4874" s="4" t="s">
        <v>9722</v>
      </c>
      <c r="G4874" s="4" t="s">
        <v>215</v>
      </c>
      <c r="H4874" s="13"/>
    </row>
    <row r="4875" s="1" customFormat="1" spans="1:8">
      <c r="A4875" s="4" t="s">
        <v>205</v>
      </c>
      <c r="B4875" s="4" t="s">
        <v>79</v>
      </c>
      <c r="C4875" s="4" t="s">
        <v>86</v>
      </c>
      <c r="D4875" s="4" t="s">
        <v>9723</v>
      </c>
      <c r="E4875" s="4">
        <v>3513009</v>
      </c>
      <c r="F4875" s="4" t="s">
        <v>9724</v>
      </c>
      <c r="G4875" s="4" t="s">
        <v>215</v>
      </c>
      <c r="H4875" s="13"/>
    </row>
    <row r="4876" s="1" customFormat="1" spans="1:8">
      <c r="A4876" s="4" t="s">
        <v>205</v>
      </c>
      <c r="B4876" s="4" t="s">
        <v>79</v>
      </c>
      <c r="C4876" s="4" t="s">
        <v>86</v>
      </c>
      <c r="D4876" s="4" t="s">
        <v>1818</v>
      </c>
      <c r="E4876" s="4">
        <v>3513405</v>
      </c>
      <c r="F4876" s="4" t="s">
        <v>9725</v>
      </c>
      <c r="G4876" s="4" t="s">
        <v>215</v>
      </c>
      <c r="H4876" s="13"/>
    </row>
    <row r="4877" s="1" customFormat="1" spans="1:8">
      <c r="A4877" s="4" t="s">
        <v>205</v>
      </c>
      <c r="B4877" s="4" t="s">
        <v>79</v>
      </c>
      <c r="C4877" s="4" t="s">
        <v>86</v>
      </c>
      <c r="D4877" s="4" t="s">
        <v>9726</v>
      </c>
      <c r="E4877" s="4">
        <v>3513504</v>
      </c>
      <c r="F4877" s="4" t="s">
        <v>9727</v>
      </c>
      <c r="G4877" s="4" t="s">
        <v>215</v>
      </c>
      <c r="H4877" s="13"/>
    </row>
    <row r="4878" s="1" customFormat="1" spans="1:8">
      <c r="A4878" s="4" t="s">
        <v>205</v>
      </c>
      <c r="B4878" s="4" t="s">
        <v>79</v>
      </c>
      <c r="C4878" s="4" t="s">
        <v>86</v>
      </c>
      <c r="D4878" s="4" t="s">
        <v>9728</v>
      </c>
      <c r="E4878" s="4">
        <v>3513603</v>
      </c>
      <c r="F4878" s="4" t="s">
        <v>9729</v>
      </c>
      <c r="G4878" s="4" t="s">
        <v>215</v>
      </c>
      <c r="H4878" s="13"/>
    </row>
    <row r="4879" s="1" customFormat="1" spans="1:8">
      <c r="A4879" s="4" t="s">
        <v>205</v>
      </c>
      <c r="B4879" s="4" t="s">
        <v>79</v>
      </c>
      <c r="C4879" s="4" t="s">
        <v>86</v>
      </c>
      <c r="D4879" s="4" t="s">
        <v>9730</v>
      </c>
      <c r="E4879" s="4">
        <v>3513702</v>
      </c>
      <c r="F4879" s="4" t="s">
        <v>9731</v>
      </c>
      <c r="G4879" s="4" t="s">
        <v>215</v>
      </c>
      <c r="H4879" s="13"/>
    </row>
    <row r="4880" s="1" customFormat="1" spans="1:8">
      <c r="A4880" s="4" t="s">
        <v>205</v>
      </c>
      <c r="B4880" s="4" t="s">
        <v>79</v>
      </c>
      <c r="C4880" s="4" t="s">
        <v>86</v>
      </c>
      <c r="D4880" s="4" t="s">
        <v>9732</v>
      </c>
      <c r="E4880" s="4">
        <v>3514908</v>
      </c>
      <c r="F4880" s="4" t="s">
        <v>9733</v>
      </c>
      <c r="G4880" s="4" t="s">
        <v>215</v>
      </c>
      <c r="H4880" s="13"/>
    </row>
    <row r="4881" s="1" customFormat="1" spans="1:8">
      <c r="A4881" s="4" t="s">
        <v>205</v>
      </c>
      <c r="B4881" s="4" t="s">
        <v>79</v>
      </c>
      <c r="C4881" s="4" t="s">
        <v>86</v>
      </c>
      <c r="D4881" s="4" t="s">
        <v>9734</v>
      </c>
      <c r="E4881" s="4">
        <v>3515103</v>
      </c>
      <c r="F4881" s="4" t="s">
        <v>9735</v>
      </c>
      <c r="G4881" s="4" t="s">
        <v>215</v>
      </c>
      <c r="H4881" s="13"/>
    </row>
    <row r="4882" s="1" customFormat="1" spans="1:8">
      <c r="A4882" s="4" t="s">
        <v>205</v>
      </c>
      <c r="B4882" s="4" t="s">
        <v>79</v>
      </c>
      <c r="C4882" s="4" t="s">
        <v>86</v>
      </c>
      <c r="D4882" s="4" t="s">
        <v>9736</v>
      </c>
      <c r="E4882" s="4">
        <v>3515152</v>
      </c>
      <c r="F4882" s="4" t="s">
        <v>9737</v>
      </c>
      <c r="G4882" s="4" t="s">
        <v>215</v>
      </c>
      <c r="H4882" s="13"/>
    </row>
    <row r="4883" s="1" customFormat="1" spans="1:8">
      <c r="A4883" s="4" t="s">
        <v>205</v>
      </c>
      <c r="B4883" s="4" t="s">
        <v>79</v>
      </c>
      <c r="C4883" s="4" t="s">
        <v>86</v>
      </c>
      <c r="D4883" s="4" t="s">
        <v>9738</v>
      </c>
      <c r="E4883" s="4">
        <v>3515186</v>
      </c>
      <c r="F4883" s="4" t="s">
        <v>9739</v>
      </c>
      <c r="G4883" s="4" t="s">
        <v>215</v>
      </c>
      <c r="H4883" s="13"/>
    </row>
    <row r="4884" s="1" customFormat="1" spans="1:8">
      <c r="A4884" s="4" t="s">
        <v>205</v>
      </c>
      <c r="B4884" s="4" t="s">
        <v>79</v>
      </c>
      <c r="C4884" s="4" t="s">
        <v>86</v>
      </c>
      <c r="D4884" s="4" t="s">
        <v>9740</v>
      </c>
      <c r="E4884" s="4">
        <v>3557303</v>
      </c>
      <c r="F4884" s="4" t="s">
        <v>9741</v>
      </c>
      <c r="G4884" s="4" t="s">
        <v>215</v>
      </c>
      <c r="H4884" s="13"/>
    </row>
    <row r="4885" s="1" customFormat="1" spans="1:8">
      <c r="A4885" s="4" t="s">
        <v>205</v>
      </c>
      <c r="B4885" s="4" t="s">
        <v>79</v>
      </c>
      <c r="C4885" s="4" t="s">
        <v>86</v>
      </c>
      <c r="D4885" s="4" t="s">
        <v>9742</v>
      </c>
      <c r="E4885" s="4">
        <v>3516309</v>
      </c>
      <c r="F4885" s="4" t="s">
        <v>9743</v>
      </c>
      <c r="G4885" s="4" t="s">
        <v>215</v>
      </c>
      <c r="H4885" s="13"/>
    </row>
    <row r="4886" s="1" customFormat="1" spans="1:8">
      <c r="A4886" s="4" t="s">
        <v>205</v>
      </c>
      <c r="B4886" s="4" t="s">
        <v>79</v>
      </c>
      <c r="C4886" s="4" t="s">
        <v>86</v>
      </c>
      <c r="D4886" s="4" t="s">
        <v>9744</v>
      </c>
      <c r="E4886" s="4">
        <v>3516408</v>
      </c>
      <c r="F4886" s="4" t="s">
        <v>9745</v>
      </c>
      <c r="G4886" s="4" t="s">
        <v>215</v>
      </c>
      <c r="H4886" s="13"/>
    </row>
    <row r="4887" s="1" customFormat="1" spans="1:8">
      <c r="A4887" s="4" t="s">
        <v>205</v>
      </c>
      <c r="B4887" s="4" t="s">
        <v>79</v>
      </c>
      <c r="C4887" s="4" t="s">
        <v>86</v>
      </c>
      <c r="D4887" s="4" t="s">
        <v>9746</v>
      </c>
      <c r="E4887" s="4">
        <v>3517604</v>
      </c>
      <c r="F4887" s="4" t="s">
        <v>9747</v>
      </c>
      <c r="G4887" s="4" t="s">
        <v>215</v>
      </c>
      <c r="H4887" s="13"/>
    </row>
    <row r="4888" s="1" customFormat="1" spans="1:8">
      <c r="A4888" s="4" t="s">
        <v>205</v>
      </c>
      <c r="B4888" s="4" t="s">
        <v>79</v>
      </c>
      <c r="C4888" s="4" t="s">
        <v>86</v>
      </c>
      <c r="D4888" s="4" t="s">
        <v>9748</v>
      </c>
      <c r="E4888" s="4">
        <v>3518305</v>
      </c>
      <c r="F4888" s="4" t="s">
        <v>9749</v>
      </c>
      <c r="G4888" s="4" t="s">
        <v>215</v>
      </c>
      <c r="H4888" s="13"/>
    </row>
    <row r="4889" s="1" customFormat="1" spans="1:8">
      <c r="A4889" s="4" t="s">
        <v>205</v>
      </c>
      <c r="B4889" s="4" t="s">
        <v>79</v>
      </c>
      <c r="C4889" s="4" t="s">
        <v>86</v>
      </c>
      <c r="D4889" s="4" t="s">
        <v>9750</v>
      </c>
      <c r="E4889" s="4">
        <v>3518404</v>
      </c>
      <c r="F4889" s="4" t="s">
        <v>9751</v>
      </c>
      <c r="G4889" s="4" t="s">
        <v>215</v>
      </c>
      <c r="H4889" s="13"/>
    </row>
    <row r="4890" s="1" customFormat="1" spans="1:8">
      <c r="A4890" s="4" t="s">
        <v>205</v>
      </c>
      <c r="B4890" s="4" t="s">
        <v>79</v>
      </c>
      <c r="C4890" s="4" t="s">
        <v>86</v>
      </c>
      <c r="D4890" s="4" t="s">
        <v>9752</v>
      </c>
      <c r="E4890" s="4">
        <v>3518503</v>
      </c>
      <c r="F4890" s="4" t="s">
        <v>9753</v>
      </c>
      <c r="G4890" s="4" t="s">
        <v>215</v>
      </c>
      <c r="H4890" s="13"/>
    </row>
    <row r="4891" s="1" customFormat="1" spans="1:8">
      <c r="A4891" s="4" t="s">
        <v>205</v>
      </c>
      <c r="B4891" s="4" t="s">
        <v>79</v>
      </c>
      <c r="C4891" s="4" t="s">
        <v>86</v>
      </c>
      <c r="D4891" s="4" t="s">
        <v>9754</v>
      </c>
      <c r="E4891" s="4">
        <v>3518701</v>
      </c>
      <c r="F4891" s="4" t="s">
        <v>9755</v>
      </c>
      <c r="G4891" s="4" t="s">
        <v>215</v>
      </c>
      <c r="H4891" s="13"/>
    </row>
    <row r="4892" s="1" customFormat="1" spans="1:8">
      <c r="A4892" s="4" t="s">
        <v>205</v>
      </c>
      <c r="B4892" s="4" t="s">
        <v>79</v>
      </c>
      <c r="C4892" s="4" t="s">
        <v>86</v>
      </c>
      <c r="D4892" s="4" t="s">
        <v>1822</v>
      </c>
      <c r="E4892" s="4">
        <v>3517703</v>
      </c>
      <c r="F4892" s="4" t="s">
        <v>9756</v>
      </c>
      <c r="G4892" s="4" t="s">
        <v>215</v>
      </c>
      <c r="H4892" s="13"/>
    </row>
    <row r="4893" s="1" customFormat="1" spans="1:8">
      <c r="A4893" s="4" t="s">
        <v>205</v>
      </c>
      <c r="B4893" s="4" t="s">
        <v>79</v>
      </c>
      <c r="C4893" s="4" t="s">
        <v>86</v>
      </c>
      <c r="D4893" s="4" t="s">
        <v>9757</v>
      </c>
      <c r="E4893" s="4">
        <v>3519055</v>
      </c>
      <c r="F4893" s="4" t="s">
        <v>9758</v>
      </c>
      <c r="G4893" s="4" t="s">
        <v>215</v>
      </c>
      <c r="H4893" s="13"/>
    </row>
    <row r="4894" s="1" customFormat="1" spans="1:8">
      <c r="A4894" s="4" t="s">
        <v>205</v>
      </c>
      <c r="B4894" s="4" t="s">
        <v>79</v>
      </c>
      <c r="C4894" s="4" t="s">
        <v>86</v>
      </c>
      <c r="D4894" s="4" t="s">
        <v>9759</v>
      </c>
      <c r="E4894" s="4">
        <v>3519071</v>
      </c>
      <c r="F4894" s="4" t="s">
        <v>9760</v>
      </c>
      <c r="G4894" s="4" t="s">
        <v>215</v>
      </c>
      <c r="H4894" s="13"/>
    </row>
    <row r="4895" s="1" customFormat="1" spans="1:8">
      <c r="A4895" s="4" t="s">
        <v>205</v>
      </c>
      <c r="B4895" s="4" t="s">
        <v>79</v>
      </c>
      <c r="C4895" s="4" t="s">
        <v>86</v>
      </c>
      <c r="D4895" s="4" t="s">
        <v>9761</v>
      </c>
      <c r="E4895" s="4">
        <v>3519253</v>
      </c>
      <c r="F4895" s="4" t="s">
        <v>9762</v>
      </c>
      <c r="G4895" s="4" t="s">
        <v>215</v>
      </c>
      <c r="H4895" s="13"/>
    </row>
    <row r="4896" s="1" customFormat="1" spans="1:8">
      <c r="A4896" s="4" t="s">
        <v>205</v>
      </c>
      <c r="B4896" s="4" t="s">
        <v>79</v>
      </c>
      <c r="C4896" s="4" t="s">
        <v>86</v>
      </c>
      <c r="D4896" s="4" t="s">
        <v>9763</v>
      </c>
      <c r="E4896" s="4">
        <v>3519303</v>
      </c>
      <c r="F4896" s="4" t="s">
        <v>9764</v>
      </c>
      <c r="G4896" s="4" t="s">
        <v>215</v>
      </c>
      <c r="H4896" s="13"/>
    </row>
    <row r="4897" s="1" customFormat="1" spans="1:8">
      <c r="A4897" s="4" t="s">
        <v>205</v>
      </c>
      <c r="B4897" s="4" t="s">
        <v>79</v>
      </c>
      <c r="C4897" s="4" t="s">
        <v>86</v>
      </c>
      <c r="D4897" s="4" t="s">
        <v>9765</v>
      </c>
      <c r="E4897" s="4">
        <v>3519709</v>
      </c>
      <c r="F4897" s="4" t="s">
        <v>9766</v>
      </c>
      <c r="G4897" s="4" t="s">
        <v>215</v>
      </c>
      <c r="H4897" s="13"/>
    </row>
    <row r="4898" s="1" customFormat="1" spans="1:8">
      <c r="A4898" s="4" t="s">
        <v>205</v>
      </c>
      <c r="B4898" s="4" t="s">
        <v>79</v>
      </c>
      <c r="C4898" s="4" t="s">
        <v>86</v>
      </c>
      <c r="D4898" s="4" t="s">
        <v>9767</v>
      </c>
      <c r="E4898" s="4">
        <v>3520202</v>
      </c>
      <c r="F4898" s="4" t="s">
        <v>9768</v>
      </c>
      <c r="G4898" s="4" t="s">
        <v>215</v>
      </c>
      <c r="H4898" s="13"/>
    </row>
    <row r="4899" s="1" customFormat="1" spans="1:8">
      <c r="A4899" s="4" t="s">
        <v>205</v>
      </c>
      <c r="B4899" s="4" t="s">
        <v>79</v>
      </c>
      <c r="C4899" s="4" t="s">
        <v>86</v>
      </c>
      <c r="D4899" s="4" t="s">
        <v>9769</v>
      </c>
      <c r="E4899" s="4">
        <v>3520301</v>
      </c>
      <c r="F4899" s="4" t="s">
        <v>9770</v>
      </c>
      <c r="G4899" s="4" t="s">
        <v>215</v>
      </c>
      <c r="H4899" s="13"/>
    </row>
    <row r="4900" s="1" customFormat="1" spans="1:8">
      <c r="A4900" s="4" t="s">
        <v>205</v>
      </c>
      <c r="B4900" s="4" t="s">
        <v>79</v>
      </c>
      <c r="C4900" s="4" t="s">
        <v>86</v>
      </c>
      <c r="D4900" s="4" t="s">
        <v>9771</v>
      </c>
      <c r="E4900" s="4">
        <v>3520426</v>
      </c>
      <c r="F4900" s="4" t="s">
        <v>9772</v>
      </c>
      <c r="G4900" s="4" t="s">
        <v>215</v>
      </c>
      <c r="H4900" s="13"/>
    </row>
    <row r="4901" s="1" customFormat="1" spans="1:8">
      <c r="A4901" s="4" t="s">
        <v>205</v>
      </c>
      <c r="B4901" s="4" t="s">
        <v>79</v>
      </c>
      <c r="C4901" s="4" t="s">
        <v>86</v>
      </c>
      <c r="D4901" s="4" t="s">
        <v>9773</v>
      </c>
      <c r="E4901" s="4">
        <v>3520400</v>
      </c>
      <c r="F4901" s="4" t="s">
        <v>9774</v>
      </c>
      <c r="G4901" s="4" t="s">
        <v>215</v>
      </c>
      <c r="H4901" s="13"/>
    </row>
    <row r="4902" s="1" customFormat="1" spans="1:8">
      <c r="A4902" s="4" t="s">
        <v>205</v>
      </c>
      <c r="B4902" s="4" t="s">
        <v>79</v>
      </c>
      <c r="C4902" s="4" t="s">
        <v>86</v>
      </c>
      <c r="D4902" s="4" t="s">
        <v>9775</v>
      </c>
      <c r="E4902" s="4">
        <v>3520509</v>
      </c>
      <c r="F4902" s="4" t="s">
        <v>9776</v>
      </c>
      <c r="G4902" s="4" t="s">
        <v>215</v>
      </c>
      <c r="H4902" s="13"/>
    </row>
    <row r="4903" s="1" customFormat="1" spans="1:8">
      <c r="A4903" s="4" t="s">
        <v>205</v>
      </c>
      <c r="B4903" s="4" t="s">
        <v>79</v>
      </c>
      <c r="C4903" s="4" t="s">
        <v>86</v>
      </c>
      <c r="D4903" s="4" t="s">
        <v>9777</v>
      </c>
      <c r="E4903" s="4">
        <v>3521002</v>
      </c>
      <c r="F4903" s="4" t="s">
        <v>9778</v>
      </c>
      <c r="G4903" s="4" t="s">
        <v>215</v>
      </c>
      <c r="H4903" s="13"/>
    </row>
    <row r="4904" s="1" customFormat="1" spans="1:8">
      <c r="A4904" s="4" t="s">
        <v>205</v>
      </c>
      <c r="B4904" s="4" t="s">
        <v>79</v>
      </c>
      <c r="C4904" s="4" t="s">
        <v>86</v>
      </c>
      <c r="D4904" s="4" t="s">
        <v>9779</v>
      </c>
      <c r="E4904" s="4">
        <v>3521101</v>
      </c>
      <c r="F4904" s="4" t="s">
        <v>9780</v>
      </c>
      <c r="G4904" s="4" t="s">
        <v>215</v>
      </c>
      <c r="H4904" s="13"/>
    </row>
    <row r="4905" s="1" customFormat="1" spans="1:8">
      <c r="A4905" s="4" t="s">
        <v>205</v>
      </c>
      <c r="B4905" s="4" t="s">
        <v>79</v>
      </c>
      <c r="C4905" s="4" t="s">
        <v>86</v>
      </c>
      <c r="D4905" s="4" t="s">
        <v>9781</v>
      </c>
      <c r="E4905" s="4">
        <v>3521408</v>
      </c>
      <c r="F4905" s="4" t="s">
        <v>9782</v>
      </c>
      <c r="G4905" s="4" t="s">
        <v>215</v>
      </c>
      <c r="H4905" s="13"/>
    </row>
    <row r="4906" s="1" customFormat="1" spans="1:8">
      <c r="A4906" s="4" t="s">
        <v>205</v>
      </c>
      <c r="B4906" s="4" t="s">
        <v>79</v>
      </c>
      <c r="C4906" s="4" t="s">
        <v>86</v>
      </c>
      <c r="D4906" s="4" t="s">
        <v>9783</v>
      </c>
      <c r="E4906" s="4">
        <v>3522109</v>
      </c>
      <c r="F4906" s="4" t="s">
        <v>9784</v>
      </c>
      <c r="G4906" s="4" t="s">
        <v>215</v>
      </c>
      <c r="H4906" s="13"/>
    </row>
    <row r="4907" s="1" customFormat="1" spans="1:8">
      <c r="A4907" s="4" t="s">
        <v>205</v>
      </c>
      <c r="B4907" s="4" t="s">
        <v>79</v>
      </c>
      <c r="C4907" s="4" t="s">
        <v>86</v>
      </c>
      <c r="D4907" s="4" t="s">
        <v>9785</v>
      </c>
      <c r="E4907" s="4">
        <v>3522208</v>
      </c>
      <c r="F4907" s="4" t="s">
        <v>9786</v>
      </c>
      <c r="G4907" s="4" t="s">
        <v>215</v>
      </c>
      <c r="H4907" s="13"/>
    </row>
    <row r="4908" s="1" customFormat="1" spans="1:8">
      <c r="A4908" s="4" t="s">
        <v>205</v>
      </c>
      <c r="B4908" s="4" t="s">
        <v>79</v>
      </c>
      <c r="C4908" s="4" t="s">
        <v>86</v>
      </c>
      <c r="D4908" s="4" t="s">
        <v>9787</v>
      </c>
      <c r="E4908" s="4">
        <v>3522307</v>
      </c>
      <c r="F4908" s="4" t="s">
        <v>9788</v>
      </c>
      <c r="G4908" s="4" t="s">
        <v>215</v>
      </c>
      <c r="H4908" s="13"/>
    </row>
    <row r="4909" s="1" customFormat="1" spans="1:8">
      <c r="A4909" s="4" t="s">
        <v>205</v>
      </c>
      <c r="B4909" s="4" t="s">
        <v>79</v>
      </c>
      <c r="C4909" s="4" t="s">
        <v>86</v>
      </c>
      <c r="D4909" s="4" t="s">
        <v>9789</v>
      </c>
      <c r="E4909" s="4">
        <v>3522505</v>
      </c>
      <c r="F4909" s="4" t="s">
        <v>9790</v>
      </c>
      <c r="G4909" s="4" t="s">
        <v>215</v>
      </c>
      <c r="H4909" s="13"/>
    </row>
    <row r="4910" s="1" customFormat="1" spans="1:8">
      <c r="A4910" s="4" t="s">
        <v>205</v>
      </c>
      <c r="B4910" s="4" t="s">
        <v>79</v>
      </c>
      <c r="C4910" s="4" t="s">
        <v>86</v>
      </c>
      <c r="D4910" s="4" t="s">
        <v>9791</v>
      </c>
      <c r="E4910" s="4">
        <v>3522604</v>
      </c>
      <c r="F4910" s="4" t="s">
        <v>9792</v>
      </c>
      <c r="G4910" s="4" t="s">
        <v>215</v>
      </c>
      <c r="H4910" s="13"/>
    </row>
    <row r="4911" s="1" customFormat="1" spans="1:8">
      <c r="A4911" s="4" t="s">
        <v>205</v>
      </c>
      <c r="B4911" s="4" t="s">
        <v>79</v>
      </c>
      <c r="C4911" s="4" t="s">
        <v>86</v>
      </c>
      <c r="D4911" s="4" t="s">
        <v>9793</v>
      </c>
      <c r="E4911" s="4">
        <v>3523305</v>
      </c>
      <c r="F4911" s="4" t="s">
        <v>9794</v>
      </c>
      <c r="G4911" s="4" t="s">
        <v>215</v>
      </c>
      <c r="H4911" s="13"/>
    </row>
    <row r="4912" s="1" customFormat="1" spans="1:8">
      <c r="A4912" s="4" t="s">
        <v>205</v>
      </c>
      <c r="B4912" s="4" t="s">
        <v>79</v>
      </c>
      <c r="C4912" s="4" t="s">
        <v>86</v>
      </c>
      <c r="D4912" s="4" t="s">
        <v>9795</v>
      </c>
      <c r="E4912" s="4">
        <v>3523404</v>
      </c>
      <c r="F4912" s="4" t="s">
        <v>9796</v>
      </c>
      <c r="G4912" s="4" t="s">
        <v>215</v>
      </c>
      <c r="H4912" s="13"/>
    </row>
    <row r="4913" s="1" customFormat="1" spans="1:8">
      <c r="A4913" s="4" t="s">
        <v>205</v>
      </c>
      <c r="B4913" s="4" t="s">
        <v>79</v>
      </c>
      <c r="C4913" s="4" t="s">
        <v>86</v>
      </c>
      <c r="D4913" s="4" t="s">
        <v>9797</v>
      </c>
      <c r="E4913" s="4">
        <v>3523503</v>
      </c>
      <c r="F4913" s="4" t="s">
        <v>9798</v>
      </c>
      <c r="G4913" s="4" t="s">
        <v>215</v>
      </c>
      <c r="H4913" s="13"/>
    </row>
    <row r="4914" s="1" customFormat="1" spans="1:8">
      <c r="A4914" s="4" t="s">
        <v>205</v>
      </c>
      <c r="B4914" s="4" t="s">
        <v>79</v>
      </c>
      <c r="C4914" s="4" t="s">
        <v>86</v>
      </c>
      <c r="D4914" s="4" t="s">
        <v>9799</v>
      </c>
      <c r="E4914" s="4">
        <v>3523602</v>
      </c>
      <c r="F4914" s="4" t="s">
        <v>9800</v>
      </c>
      <c r="G4914" s="4" t="s">
        <v>215</v>
      </c>
      <c r="H4914" s="13"/>
    </row>
    <row r="4915" s="1" customFormat="1" spans="1:8">
      <c r="A4915" s="4" t="s">
        <v>205</v>
      </c>
      <c r="B4915" s="4" t="s">
        <v>79</v>
      </c>
      <c r="C4915" s="4" t="s">
        <v>86</v>
      </c>
      <c r="D4915" s="4" t="s">
        <v>9801</v>
      </c>
      <c r="E4915" s="4">
        <v>3523800</v>
      </c>
      <c r="F4915" s="4" t="s">
        <v>9802</v>
      </c>
      <c r="G4915" s="4" t="s">
        <v>215</v>
      </c>
      <c r="H4915" s="13"/>
    </row>
    <row r="4916" s="1" customFormat="1" spans="1:8">
      <c r="A4916" s="4" t="s">
        <v>205</v>
      </c>
      <c r="B4916" s="4" t="s">
        <v>79</v>
      </c>
      <c r="C4916" s="4" t="s">
        <v>86</v>
      </c>
      <c r="D4916" s="4" t="s">
        <v>9803</v>
      </c>
      <c r="E4916" s="4">
        <v>3523909</v>
      </c>
      <c r="F4916" s="4" t="s">
        <v>9804</v>
      </c>
      <c r="G4916" s="4" t="s">
        <v>215</v>
      </c>
      <c r="H4916" s="13"/>
    </row>
    <row r="4917" s="1" customFormat="1" spans="1:8">
      <c r="A4917" s="4" t="s">
        <v>205</v>
      </c>
      <c r="B4917" s="4" t="s">
        <v>79</v>
      </c>
      <c r="C4917" s="4" t="s">
        <v>86</v>
      </c>
      <c r="D4917" s="4" t="s">
        <v>9805</v>
      </c>
      <c r="E4917" s="4">
        <v>3524006</v>
      </c>
      <c r="F4917" s="4" t="s">
        <v>9806</v>
      </c>
      <c r="G4917" s="4" t="s">
        <v>215</v>
      </c>
      <c r="H4917" s="13"/>
    </row>
    <row r="4918" s="1" customFormat="1" spans="1:8">
      <c r="A4918" s="4" t="s">
        <v>205</v>
      </c>
      <c r="B4918" s="4" t="s">
        <v>79</v>
      </c>
      <c r="C4918" s="4" t="s">
        <v>86</v>
      </c>
      <c r="D4918" s="4" t="s">
        <v>9807</v>
      </c>
      <c r="E4918" s="4">
        <v>3524402</v>
      </c>
      <c r="F4918" s="4" t="s">
        <v>9808</v>
      </c>
      <c r="G4918" s="4" t="s">
        <v>215</v>
      </c>
      <c r="H4918" s="13"/>
    </row>
    <row r="4919" s="1" customFormat="1" spans="1:8">
      <c r="A4919" s="4" t="s">
        <v>205</v>
      </c>
      <c r="B4919" s="4" t="s">
        <v>79</v>
      </c>
      <c r="C4919" s="4" t="s">
        <v>86</v>
      </c>
      <c r="D4919" s="4" t="s">
        <v>9809</v>
      </c>
      <c r="E4919" s="4">
        <v>3524600</v>
      </c>
      <c r="F4919" s="4" t="s">
        <v>9810</v>
      </c>
      <c r="G4919" s="4" t="s">
        <v>215</v>
      </c>
      <c r="H4919" s="13"/>
    </row>
    <row r="4920" s="1" customFormat="1" spans="1:8">
      <c r="A4920" s="4" t="s">
        <v>205</v>
      </c>
      <c r="B4920" s="4" t="s">
        <v>79</v>
      </c>
      <c r="C4920" s="4" t="s">
        <v>86</v>
      </c>
      <c r="D4920" s="4" t="s">
        <v>9811</v>
      </c>
      <c r="E4920" s="4">
        <v>3524709</v>
      </c>
      <c r="F4920" s="4" t="s">
        <v>9812</v>
      </c>
      <c r="G4920" s="4" t="s">
        <v>215</v>
      </c>
      <c r="H4920" s="13"/>
    </row>
    <row r="4921" s="1" customFormat="1" spans="1:8">
      <c r="A4921" s="4" t="s">
        <v>205</v>
      </c>
      <c r="B4921" s="4" t="s">
        <v>79</v>
      </c>
      <c r="C4921" s="4" t="s">
        <v>86</v>
      </c>
      <c r="D4921" s="4" t="s">
        <v>9813</v>
      </c>
      <c r="E4921" s="4">
        <v>3524907</v>
      </c>
      <c r="F4921" s="4" t="s">
        <v>9814</v>
      </c>
      <c r="G4921" s="4" t="s">
        <v>215</v>
      </c>
      <c r="H4921" s="13"/>
    </row>
    <row r="4922" s="1" customFormat="1" spans="1:8">
      <c r="A4922" s="4" t="s">
        <v>205</v>
      </c>
      <c r="B4922" s="4" t="s">
        <v>79</v>
      </c>
      <c r="C4922" s="4" t="s">
        <v>86</v>
      </c>
      <c r="D4922" s="4" t="s">
        <v>9815</v>
      </c>
      <c r="E4922" s="4">
        <v>3525201</v>
      </c>
      <c r="F4922" s="4" t="s">
        <v>9816</v>
      </c>
      <c r="G4922" s="4" t="s">
        <v>215</v>
      </c>
      <c r="H4922" s="13"/>
    </row>
    <row r="4923" s="1" customFormat="1" spans="1:8">
      <c r="A4923" s="4" t="s">
        <v>205</v>
      </c>
      <c r="B4923" s="4" t="s">
        <v>79</v>
      </c>
      <c r="C4923" s="4" t="s">
        <v>86</v>
      </c>
      <c r="D4923" s="4" t="s">
        <v>9817</v>
      </c>
      <c r="E4923" s="4">
        <v>3525508</v>
      </c>
      <c r="F4923" s="4" t="s">
        <v>9818</v>
      </c>
      <c r="G4923" s="4" t="s">
        <v>215</v>
      </c>
      <c r="H4923" s="13"/>
    </row>
    <row r="4924" s="1" customFormat="1" spans="1:8">
      <c r="A4924" s="4" t="s">
        <v>205</v>
      </c>
      <c r="B4924" s="4" t="s">
        <v>79</v>
      </c>
      <c r="C4924" s="4" t="s">
        <v>86</v>
      </c>
      <c r="D4924" s="4" t="s">
        <v>9819</v>
      </c>
      <c r="E4924" s="4">
        <v>3525854</v>
      </c>
      <c r="F4924" s="4" t="s">
        <v>9820</v>
      </c>
      <c r="G4924" s="4" t="s">
        <v>215</v>
      </c>
      <c r="H4924" s="13"/>
    </row>
    <row r="4925" s="1" customFormat="1" spans="1:8">
      <c r="A4925" s="4" t="s">
        <v>205</v>
      </c>
      <c r="B4925" s="4" t="s">
        <v>79</v>
      </c>
      <c r="C4925" s="4" t="s">
        <v>86</v>
      </c>
      <c r="D4925" s="4" t="s">
        <v>9821</v>
      </c>
      <c r="E4925" s="4">
        <v>3525904</v>
      </c>
      <c r="F4925" s="4" t="s">
        <v>9822</v>
      </c>
      <c r="G4925" s="4" t="s">
        <v>215</v>
      </c>
      <c r="H4925" s="13"/>
    </row>
    <row r="4926" s="1" customFormat="1" spans="1:8">
      <c r="A4926" s="4" t="s">
        <v>205</v>
      </c>
      <c r="B4926" s="4" t="s">
        <v>79</v>
      </c>
      <c r="C4926" s="4" t="s">
        <v>86</v>
      </c>
      <c r="D4926" s="4" t="s">
        <v>9823</v>
      </c>
      <c r="E4926" s="4">
        <v>3526209</v>
      </c>
      <c r="F4926" s="4" t="s">
        <v>9824</v>
      </c>
      <c r="G4926" s="4" t="s">
        <v>215</v>
      </c>
      <c r="H4926" s="13"/>
    </row>
    <row r="4927" s="1" customFormat="1" spans="1:8">
      <c r="A4927" s="4" t="s">
        <v>205</v>
      </c>
      <c r="B4927" s="4" t="s">
        <v>79</v>
      </c>
      <c r="C4927" s="4" t="s">
        <v>86</v>
      </c>
      <c r="D4927" s="4" t="s">
        <v>9825</v>
      </c>
      <c r="E4927" s="4">
        <v>3526100</v>
      </c>
      <c r="F4927" s="4" t="s">
        <v>9826</v>
      </c>
      <c r="G4927" s="4" t="s">
        <v>215</v>
      </c>
      <c r="H4927" s="13"/>
    </row>
    <row r="4928" s="1" customFormat="1" spans="1:8">
      <c r="A4928" s="4" t="s">
        <v>205</v>
      </c>
      <c r="B4928" s="4" t="s">
        <v>79</v>
      </c>
      <c r="C4928" s="4" t="s">
        <v>86</v>
      </c>
      <c r="D4928" s="4" t="s">
        <v>9827</v>
      </c>
      <c r="E4928" s="4">
        <v>3526308</v>
      </c>
      <c r="F4928" s="4" t="s">
        <v>9828</v>
      </c>
      <c r="G4928" s="4" t="s">
        <v>215</v>
      </c>
      <c r="H4928" s="13"/>
    </row>
    <row r="4929" s="1" customFormat="1" spans="1:8">
      <c r="A4929" s="4" t="s">
        <v>205</v>
      </c>
      <c r="B4929" s="4" t="s">
        <v>79</v>
      </c>
      <c r="C4929" s="4" t="s">
        <v>86</v>
      </c>
      <c r="D4929" s="4" t="s">
        <v>9829</v>
      </c>
      <c r="E4929" s="4">
        <v>3526407</v>
      </c>
      <c r="F4929" s="4" t="s">
        <v>9830</v>
      </c>
      <c r="G4929" s="4" t="s">
        <v>215</v>
      </c>
      <c r="H4929" s="13"/>
    </row>
    <row r="4930" s="1" customFormat="1" spans="1:8">
      <c r="A4930" s="4" t="s">
        <v>205</v>
      </c>
      <c r="B4930" s="4" t="s">
        <v>79</v>
      </c>
      <c r="C4930" s="4" t="s">
        <v>86</v>
      </c>
      <c r="D4930" s="4" t="s">
        <v>9831</v>
      </c>
      <c r="E4930" s="4">
        <v>3526605</v>
      </c>
      <c r="F4930" s="4" t="s">
        <v>9832</v>
      </c>
      <c r="G4930" s="4" t="s">
        <v>215</v>
      </c>
      <c r="H4930" s="13"/>
    </row>
    <row r="4931" s="1" customFormat="1" spans="1:8">
      <c r="A4931" s="4" t="s">
        <v>205</v>
      </c>
      <c r="B4931" s="4" t="s">
        <v>79</v>
      </c>
      <c r="C4931" s="4" t="s">
        <v>86</v>
      </c>
      <c r="D4931" s="4" t="s">
        <v>9833</v>
      </c>
      <c r="E4931" s="4">
        <v>3526704</v>
      </c>
      <c r="F4931" s="4" t="s">
        <v>9834</v>
      </c>
      <c r="G4931" s="4" t="s">
        <v>215</v>
      </c>
      <c r="H4931" s="13"/>
    </row>
    <row r="4932" s="1" customFormat="1" spans="1:8">
      <c r="A4932" s="4" t="s">
        <v>205</v>
      </c>
      <c r="B4932" s="4" t="s">
        <v>79</v>
      </c>
      <c r="C4932" s="4" t="s">
        <v>86</v>
      </c>
      <c r="D4932" s="4" t="s">
        <v>9835</v>
      </c>
      <c r="E4932" s="4">
        <v>3526902</v>
      </c>
      <c r="F4932" s="4" t="s">
        <v>9836</v>
      </c>
      <c r="G4932" s="4" t="s">
        <v>215</v>
      </c>
      <c r="H4932" s="13"/>
    </row>
    <row r="4933" s="1" customFormat="1" spans="1:8">
      <c r="A4933" s="4" t="s">
        <v>205</v>
      </c>
      <c r="B4933" s="4" t="s">
        <v>79</v>
      </c>
      <c r="C4933" s="4" t="s">
        <v>86</v>
      </c>
      <c r="D4933" s="4" t="s">
        <v>9837</v>
      </c>
      <c r="E4933" s="4">
        <v>3527009</v>
      </c>
      <c r="F4933" s="4" t="s">
        <v>9838</v>
      </c>
      <c r="G4933" s="4" t="s">
        <v>215</v>
      </c>
      <c r="H4933" s="13"/>
    </row>
    <row r="4934" s="1" customFormat="1" spans="1:8">
      <c r="A4934" s="4" t="s">
        <v>205</v>
      </c>
      <c r="B4934" s="4" t="s">
        <v>79</v>
      </c>
      <c r="C4934" s="4" t="s">
        <v>86</v>
      </c>
      <c r="D4934" s="4" t="s">
        <v>9839</v>
      </c>
      <c r="E4934" s="4">
        <v>3527207</v>
      </c>
      <c r="F4934" s="4" t="s">
        <v>9840</v>
      </c>
      <c r="G4934" s="4" t="s">
        <v>215</v>
      </c>
      <c r="H4934" s="13"/>
    </row>
    <row r="4935" s="1" customFormat="1" spans="1:8">
      <c r="A4935" s="4" t="s">
        <v>205</v>
      </c>
      <c r="B4935" s="4" t="s">
        <v>79</v>
      </c>
      <c r="C4935" s="4" t="s">
        <v>86</v>
      </c>
      <c r="D4935" s="4" t="s">
        <v>9841</v>
      </c>
      <c r="E4935" s="4">
        <v>3527306</v>
      </c>
      <c r="F4935" s="4" t="s">
        <v>9842</v>
      </c>
      <c r="G4935" s="4" t="s">
        <v>215</v>
      </c>
      <c r="H4935" s="13"/>
    </row>
    <row r="4936" s="1" customFormat="1" spans="1:8">
      <c r="A4936" s="4" t="s">
        <v>205</v>
      </c>
      <c r="B4936" s="4" t="s">
        <v>79</v>
      </c>
      <c r="C4936" s="4" t="s">
        <v>86</v>
      </c>
      <c r="D4936" s="4" t="s">
        <v>9843</v>
      </c>
      <c r="E4936" s="4">
        <v>3528403</v>
      </c>
      <c r="F4936" s="4" t="s">
        <v>9844</v>
      </c>
      <c r="G4936" s="4" t="s">
        <v>215</v>
      </c>
      <c r="H4936" s="13"/>
    </row>
    <row r="4937" s="1" customFormat="1" spans="1:8">
      <c r="A4937" s="4" t="s">
        <v>205</v>
      </c>
      <c r="B4937" s="4" t="s">
        <v>79</v>
      </c>
      <c r="C4937" s="4" t="s">
        <v>86</v>
      </c>
      <c r="D4937" s="4" t="s">
        <v>9845</v>
      </c>
      <c r="E4937" s="4">
        <v>3529906</v>
      </c>
      <c r="F4937" s="4" t="s">
        <v>9846</v>
      </c>
      <c r="G4937" s="4" t="s">
        <v>215</v>
      </c>
      <c r="H4937" s="13"/>
    </row>
    <row r="4938" s="1" customFormat="1" spans="1:8">
      <c r="A4938" s="4" t="s">
        <v>205</v>
      </c>
      <c r="B4938" s="4" t="s">
        <v>79</v>
      </c>
      <c r="C4938" s="4" t="s">
        <v>86</v>
      </c>
      <c r="D4938" s="4" t="s">
        <v>9847</v>
      </c>
      <c r="E4938" s="4">
        <v>3530508</v>
      </c>
      <c r="F4938" s="4" t="s">
        <v>9848</v>
      </c>
      <c r="G4938" s="4" t="s">
        <v>215</v>
      </c>
      <c r="H4938" s="13"/>
    </row>
    <row r="4939" s="1" customFormat="1" spans="1:8">
      <c r="A4939" s="4" t="s">
        <v>205</v>
      </c>
      <c r="B4939" s="4" t="s">
        <v>79</v>
      </c>
      <c r="C4939" s="4" t="s">
        <v>86</v>
      </c>
      <c r="D4939" s="4" t="s">
        <v>9849</v>
      </c>
      <c r="E4939" s="4">
        <v>3530607</v>
      </c>
      <c r="F4939" s="4" t="s">
        <v>9850</v>
      </c>
      <c r="G4939" s="4" t="s">
        <v>215</v>
      </c>
      <c r="H4939" s="13"/>
    </row>
    <row r="4940" s="1" customFormat="1" spans="1:8">
      <c r="A4940" s="4" t="s">
        <v>205</v>
      </c>
      <c r="B4940" s="4" t="s">
        <v>79</v>
      </c>
      <c r="C4940" s="4" t="s">
        <v>86</v>
      </c>
      <c r="D4940" s="4" t="s">
        <v>9851</v>
      </c>
      <c r="E4940" s="4">
        <v>3530706</v>
      </c>
      <c r="F4940" s="4" t="s">
        <v>9852</v>
      </c>
      <c r="G4940" s="4" t="s">
        <v>215</v>
      </c>
      <c r="H4940" s="13"/>
    </row>
    <row r="4941" s="1" customFormat="1" spans="1:8">
      <c r="A4941" s="4" t="s">
        <v>205</v>
      </c>
      <c r="B4941" s="4" t="s">
        <v>79</v>
      </c>
      <c r="C4941" s="4" t="s">
        <v>86</v>
      </c>
      <c r="D4941" s="4" t="s">
        <v>9853</v>
      </c>
      <c r="E4941" s="4">
        <v>3530805</v>
      </c>
      <c r="F4941" s="4" t="s">
        <v>9854</v>
      </c>
      <c r="G4941" s="4" t="s">
        <v>215</v>
      </c>
      <c r="H4941" s="13"/>
    </row>
    <row r="4942" s="1" customFormat="1" spans="1:8">
      <c r="A4942" s="4" t="s">
        <v>205</v>
      </c>
      <c r="B4942" s="4" t="s">
        <v>79</v>
      </c>
      <c r="C4942" s="4" t="s">
        <v>86</v>
      </c>
      <c r="D4942" s="4" t="s">
        <v>9855</v>
      </c>
      <c r="E4942" s="4">
        <v>3530904</v>
      </c>
      <c r="F4942" s="4" t="s">
        <v>9856</v>
      </c>
      <c r="G4942" s="4" t="s">
        <v>215</v>
      </c>
      <c r="H4942" s="13"/>
    </row>
    <row r="4943" s="1" customFormat="1" spans="1:8">
      <c r="A4943" s="4" t="s">
        <v>205</v>
      </c>
      <c r="B4943" s="4" t="s">
        <v>79</v>
      </c>
      <c r="C4943" s="4" t="s">
        <v>86</v>
      </c>
      <c r="D4943" s="4" t="s">
        <v>9857</v>
      </c>
      <c r="E4943" s="4">
        <v>3531100</v>
      </c>
      <c r="F4943" s="4" t="s">
        <v>9858</v>
      </c>
      <c r="G4943" s="4" t="s">
        <v>215</v>
      </c>
      <c r="H4943" s="13"/>
    </row>
    <row r="4944" s="1" customFormat="1" spans="1:8">
      <c r="A4944" s="4" t="s">
        <v>205</v>
      </c>
      <c r="B4944" s="4" t="s">
        <v>79</v>
      </c>
      <c r="C4944" s="4" t="s">
        <v>86</v>
      </c>
      <c r="D4944" s="4" t="s">
        <v>9859</v>
      </c>
      <c r="E4944" s="4">
        <v>3531209</v>
      </c>
      <c r="F4944" s="4" t="s">
        <v>9860</v>
      </c>
      <c r="G4944" s="4" t="s">
        <v>215</v>
      </c>
      <c r="H4944" s="13"/>
    </row>
    <row r="4945" s="1" customFormat="1" spans="1:8">
      <c r="A4945" s="4" t="s">
        <v>205</v>
      </c>
      <c r="B4945" s="4" t="s">
        <v>79</v>
      </c>
      <c r="C4945" s="4" t="s">
        <v>86</v>
      </c>
      <c r="D4945" s="4" t="s">
        <v>9861</v>
      </c>
      <c r="E4945" s="4">
        <v>3531803</v>
      </c>
      <c r="F4945" s="4" t="s">
        <v>9862</v>
      </c>
      <c r="G4945" s="4" t="s">
        <v>215</v>
      </c>
      <c r="H4945" s="13"/>
    </row>
    <row r="4946" s="1" customFormat="1" spans="1:8">
      <c r="A4946" s="4" t="s">
        <v>205</v>
      </c>
      <c r="B4946" s="4" t="s">
        <v>79</v>
      </c>
      <c r="C4946" s="4" t="s">
        <v>86</v>
      </c>
      <c r="D4946" s="4" t="s">
        <v>9863</v>
      </c>
      <c r="E4946" s="4">
        <v>3531704</v>
      </c>
      <c r="F4946" s="4" t="s">
        <v>9864</v>
      </c>
      <c r="G4946" s="4" t="s">
        <v>215</v>
      </c>
      <c r="H4946" s="13"/>
    </row>
    <row r="4947" s="1" customFormat="1" spans="1:8">
      <c r="A4947" s="4" t="s">
        <v>205</v>
      </c>
      <c r="B4947" s="4" t="s">
        <v>79</v>
      </c>
      <c r="C4947" s="4" t="s">
        <v>86</v>
      </c>
      <c r="D4947" s="4" t="s">
        <v>9865</v>
      </c>
      <c r="E4947" s="4">
        <v>3532009</v>
      </c>
      <c r="F4947" s="4" t="s">
        <v>9866</v>
      </c>
      <c r="G4947" s="4" t="s">
        <v>215</v>
      </c>
      <c r="H4947" s="13"/>
    </row>
    <row r="4948" s="1" customFormat="1" spans="1:8">
      <c r="A4948" s="4" t="s">
        <v>205</v>
      </c>
      <c r="B4948" s="4" t="s">
        <v>79</v>
      </c>
      <c r="C4948" s="4" t="s">
        <v>86</v>
      </c>
      <c r="D4948" s="4" t="s">
        <v>9867</v>
      </c>
      <c r="E4948" s="4">
        <v>3532306</v>
      </c>
      <c r="F4948" s="4" t="s">
        <v>9868</v>
      </c>
      <c r="G4948" s="4" t="s">
        <v>215</v>
      </c>
      <c r="H4948" s="13"/>
    </row>
    <row r="4949" s="1" customFormat="1" spans="1:8">
      <c r="A4949" s="4" t="s">
        <v>205</v>
      </c>
      <c r="B4949" s="4" t="s">
        <v>79</v>
      </c>
      <c r="C4949" s="4" t="s">
        <v>86</v>
      </c>
      <c r="D4949" s="4" t="s">
        <v>9869</v>
      </c>
      <c r="E4949" s="4">
        <v>3532405</v>
      </c>
      <c r="F4949" s="4" t="s">
        <v>9870</v>
      </c>
      <c r="G4949" s="4" t="s">
        <v>215</v>
      </c>
      <c r="H4949" s="13"/>
    </row>
    <row r="4950" s="1" customFormat="1" spans="1:8">
      <c r="A4950" s="4" t="s">
        <v>205</v>
      </c>
      <c r="B4950" s="4" t="s">
        <v>79</v>
      </c>
      <c r="C4950" s="4" t="s">
        <v>86</v>
      </c>
      <c r="D4950" s="4" t="s">
        <v>9871</v>
      </c>
      <c r="E4950" s="4">
        <v>3533403</v>
      </c>
      <c r="F4950" s="4" t="s">
        <v>9872</v>
      </c>
      <c r="G4950" s="4" t="s">
        <v>215</v>
      </c>
      <c r="H4950" s="13"/>
    </row>
    <row r="4951" s="1" customFormat="1" spans="1:8">
      <c r="A4951" s="4" t="s">
        <v>205</v>
      </c>
      <c r="B4951" s="4" t="s">
        <v>79</v>
      </c>
      <c r="C4951" s="4" t="s">
        <v>86</v>
      </c>
      <c r="D4951" s="4" t="s">
        <v>9873</v>
      </c>
      <c r="E4951" s="4">
        <v>3535606</v>
      </c>
      <c r="F4951" s="4" t="s">
        <v>9874</v>
      </c>
      <c r="G4951" s="4" t="s">
        <v>215</v>
      </c>
      <c r="H4951" s="13"/>
    </row>
    <row r="4952" s="1" customFormat="1" spans="1:8">
      <c r="A4952" s="4" t="s">
        <v>205</v>
      </c>
      <c r="B4952" s="4" t="s">
        <v>79</v>
      </c>
      <c r="C4952" s="4" t="s">
        <v>86</v>
      </c>
      <c r="D4952" s="4" t="s">
        <v>9875</v>
      </c>
      <c r="E4952" s="4">
        <v>3535804</v>
      </c>
      <c r="F4952" s="4" t="s">
        <v>9876</v>
      </c>
      <c r="G4952" s="4" t="s">
        <v>215</v>
      </c>
      <c r="H4952" s="13"/>
    </row>
    <row r="4953" s="1" customFormat="1" spans="1:8">
      <c r="A4953" s="4" t="s">
        <v>205</v>
      </c>
      <c r="B4953" s="4" t="s">
        <v>79</v>
      </c>
      <c r="C4953" s="4" t="s">
        <v>86</v>
      </c>
      <c r="D4953" s="4" t="s">
        <v>9877</v>
      </c>
      <c r="E4953" s="4">
        <v>3536109</v>
      </c>
      <c r="F4953" s="4" t="s">
        <v>9878</v>
      </c>
      <c r="G4953" s="4" t="s">
        <v>215</v>
      </c>
      <c r="H4953" s="13"/>
    </row>
    <row r="4954" s="1" customFormat="1" spans="1:8">
      <c r="A4954" s="4" t="s">
        <v>205</v>
      </c>
      <c r="B4954" s="4" t="s">
        <v>79</v>
      </c>
      <c r="C4954" s="4" t="s">
        <v>86</v>
      </c>
      <c r="D4954" s="4" t="s">
        <v>9879</v>
      </c>
      <c r="E4954" s="4">
        <v>3536208</v>
      </c>
      <c r="F4954" s="4" t="s">
        <v>9880</v>
      </c>
      <c r="G4954" s="4" t="s">
        <v>215</v>
      </c>
      <c r="H4954" s="13"/>
    </row>
    <row r="4955" s="1" customFormat="1" spans="1:8">
      <c r="A4955" s="4" t="s">
        <v>205</v>
      </c>
      <c r="B4955" s="4" t="s">
        <v>79</v>
      </c>
      <c r="C4955" s="4" t="s">
        <v>86</v>
      </c>
      <c r="D4955" s="4" t="s">
        <v>9881</v>
      </c>
      <c r="E4955" s="4">
        <v>3536505</v>
      </c>
      <c r="F4955" s="4" t="s">
        <v>9882</v>
      </c>
      <c r="G4955" s="4" t="s">
        <v>215</v>
      </c>
      <c r="H4955" s="13"/>
    </row>
    <row r="4956" s="1" customFormat="1" spans="1:8">
      <c r="A4956" s="4" t="s">
        <v>205</v>
      </c>
      <c r="B4956" s="4" t="s">
        <v>79</v>
      </c>
      <c r="C4956" s="4" t="s">
        <v>86</v>
      </c>
      <c r="D4956" s="4" t="s">
        <v>9883</v>
      </c>
      <c r="E4956" s="4">
        <v>3536802</v>
      </c>
      <c r="F4956" s="4" t="s">
        <v>9884</v>
      </c>
      <c r="G4956" s="4" t="s">
        <v>215</v>
      </c>
      <c r="H4956" s="13"/>
    </row>
    <row r="4957" s="1" customFormat="1" spans="1:8">
      <c r="A4957" s="4" t="s">
        <v>205</v>
      </c>
      <c r="B4957" s="4" t="s">
        <v>79</v>
      </c>
      <c r="C4957" s="4" t="s">
        <v>86</v>
      </c>
      <c r="D4957" s="4" t="s">
        <v>9885</v>
      </c>
      <c r="E4957" s="4">
        <v>3537107</v>
      </c>
      <c r="F4957" s="4" t="s">
        <v>9886</v>
      </c>
      <c r="G4957" s="4" t="s">
        <v>215</v>
      </c>
      <c r="H4957" s="13"/>
    </row>
    <row r="4958" s="1" customFormat="1" spans="1:8">
      <c r="A4958" s="4" t="s">
        <v>205</v>
      </c>
      <c r="B4958" s="4" t="s">
        <v>79</v>
      </c>
      <c r="C4958" s="4" t="s">
        <v>86</v>
      </c>
      <c r="D4958" s="4" t="s">
        <v>9887</v>
      </c>
      <c r="E4958" s="4">
        <v>3537206</v>
      </c>
      <c r="F4958" s="4" t="s">
        <v>9888</v>
      </c>
      <c r="G4958" s="4" t="s">
        <v>215</v>
      </c>
      <c r="H4958" s="13"/>
    </row>
    <row r="4959" s="1" customFormat="1" spans="1:8">
      <c r="A4959" s="4" t="s">
        <v>205</v>
      </c>
      <c r="B4959" s="4" t="s">
        <v>79</v>
      </c>
      <c r="C4959" s="4" t="s">
        <v>86</v>
      </c>
      <c r="D4959" s="4" t="s">
        <v>9889</v>
      </c>
      <c r="E4959" s="4">
        <v>3537503</v>
      </c>
      <c r="F4959" s="4" t="s">
        <v>9890</v>
      </c>
      <c r="G4959" s="4" t="s">
        <v>215</v>
      </c>
      <c r="H4959" s="13"/>
    </row>
    <row r="4960" s="1" customFormat="1" spans="1:8">
      <c r="A4960" s="4" t="s">
        <v>205</v>
      </c>
      <c r="B4960" s="4" t="s">
        <v>79</v>
      </c>
      <c r="C4960" s="4" t="s">
        <v>86</v>
      </c>
      <c r="D4960" s="4" t="s">
        <v>9891</v>
      </c>
      <c r="E4960" s="4">
        <v>3537602</v>
      </c>
      <c r="F4960" s="4" t="s">
        <v>9892</v>
      </c>
      <c r="G4960" s="4" t="s">
        <v>215</v>
      </c>
      <c r="H4960" s="13"/>
    </row>
    <row r="4961" s="1" customFormat="1" spans="1:8">
      <c r="A4961" s="4" t="s">
        <v>205</v>
      </c>
      <c r="B4961" s="4" t="s">
        <v>79</v>
      </c>
      <c r="C4961" s="4" t="s">
        <v>86</v>
      </c>
      <c r="D4961" s="4" t="s">
        <v>9893</v>
      </c>
      <c r="E4961" s="4">
        <v>3537909</v>
      </c>
      <c r="F4961" s="4" t="s">
        <v>9894</v>
      </c>
      <c r="G4961" s="4" t="s">
        <v>215</v>
      </c>
      <c r="H4961" s="13"/>
    </row>
    <row r="4962" s="1" customFormat="1" spans="1:8">
      <c r="A4962" s="4" t="s">
        <v>205</v>
      </c>
      <c r="B4962" s="4" t="s">
        <v>79</v>
      </c>
      <c r="C4962" s="4" t="s">
        <v>86</v>
      </c>
      <c r="D4962" s="4" t="s">
        <v>9895</v>
      </c>
      <c r="E4962" s="4">
        <v>3538006</v>
      </c>
      <c r="F4962" s="4" t="s">
        <v>9896</v>
      </c>
      <c r="G4962" s="4" t="s">
        <v>215</v>
      </c>
      <c r="H4962" s="13"/>
    </row>
    <row r="4963" s="1" customFormat="1" spans="1:8">
      <c r="A4963" s="4" t="s">
        <v>205</v>
      </c>
      <c r="B4963" s="4" t="s">
        <v>79</v>
      </c>
      <c r="C4963" s="4" t="s">
        <v>86</v>
      </c>
      <c r="D4963" s="4" t="s">
        <v>9412</v>
      </c>
      <c r="E4963" s="4">
        <v>3538204</v>
      </c>
      <c r="F4963" s="4" t="s">
        <v>9897</v>
      </c>
      <c r="G4963" s="4" t="s">
        <v>215</v>
      </c>
      <c r="H4963" s="13"/>
    </row>
    <row r="4964" s="1" customFormat="1" spans="1:8">
      <c r="A4964" s="4" t="s">
        <v>205</v>
      </c>
      <c r="B4964" s="4" t="s">
        <v>79</v>
      </c>
      <c r="C4964" s="4" t="s">
        <v>86</v>
      </c>
      <c r="D4964" s="4" t="s">
        <v>9898</v>
      </c>
      <c r="E4964" s="4">
        <v>3538501</v>
      </c>
      <c r="F4964" s="4" t="s">
        <v>9899</v>
      </c>
      <c r="G4964" s="4" t="s">
        <v>215</v>
      </c>
      <c r="H4964" s="13"/>
    </row>
    <row r="4965" s="1" customFormat="1" spans="1:8">
      <c r="A4965" s="4" t="s">
        <v>205</v>
      </c>
      <c r="B4965" s="4" t="s">
        <v>79</v>
      </c>
      <c r="C4965" s="4" t="s">
        <v>86</v>
      </c>
      <c r="D4965" s="4" t="s">
        <v>9900</v>
      </c>
      <c r="E4965" s="4">
        <v>3538600</v>
      </c>
      <c r="F4965" s="4" t="s">
        <v>9901</v>
      </c>
      <c r="G4965" s="4" t="s">
        <v>215</v>
      </c>
      <c r="H4965" s="13"/>
    </row>
    <row r="4966" s="1" customFormat="1" spans="1:8">
      <c r="A4966" s="4" t="s">
        <v>205</v>
      </c>
      <c r="B4966" s="4" t="s">
        <v>79</v>
      </c>
      <c r="C4966" s="4" t="s">
        <v>86</v>
      </c>
      <c r="D4966" s="4" t="s">
        <v>9902</v>
      </c>
      <c r="E4966" s="4">
        <v>3538709</v>
      </c>
      <c r="F4966" s="4" t="s">
        <v>9903</v>
      </c>
      <c r="G4966" s="4" t="s">
        <v>215</v>
      </c>
      <c r="H4966" s="13"/>
    </row>
    <row r="4967" s="1" customFormat="1" spans="1:8">
      <c r="A4967" s="4" t="s">
        <v>205</v>
      </c>
      <c r="B4967" s="4" t="s">
        <v>79</v>
      </c>
      <c r="C4967" s="4" t="s">
        <v>86</v>
      </c>
      <c r="D4967" s="4" t="s">
        <v>9904</v>
      </c>
      <c r="E4967" s="4">
        <v>3539103</v>
      </c>
      <c r="F4967" s="4" t="s">
        <v>9905</v>
      </c>
      <c r="G4967" s="4" t="s">
        <v>215</v>
      </c>
      <c r="H4967" s="13"/>
    </row>
    <row r="4968" s="1" customFormat="1" spans="1:8">
      <c r="A4968" s="4" t="s">
        <v>205</v>
      </c>
      <c r="B4968" s="4" t="s">
        <v>79</v>
      </c>
      <c r="C4968" s="4" t="s">
        <v>86</v>
      </c>
      <c r="D4968" s="4" t="s">
        <v>9906</v>
      </c>
      <c r="E4968" s="4">
        <v>3539301</v>
      </c>
      <c r="F4968" s="4" t="s">
        <v>9907</v>
      </c>
      <c r="G4968" s="4" t="s">
        <v>215</v>
      </c>
      <c r="H4968" s="13"/>
    </row>
    <row r="4969" s="1" customFormat="1" spans="1:8">
      <c r="A4969" s="4" t="s">
        <v>205</v>
      </c>
      <c r="B4969" s="4" t="s">
        <v>79</v>
      </c>
      <c r="C4969" s="4" t="s">
        <v>86</v>
      </c>
      <c r="D4969" s="4" t="s">
        <v>9908</v>
      </c>
      <c r="E4969" s="4">
        <v>3540507</v>
      </c>
      <c r="F4969" s="4" t="s">
        <v>9909</v>
      </c>
      <c r="G4969" s="4" t="s">
        <v>215</v>
      </c>
      <c r="H4969" s="13"/>
    </row>
    <row r="4970" s="1" customFormat="1" spans="1:8">
      <c r="A4970" s="4" t="s">
        <v>205</v>
      </c>
      <c r="B4970" s="4" t="s">
        <v>79</v>
      </c>
      <c r="C4970" s="4" t="s">
        <v>86</v>
      </c>
      <c r="D4970" s="4" t="s">
        <v>9910</v>
      </c>
      <c r="E4970" s="4">
        <v>3540606</v>
      </c>
      <c r="F4970" s="4" t="s">
        <v>9911</v>
      </c>
      <c r="G4970" s="4" t="s">
        <v>215</v>
      </c>
      <c r="H4970" s="13"/>
    </row>
    <row r="4971" s="1" customFormat="1" spans="1:8">
      <c r="A4971" s="4" t="s">
        <v>205</v>
      </c>
      <c r="B4971" s="4" t="s">
        <v>79</v>
      </c>
      <c r="C4971" s="4" t="s">
        <v>86</v>
      </c>
      <c r="D4971" s="4" t="s">
        <v>9912</v>
      </c>
      <c r="E4971" s="4">
        <v>3540705</v>
      </c>
      <c r="F4971" s="4" t="s">
        <v>9913</v>
      </c>
      <c r="G4971" s="4" t="s">
        <v>215</v>
      </c>
      <c r="H4971" s="13"/>
    </row>
    <row r="4972" s="1" customFormat="1" spans="1:8">
      <c r="A4972" s="4" t="s">
        <v>205</v>
      </c>
      <c r="B4972" s="4" t="s">
        <v>79</v>
      </c>
      <c r="C4972" s="4" t="s">
        <v>86</v>
      </c>
      <c r="D4972" s="4" t="s">
        <v>9914</v>
      </c>
      <c r="E4972" s="4">
        <v>3540754</v>
      </c>
      <c r="F4972" s="4" t="s">
        <v>9915</v>
      </c>
      <c r="G4972" s="4" t="s">
        <v>215</v>
      </c>
      <c r="H4972" s="13"/>
    </row>
    <row r="4973" s="1" customFormat="1" spans="1:8">
      <c r="A4973" s="4" t="s">
        <v>205</v>
      </c>
      <c r="B4973" s="4" t="s">
        <v>79</v>
      </c>
      <c r="C4973" s="4" t="s">
        <v>86</v>
      </c>
      <c r="D4973" s="4" t="s">
        <v>9916</v>
      </c>
      <c r="E4973" s="4">
        <v>3539806</v>
      </c>
      <c r="F4973" s="4" t="s">
        <v>9917</v>
      </c>
      <c r="G4973" s="4" t="s">
        <v>215</v>
      </c>
      <c r="H4973" s="13"/>
    </row>
    <row r="4974" s="1" customFormat="1" spans="1:8">
      <c r="A4974" s="4" t="s">
        <v>205</v>
      </c>
      <c r="B4974" s="4" t="s">
        <v>79</v>
      </c>
      <c r="C4974" s="4" t="s">
        <v>86</v>
      </c>
      <c r="D4974" s="4" t="s">
        <v>9274</v>
      </c>
      <c r="E4974" s="4">
        <v>3541000</v>
      </c>
      <c r="F4974" s="4" t="s">
        <v>9918</v>
      </c>
      <c r="G4974" s="4" t="s">
        <v>215</v>
      </c>
      <c r="H4974" s="13"/>
    </row>
    <row r="4975" s="1" customFormat="1" spans="1:8">
      <c r="A4975" s="4" t="s">
        <v>205</v>
      </c>
      <c r="B4975" s="4" t="s">
        <v>79</v>
      </c>
      <c r="C4975" s="4" t="s">
        <v>86</v>
      </c>
      <c r="D4975" s="4" t="s">
        <v>9919</v>
      </c>
      <c r="E4975" s="4">
        <v>3541059</v>
      </c>
      <c r="F4975" s="4" t="s">
        <v>9920</v>
      </c>
      <c r="G4975" s="4" t="s">
        <v>215</v>
      </c>
      <c r="H4975" s="13"/>
    </row>
    <row r="4976" s="1" customFormat="1" spans="1:8">
      <c r="A4976" s="4" t="s">
        <v>205</v>
      </c>
      <c r="B4976" s="4" t="s">
        <v>79</v>
      </c>
      <c r="C4976" s="4" t="s">
        <v>86</v>
      </c>
      <c r="D4976" s="4" t="s">
        <v>9921</v>
      </c>
      <c r="E4976" s="4">
        <v>3541653</v>
      </c>
      <c r="F4976" s="4" t="s">
        <v>9922</v>
      </c>
      <c r="G4976" s="4" t="s">
        <v>215</v>
      </c>
      <c r="H4976" s="13"/>
    </row>
    <row r="4977" s="1" customFormat="1" spans="1:8">
      <c r="A4977" s="4" t="s">
        <v>205</v>
      </c>
      <c r="B4977" s="4" t="s">
        <v>79</v>
      </c>
      <c r="C4977" s="4" t="s">
        <v>86</v>
      </c>
      <c r="D4977" s="4" t="s">
        <v>9923</v>
      </c>
      <c r="E4977" s="4">
        <v>3541901</v>
      </c>
      <c r="F4977" s="4" t="s">
        <v>9924</v>
      </c>
      <c r="G4977" s="4" t="s">
        <v>215</v>
      </c>
      <c r="H4977" s="13"/>
    </row>
    <row r="4978" s="1" customFormat="1" spans="1:8">
      <c r="A4978" s="4" t="s">
        <v>205</v>
      </c>
      <c r="B4978" s="4" t="s">
        <v>79</v>
      </c>
      <c r="C4978" s="4" t="s">
        <v>86</v>
      </c>
      <c r="D4978" s="4" t="s">
        <v>9925</v>
      </c>
      <c r="E4978" s="4">
        <v>3542107</v>
      </c>
      <c r="F4978" s="4" t="s">
        <v>9926</v>
      </c>
      <c r="G4978" s="4" t="s">
        <v>215</v>
      </c>
      <c r="H4978" s="13"/>
    </row>
    <row r="4979" s="1" customFormat="1" spans="1:8">
      <c r="A4979" s="4" t="s">
        <v>205</v>
      </c>
      <c r="B4979" s="4" t="s">
        <v>79</v>
      </c>
      <c r="C4979" s="4" t="s">
        <v>86</v>
      </c>
      <c r="D4979" s="4" t="s">
        <v>9927</v>
      </c>
      <c r="E4979" s="4">
        <v>3542305</v>
      </c>
      <c r="F4979" s="4" t="s">
        <v>9928</v>
      </c>
      <c r="G4979" s="4" t="s">
        <v>215</v>
      </c>
      <c r="H4979" s="13"/>
    </row>
    <row r="4980" s="1" customFormat="1" spans="1:8">
      <c r="A4980" s="4" t="s">
        <v>205</v>
      </c>
      <c r="B4980" s="4" t="s">
        <v>79</v>
      </c>
      <c r="C4980" s="4" t="s">
        <v>86</v>
      </c>
      <c r="D4980" s="4" t="s">
        <v>9929</v>
      </c>
      <c r="E4980" s="4">
        <v>3542602</v>
      </c>
      <c r="F4980" s="4" t="s">
        <v>9930</v>
      </c>
      <c r="G4980" s="4" t="s">
        <v>215</v>
      </c>
      <c r="H4980" s="13"/>
    </row>
    <row r="4981" s="1" customFormat="1" spans="1:8">
      <c r="A4981" s="4" t="s">
        <v>205</v>
      </c>
      <c r="B4981" s="4" t="s">
        <v>79</v>
      </c>
      <c r="C4981" s="4" t="s">
        <v>86</v>
      </c>
      <c r="D4981" s="4" t="s">
        <v>9931</v>
      </c>
      <c r="E4981" s="4">
        <v>3542909</v>
      </c>
      <c r="F4981" s="4" t="s">
        <v>9932</v>
      </c>
      <c r="G4981" s="4" t="s">
        <v>215</v>
      </c>
      <c r="H4981" s="13"/>
    </row>
    <row r="4982" s="1" customFormat="1" spans="1:8">
      <c r="A4982" s="4" t="s">
        <v>205</v>
      </c>
      <c r="B4982" s="4" t="s">
        <v>79</v>
      </c>
      <c r="C4982" s="4" t="s">
        <v>86</v>
      </c>
      <c r="D4982" s="4" t="s">
        <v>9933</v>
      </c>
      <c r="E4982" s="4">
        <v>3543253</v>
      </c>
      <c r="F4982" s="4" t="s">
        <v>9934</v>
      </c>
      <c r="G4982" s="4" t="s">
        <v>215</v>
      </c>
      <c r="H4982" s="13"/>
    </row>
    <row r="4983" s="1" customFormat="1" spans="1:8">
      <c r="A4983" s="4" t="s">
        <v>205</v>
      </c>
      <c r="B4983" s="4" t="s">
        <v>79</v>
      </c>
      <c r="C4983" s="4" t="s">
        <v>86</v>
      </c>
      <c r="D4983" s="4" t="s">
        <v>9935</v>
      </c>
      <c r="E4983" s="4">
        <v>3543303</v>
      </c>
      <c r="F4983" s="4" t="s">
        <v>9936</v>
      </c>
      <c r="G4983" s="4" t="s">
        <v>215</v>
      </c>
      <c r="H4983" s="13"/>
    </row>
    <row r="4984" s="1" customFormat="1" spans="1:8">
      <c r="A4984" s="4" t="s">
        <v>205</v>
      </c>
      <c r="B4984" s="4" t="s">
        <v>79</v>
      </c>
      <c r="C4984" s="4" t="s">
        <v>86</v>
      </c>
      <c r="D4984" s="4" t="s">
        <v>7428</v>
      </c>
      <c r="E4984" s="4">
        <v>3543907</v>
      </c>
      <c r="F4984" s="4" t="s">
        <v>9937</v>
      </c>
      <c r="G4984" s="4" t="s">
        <v>215</v>
      </c>
      <c r="H4984" s="13"/>
    </row>
    <row r="4985" s="1" customFormat="1" spans="1:8">
      <c r="A4985" s="4" t="s">
        <v>205</v>
      </c>
      <c r="B4985" s="4" t="s">
        <v>79</v>
      </c>
      <c r="C4985" s="4" t="s">
        <v>86</v>
      </c>
      <c r="D4985" s="4" t="s">
        <v>9938</v>
      </c>
      <c r="E4985" s="4">
        <v>3544004</v>
      </c>
      <c r="F4985" s="4" t="s">
        <v>9939</v>
      </c>
      <c r="G4985" s="4" t="s">
        <v>215</v>
      </c>
      <c r="H4985" s="13"/>
    </row>
    <row r="4986" s="1" customFormat="1" spans="1:8">
      <c r="A4986" s="4" t="s">
        <v>205</v>
      </c>
      <c r="B4986" s="4" t="s">
        <v>79</v>
      </c>
      <c r="C4986" s="4" t="s">
        <v>86</v>
      </c>
      <c r="D4986" s="4" t="s">
        <v>9940</v>
      </c>
      <c r="E4986" s="4">
        <v>3544103</v>
      </c>
      <c r="F4986" s="4" t="s">
        <v>9941</v>
      </c>
      <c r="G4986" s="4" t="s">
        <v>215</v>
      </c>
      <c r="H4986" s="13"/>
    </row>
    <row r="4987" s="1" customFormat="1" spans="1:8">
      <c r="A4987" s="4" t="s">
        <v>205</v>
      </c>
      <c r="B4987" s="4" t="s">
        <v>79</v>
      </c>
      <c r="C4987" s="4" t="s">
        <v>86</v>
      </c>
      <c r="D4987" s="4" t="s">
        <v>9942</v>
      </c>
      <c r="E4987" s="4">
        <v>3544301</v>
      </c>
      <c r="F4987" s="4" t="s">
        <v>9943</v>
      </c>
      <c r="G4987" s="4" t="s">
        <v>215</v>
      </c>
      <c r="H4987" s="13"/>
    </row>
    <row r="4988" s="1" customFormat="1" spans="1:8">
      <c r="A4988" s="4" t="s">
        <v>205</v>
      </c>
      <c r="B4988" s="4" t="s">
        <v>79</v>
      </c>
      <c r="C4988" s="4" t="s">
        <v>86</v>
      </c>
      <c r="D4988" s="4" t="s">
        <v>9944</v>
      </c>
      <c r="E4988" s="4">
        <v>3545001</v>
      </c>
      <c r="F4988" s="4" t="s">
        <v>9945</v>
      </c>
      <c r="G4988" s="4" t="s">
        <v>215</v>
      </c>
      <c r="H4988" s="13"/>
    </row>
    <row r="4989" s="1" customFormat="1" spans="1:8">
      <c r="A4989" s="4" t="s">
        <v>205</v>
      </c>
      <c r="B4989" s="4" t="s">
        <v>79</v>
      </c>
      <c r="C4989" s="4" t="s">
        <v>86</v>
      </c>
      <c r="D4989" s="4" t="s">
        <v>9424</v>
      </c>
      <c r="E4989" s="4">
        <v>3545159</v>
      </c>
      <c r="F4989" s="4" t="s">
        <v>9946</v>
      </c>
      <c r="G4989" s="4" t="s">
        <v>215</v>
      </c>
      <c r="H4989" s="13"/>
    </row>
    <row r="4990" s="1" customFormat="1" spans="1:8">
      <c r="A4990" s="4" t="s">
        <v>205</v>
      </c>
      <c r="B4990" s="4" t="s">
        <v>79</v>
      </c>
      <c r="C4990" s="4" t="s">
        <v>86</v>
      </c>
      <c r="D4990" s="4" t="s">
        <v>9947</v>
      </c>
      <c r="E4990" s="4">
        <v>3545209</v>
      </c>
      <c r="F4990" s="4" t="s">
        <v>9948</v>
      </c>
      <c r="G4990" s="4" t="s">
        <v>215</v>
      </c>
      <c r="H4990" s="13"/>
    </row>
    <row r="4991" s="1" customFormat="1" spans="1:8">
      <c r="A4991" s="4" t="s">
        <v>205</v>
      </c>
      <c r="B4991" s="4" t="s">
        <v>79</v>
      </c>
      <c r="C4991" s="4" t="s">
        <v>86</v>
      </c>
      <c r="D4991" s="4" t="s">
        <v>9949</v>
      </c>
      <c r="E4991" s="4">
        <v>3545308</v>
      </c>
      <c r="F4991" s="4" t="s">
        <v>9950</v>
      </c>
      <c r="G4991" s="4" t="s">
        <v>215</v>
      </c>
      <c r="H4991" s="13"/>
    </row>
    <row r="4992" s="1" customFormat="1" spans="1:8">
      <c r="A4992" s="4" t="s">
        <v>205</v>
      </c>
      <c r="B4992" s="4" t="s">
        <v>79</v>
      </c>
      <c r="C4992" s="4" t="s">
        <v>86</v>
      </c>
      <c r="D4992" s="4" t="s">
        <v>9951</v>
      </c>
      <c r="E4992" s="4">
        <v>3546009</v>
      </c>
      <c r="F4992" s="4" t="s">
        <v>9952</v>
      </c>
      <c r="G4992" s="4" t="s">
        <v>215</v>
      </c>
      <c r="H4992" s="13"/>
    </row>
    <row r="4993" s="1" customFormat="1" spans="1:8">
      <c r="A4993" s="4" t="s">
        <v>205</v>
      </c>
      <c r="B4993" s="4" t="s">
        <v>79</v>
      </c>
      <c r="C4993" s="4" t="s">
        <v>86</v>
      </c>
      <c r="D4993" s="4" t="s">
        <v>9953</v>
      </c>
      <c r="E4993" s="4">
        <v>3545803</v>
      </c>
      <c r="F4993" s="4" t="s">
        <v>9954</v>
      </c>
      <c r="G4993" s="4" t="s">
        <v>215</v>
      </c>
      <c r="H4993" s="13"/>
    </row>
    <row r="4994" s="1" customFormat="1" spans="1:8">
      <c r="A4994" s="4" t="s">
        <v>205</v>
      </c>
      <c r="B4994" s="4" t="s">
        <v>79</v>
      </c>
      <c r="C4994" s="4" t="s">
        <v>86</v>
      </c>
      <c r="D4994" s="4" t="s">
        <v>9955</v>
      </c>
      <c r="E4994" s="4">
        <v>3546207</v>
      </c>
      <c r="F4994" s="4" t="s">
        <v>9956</v>
      </c>
      <c r="G4994" s="4" t="s">
        <v>215</v>
      </c>
      <c r="H4994" s="13"/>
    </row>
    <row r="4995" s="1" customFormat="1" spans="1:8">
      <c r="A4995" s="4" t="s">
        <v>205</v>
      </c>
      <c r="B4995" s="4" t="s">
        <v>79</v>
      </c>
      <c r="C4995" s="4" t="s">
        <v>86</v>
      </c>
      <c r="D4995" s="4" t="s">
        <v>9957</v>
      </c>
      <c r="E4995" s="4">
        <v>3546306</v>
      </c>
      <c r="F4995" s="4" t="s">
        <v>9958</v>
      </c>
      <c r="G4995" s="4" t="s">
        <v>215</v>
      </c>
      <c r="H4995" s="13"/>
    </row>
    <row r="4996" s="1" customFormat="1" spans="1:8">
      <c r="A4996" s="4" t="s">
        <v>205</v>
      </c>
      <c r="B4996" s="4" t="s">
        <v>79</v>
      </c>
      <c r="C4996" s="4" t="s">
        <v>86</v>
      </c>
      <c r="D4996" s="4" t="s">
        <v>9959</v>
      </c>
      <c r="E4996" s="4">
        <v>3546702</v>
      </c>
      <c r="F4996" s="4" t="s">
        <v>9960</v>
      </c>
      <c r="G4996" s="4" t="s">
        <v>215</v>
      </c>
      <c r="H4996" s="13"/>
    </row>
    <row r="4997" s="1" customFormat="1" spans="1:8">
      <c r="A4997" s="4" t="s">
        <v>205</v>
      </c>
      <c r="B4997" s="4" t="s">
        <v>79</v>
      </c>
      <c r="C4997" s="4" t="s">
        <v>86</v>
      </c>
      <c r="D4997" s="4" t="s">
        <v>2289</v>
      </c>
      <c r="E4997" s="4">
        <v>3546801</v>
      </c>
      <c r="F4997" s="4" t="s">
        <v>9961</v>
      </c>
      <c r="G4997" s="4" t="s">
        <v>215</v>
      </c>
      <c r="H4997" s="13"/>
    </row>
    <row r="4998" s="1" customFormat="1" spans="1:8">
      <c r="A4998" s="4" t="s">
        <v>205</v>
      </c>
      <c r="B4998" s="4" t="s">
        <v>79</v>
      </c>
      <c r="C4998" s="4" t="s">
        <v>86</v>
      </c>
      <c r="D4998" s="4" t="s">
        <v>9962</v>
      </c>
      <c r="E4998" s="4">
        <v>3547007</v>
      </c>
      <c r="F4998" s="4" t="s">
        <v>9963</v>
      </c>
      <c r="G4998" s="4" t="s">
        <v>215</v>
      </c>
      <c r="H4998" s="13"/>
    </row>
    <row r="4999" s="1" customFormat="1" spans="1:8">
      <c r="A4999" s="4" t="s">
        <v>205</v>
      </c>
      <c r="B4999" s="4" t="s">
        <v>79</v>
      </c>
      <c r="C4999" s="4" t="s">
        <v>86</v>
      </c>
      <c r="D4999" s="4" t="s">
        <v>9964</v>
      </c>
      <c r="E4999" s="4">
        <v>3547502</v>
      </c>
      <c r="F4999" s="4" t="s">
        <v>9965</v>
      </c>
      <c r="G4999" s="4" t="s">
        <v>215</v>
      </c>
      <c r="H4999" s="13"/>
    </row>
    <row r="5000" s="1" customFormat="1" spans="1:8">
      <c r="A5000" s="4" t="s">
        <v>205</v>
      </c>
      <c r="B5000" s="4" t="s">
        <v>79</v>
      </c>
      <c r="C5000" s="4" t="s">
        <v>86</v>
      </c>
      <c r="D5000" s="4" t="s">
        <v>9966</v>
      </c>
      <c r="E5000" s="4">
        <v>3547304</v>
      </c>
      <c r="F5000" s="4" t="s">
        <v>9967</v>
      </c>
      <c r="G5000" s="4" t="s">
        <v>215</v>
      </c>
      <c r="H5000" s="13"/>
    </row>
    <row r="5001" s="1" customFormat="1" spans="1:8">
      <c r="A5001" s="4" t="s">
        <v>205</v>
      </c>
      <c r="B5001" s="4" t="s">
        <v>79</v>
      </c>
      <c r="C5001" s="4" t="s">
        <v>86</v>
      </c>
      <c r="D5001" s="4" t="s">
        <v>9968</v>
      </c>
      <c r="E5001" s="4">
        <v>3548005</v>
      </c>
      <c r="F5001" s="4" t="s">
        <v>9969</v>
      </c>
      <c r="G5001" s="4" t="s">
        <v>215</v>
      </c>
      <c r="H5001" s="13"/>
    </row>
    <row r="5002" s="1" customFormat="1" spans="1:8">
      <c r="A5002" s="4" t="s">
        <v>205</v>
      </c>
      <c r="B5002" s="4" t="s">
        <v>79</v>
      </c>
      <c r="C5002" s="4" t="s">
        <v>86</v>
      </c>
      <c r="D5002" s="4" t="s">
        <v>9970</v>
      </c>
      <c r="E5002" s="4">
        <v>3548104</v>
      </c>
      <c r="F5002" s="4" t="s">
        <v>9971</v>
      </c>
      <c r="G5002" s="4" t="s">
        <v>215</v>
      </c>
      <c r="H5002" s="13"/>
    </row>
    <row r="5003" s="1" customFormat="1" spans="1:8">
      <c r="A5003" s="4" t="s">
        <v>205</v>
      </c>
      <c r="B5003" s="4" t="s">
        <v>79</v>
      </c>
      <c r="C5003" s="4" t="s">
        <v>86</v>
      </c>
      <c r="D5003" s="4" t="s">
        <v>9972</v>
      </c>
      <c r="E5003" s="4">
        <v>3548203</v>
      </c>
      <c r="F5003" s="4" t="s">
        <v>9973</v>
      </c>
      <c r="G5003" s="4" t="s">
        <v>215</v>
      </c>
      <c r="H5003" s="13"/>
    </row>
    <row r="5004" s="1" customFormat="1" spans="1:8">
      <c r="A5004" s="4" t="s">
        <v>205</v>
      </c>
      <c r="B5004" s="4" t="s">
        <v>79</v>
      </c>
      <c r="C5004" s="4" t="s">
        <v>86</v>
      </c>
      <c r="D5004" s="4" t="s">
        <v>9974</v>
      </c>
      <c r="E5004" s="4">
        <v>3548500</v>
      </c>
      <c r="F5004" s="4" t="s">
        <v>9975</v>
      </c>
      <c r="G5004" s="4" t="s">
        <v>215</v>
      </c>
      <c r="H5004" s="13"/>
    </row>
    <row r="5005" s="1" customFormat="1" spans="1:8">
      <c r="A5005" s="4" t="s">
        <v>205</v>
      </c>
      <c r="B5005" s="4" t="s">
        <v>79</v>
      </c>
      <c r="C5005" s="4" t="s">
        <v>86</v>
      </c>
      <c r="D5005" s="4" t="s">
        <v>9976</v>
      </c>
      <c r="E5005" s="4">
        <v>3551108</v>
      </c>
      <c r="F5005" s="4" t="s">
        <v>9977</v>
      </c>
      <c r="G5005" s="4" t="s">
        <v>215</v>
      </c>
      <c r="H5005" s="13"/>
    </row>
    <row r="5006" s="1" customFormat="1" spans="1:8">
      <c r="A5006" s="4" t="s">
        <v>205</v>
      </c>
      <c r="B5006" s="4" t="s">
        <v>79</v>
      </c>
      <c r="C5006" s="4" t="s">
        <v>86</v>
      </c>
      <c r="D5006" s="4" t="s">
        <v>9978</v>
      </c>
      <c r="E5006" s="4">
        <v>3551603</v>
      </c>
      <c r="F5006" s="4" t="s">
        <v>9979</v>
      </c>
      <c r="G5006" s="4" t="s">
        <v>215</v>
      </c>
      <c r="H5006" s="13"/>
    </row>
    <row r="5007" s="1" customFormat="1" spans="1:8">
      <c r="A5007" s="4" t="s">
        <v>205</v>
      </c>
      <c r="B5007" s="4" t="s">
        <v>79</v>
      </c>
      <c r="C5007" s="4" t="s">
        <v>86</v>
      </c>
      <c r="D5007" s="4" t="s">
        <v>9980</v>
      </c>
      <c r="E5007" s="4">
        <v>3551801</v>
      </c>
      <c r="F5007" s="4" t="s">
        <v>9981</v>
      </c>
      <c r="G5007" s="4" t="s">
        <v>215</v>
      </c>
      <c r="H5007" s="13"/>
    </row>
    <row r="5008" s="1" customFormat="1" spans="1:8">
      <c r="A5008" s="4" t="s">
        <v>205</v>
      </c>
      <c r="B5008" s="4" t="s">
        <v>79</v>
      </c>
      <c r="C5008" s="4" t="s">
        <v>86</v>
      </c>
      <c r="D5008" s="4" t="s">
        <v>9982</v>
      </c>
      <c r="E5008" s="4">
        <v>3552007</v>
      </c>
      <c r="F5008" s="4" t="s">
        <v>9983</v>
      </c>
      <c r="G5008" s="4" t="s">
        <v>215</v>
      </c>
      <c r="H5008" s="13"/>
    </row>
    <row r="5009" s="1" customFormat="1" spans="1:8">
      <c r="A5009" s="4" t="s">
        <v>205</v>
      </c>
      <c r="B5009" s="4" t="s">
        <v>79</v>
      </c>
      <c r="C5009" s="4" t="s">
        <v>86</v>
      </c>
      <c r="D5009" s="4" t="s">
        <v>9984</v>
      </c>
      <c r="E5009" s="4">
        <v>3552106</v>
      </c>
      <c r="F5009" s="4" t="s">
        <v>9985</v>
      </c>
      <c r="G5009" s="4" t="s">
        <v>215</v>
      </c>
      <c r="H5009" s="13"/>
    </row>
    <row r="5010" s="1" customFormat="1" spans="1:8">
      <c r="A5010" s="4" t="s">
        <v>205</v>
      </c>
      <c r="B5010" s="4" t="s">
        <v>79</v>
      </c>
      <c r="C5010" s="4" t="s">
        <v>86</v>
      </c>
      <c r="D5010" s="4" t="s">
        <v>9986</v>
      </c>
      <c r="E5010" s="4">
        <v>3552205</v>
      </c>
      <c r="F5010" s="4" t="s">
        <v>9987</v>
      </c>
      <c r="G5010" s="4" t="s">
        <v>215</v>
      </c>
      <c r="H5010" s="13"/>
    </row>
    <row r="5011" s="1" customFormat="1" spans="1:8">
      <c r="A5011" s="4" t="s">
        <v>205</v>
      </c>
      <c r="B5011" s="4" t="s">
        <v>79</v>
      </c>
      <c r="C5011" s="4" t="s">
        <v>86</v>
      </c>
      <c r="D5011" s="4" t="s">
        <v>9988</v>
      </c>
      <c r="E5011" s="4">
        <v>3552403</v>
      </c>
      <c r="F5011" s="4" t="s">
        <v>9989</v>
      </c>
      <c r="G5011" s="4" t="s">
        <v>215</v>
      </c>
      <c r="H5011" s="13"/>
    </row>
    <row r="5012" s="1" customFormat="1" spans="1:8">
      <c r="A5012" s="4" t="s">
        <v>205</v>
      </c>
      <c r="B5012" s="4" t="s">
        <v>79</v>
      </c>
      <c r="C5012" s="4" t="s">
        <v>86</v>
      </c>
      <c r="D5012" s="4" t="s">
        <v>9990</v>
      </c>
      <c r="E5012" s="4">
        <v>3552502</v>
      </c>
      <c r="F5012" s="4" t="s">
        <v>9991</v>
      </c>
      <c r="G5012" s="4" t="s">
        <v>215</v>
      </c>
      <c r="H5012" s="13"/>
    </row>
    <row r="5013" s="1" customFormat="1" spans="1:8">
      <c r="A5013" s="4" t="s">
        <v>205</v>
      </c>
      <c r="B5013" s="4" t="s">
        <v>79</v>
      </c>
      <c r="C5013" s="4" t="s">
        <v>86</v>
      </c>
      <c r="D5013" s="4" t="s">
        <v>9992</v>
      </c>
      <c r="E5013" s="4">
        <v>3548609</v>
      </c>
      <c r="F5013" s="4" t="s">
        <v>9993</v>
      </c>
      <c r="G5013" s="4" t="s">
        <v>215</v>
      </c>
      <c r="H5013" s="13"/>
    </row>
    <row r="5014" s="1" customFormat="1" spans="1:8">
      <c r="A5014" s="4" t="s">
        <v>205</v>
      </c>
      <c r="B5014" s="4" t="s">
        <v>79</v>
      </c>
      <c r="C5014" s="4" t="s">
        <v>86</v>
      </c>
      <c r="D5014" s="4" t="s">
        <v>9437</v>
      </c>
      <c r="E5014" s="4">
        <v>3548906</v>
      </c>
      <c r="F5014" s="4" t="s">
        <v>9994</v>
      </c>
      <c r="G5014" s="4" t="s">
        <v>215</v>
      </c>
      <c r="H5014" s="13"/>
    </row>
    <row r="5015" s="1" customFormat="1" spans="1:8">
      <c r="A5015" s="4" t="s">
        <v>205</v>
      </c>
      <c r="B5015" s="4" t="s">
        <v>79</v>
      </c>
      <c r="C5015" s="4" t="s">
        <v>86</v>
      </c>
      <c r="D5015" s="4" t="s">
        <v>9995</v>
      </c>
      <c r="E5015" s="4">
        <v>3549508</v>
      </c>
      <c r="F5015" s="4" t="s">
        <v>9996</v>
      </c>
      <c r="G5015" s="4" t="s">
        <v>215</v>
      </c>
      <c r="H5015" s="13"/>
    </row>
    <row r="5016" s="1" customFormat="1" spans="1:8">
      <c r="A5016" s="4" t="s">
        <v>205</v>
      </c>
      <c r="B5016" s="4" t="s">
        <v>79</v>
      </c>
      <c r="C5016" s="4" t="s">
        <v>86</v>
      </c>
      <c r="D5016" s="4" t="s">
        <v>9997</v>
      </c>
      <c r="E5016" s="4">
        <v>3549706</v>
      </c>
      <c r="F5016" s="4" t="s">
        <v>9998</v>
      </c>
      <c r="G5016" s="4" t="s">
        <v>215</v>
      </c>
      <c r="H5016" s="13"/>
    </row>
    <row r="5017" s="1" customFormat="1" spans="1:8">
      <c r="A5017" s="4" t="s">
        <v>205</v>
      </c>
      <c r="B5017" s="4" t="s">
        <v>79</v>
      </c>
      <c r="C5017" s="4" t="s">
        <v>86</v>
      </c>
      <c r="D5017" s="4" t="s">
        <v>9999</v>
      </c>
      <c r="E5017" s="4">
        <v>3549904</v>
      </c>
      <c r="F5017" s="4" t="s">
        <v>10000</v>
      </c>
      <c r="G5017" s="4" t="s">
        <v>215</v>
      </c>
      <c r="H5017" s="13"/>
    </row>
    <row r="5018" s="1" customFormat="1" spans="1:8">
      <c r="A5018" s="4" t="s">
        <v>205</v>
      </c>
      <c r="B5018" s="4" t="s">
        <v>79</v>
      </c>
      <c r="C5018" s="4" t="s">
        <v>86</v>
      </c>
      <c r="D5018" s="4" t="s">
        <v>10001</v>
      </c>
      <c r="E5018" s="4">
        <v>3549102</v>
      </c>
      <c r="F5018" s="4" t="s">
        <v>10002</v>
      </c>
      <c r="G5018" s="4" t="s">
        <v>215</v>
      </c>
      <c r="H5018" s="13"/>
    </row>
    <row r="5019" s="1" customFormat="1" spans="1:8">
      <c r="A5019" s="4" t="s">
        <v>205</v>
      </c>
      <c r="B5019" s="4" t="s">
        <v>79</v>
      </c>
      <c r="C5019" s="4" t="s">
        <v>86</v>
      </c>
      <c r="D5019" s="4" t="s">
        <v>10003</v>
      </c>
      <c r="E5019" s="4">
        <v>3549953</v>
      </c>
      <c r="F5019" s="4" t="s">
        <v>10004</v>
      </c>
      <c r="G5019" s="4" t="s">
        <v>215</v>
      </c>
      <c r="H5019" s="13"/>
    </row>
    <row r="5020" s="1" customFormat="1" spans="1:8">
      <c r="A5020" s="4" t="s">
        <v>205</v>
      </c>
      <c r="B5020" s="4" t="s">
        <v>79</v>
      </c>
      <c r="C5020" s="4" t="s">
        <v>86</v>
      </c>
      <c r="D5020" s="4" t="s">
        <v>10005</v>
      </c>
      <c r="E5020" s="4">
        <v>3550001</v>
      </c>
      <c r="F5020" s="4" t="s">
        <v>10006</v>
      </c>
      <c r="G5020" s="4" t="s">
        <v>215</v>
      </c>
      <c r="H5020" s="13"/>
    </row>
    <row r="5021" s="1" customFormat="1" spans="1:8">
      <c r="A5021" s="4" t="s">
        <v>205</v>
      </c>
      <c r="B5021" s="4" t="s">
        <v>79</v>
      </c>
      <c r="C5021" s="4" t="s">
        <v>86</v>
      </c>
      <c r="D5021" s="4" t="s">
        <v>10007</v>
      </c>
      <c r="E5021" s="4">
        <v>3550100</v>
      </c>
      <c r="F5021" s="4" t="s">
        <v>10008</v>
      </c>
      <c r="G5021" s="4" t="s">
        <v>215</v>
      </c>
      <c r="H5021" s="13"/>
    </row>
    <row r="5022" s="1" customFormat="1" spans="1:8">
      <c r="A5022" s="4" t="s">
        <v>205</v>
      </c>
      <c r="B5022" s="4" t="s">
        <v>79</v>
      </c>
      <c r="C5022" s="4" t="s">
        <v>86</v>
      </c>
      <c r="D5022" s="4" t="s">
        <v>10009</v>
      </c>
      <c r="E5022" s="4">
        <v>3550209</v>
      </c>
      <c r="F5022" s="4" t="s">
        <v>10010</v>
      </c>
      <c r="G5022" s="4" t="s">
        <v>215</v>
      </c>
      <c r="H5022" s="13"/>
    </row>
    <row r="5023" s="1" customFormat="1" spans="1:8">
      <c r="A5023" s="4" t="s">
        <v>205</v>
      </c>
      <c r="B5023" s="4" t="s">
        <v>79</v>
      </c>
      <c r="C5023" s="4" t="s">
        <v>86</v>
      </c>
      <c r="D5023" s="4" t="s">
        <v>7600</v>
      </c>
      <c r="E5023" s="4">
        <v>3550407</v>
      </c>
      <c r="F5023" s="4" t="s">
        <v>10011</v>
      </c>
      <c r="G5023" s="4" t="s">
        <v>215</v>
      </c>
      <c r="H5023" s="13"/>
    </row>
    <row r="5024" s="1" customFormat="1" spans="1:8">
      <c r="A5024" s="4" t="s">
        <v>205</v>
      </c>
      <c r="B5024" s="4" t="s">
        <v>79</v>
      </c>
      <c r="C5024" s="4" t="s">
        <v>86</v>
      </c>
      <c r="D5024" s="4" t="s">
        <v>10012</v>
      </c>
      <c r="E5024" s="4">
        <v>3550605</v>
      </c>
      <c r="F5024" s="4" t="s">
        <v>10013</v>
      </c>
      <c r="G5024" s="4" t="s">
        <v>215</v>
      </c>
      <c r="H5024" s="13"/>
    </row>
    <row r="5025" s="1" customFormat="1" spans="1:8">
      <c r="A5025" s="4" t="s">
        <v>205</v>
      </c>
      <c r="B5025" s="4" t="s">
        <v>79</v>
      </c>
      <c r="C5025" s="4" t="s">
        <v>86</v>
      </c>
      <c r="D5025" s="4" t="s">
        <v>407</v>
      </c>
      <c r="E5025" s="4">
        <v>3550704</v>
      </c>
      <c r="F5025" s="4" t="s">
        <v>10014</v>
      </c>
      <c r="G5025" s="4" t="s">
        <v>215</v>
      </c>
      <c r="H5025" s="13"/>
    </row>
    <row r="5026" s="1" customFormat="1" spans="1:8">
      <c r="A5026" s="4" t="s">
        <v>205</v>
      </c>
      <c r="B5026" s="4" t="s">
        <v>79</v>
      </c>
      <c r="C5026" s="4" t="s">
        <v>86</v>
      </c>
      <c r="D5026" s="4" t="s">
        <v>10015</v>
      </c>
      <c r="E5026" s="4">
        <v>3550803</v>
      </c>
      <c r="F5026" s="4" t="s">
        <v>10016</v>
      </c>
      <c r="G5026" s="4" t="s">
        <v>215</v>
      </c>
      <c r="H5026" s="13"/>
    </row>
    <row r="5027" s="1" customFormat="1" spans="1:8">
      <c r="A5027" s="4" t="s">
        <v>205</v>
      </c>
      <c r="B5027" s="4" t="s">
        <v>79</v>
      </c>
      <c r="C5027" s="4" t="s">
        <v>86</v>
      </c>
      <c r="D5027" s="4" t="s">
        <v>7689</v>
      </c>
      <c r="E5027" s="4">
        <v>3551009</v>
      </c>
      <c r="F5027" s="4" t="s">
        <v>10017</v>
      </c>
      <c r="G5027" s="4" t="s">
        <v>215</v>
      </c>
      <c r="H5027" s="13"/>
    </row>
    <row r="5028" s="1" customFormat="1" spans="1:8">
      <c r="A5028" s="4" t="s">
        <v>205</v>
      </c>
      <c r="B5028" s="4" t="s">
        <v>79</v>
      </c>
      <c r="C5028" s="4" t="s">
        <v>86</v>
      </c>
      <c r="D5028" s="4" t="s">
        <v>3556</v>
      </c>
      <c r="E5028" s="4">
        <v>3553500</v>
      </c>
      <c r="F5028" s="4" t="s">
        <v>10018</v>
      </c>
      <c r="G5028" s="4" t="s">
        <v>215</v>
      </c>
      <c r="H5028" s="13"/>
    </row>
    <row r="5029" s="1" customFormat="1" spans="1:8">
      <c r="A5029" s="4" t="s">
        <v>205</v>
      </c>
      <c r="B5029" s="4" t="s">
        <v>79</v>
      </c>
      <c r="C5029" s="4" t="s">
        <v>86</v>
      </c>
      <c r="D5029" s="4" t="s">
        <v>10019</v>
      </c>
      <c r="E5029" s="4">
        <v>3553658</v>
      </c>
      <c r="F5029" s="4" t="s">
        <v>10020</v>
      </c>
      <c r="G5029" s="4" t="s">
        <v>215</v>
      </c>
      <c r="H5029" s="13"/>
    </row>
    <row r="5030" s="1" customFormat="1" spans="1:8">
      <c r="A5030" s="4" t="s">
        <v>205</v>
      </c>
      <c r="B5030" s="4" t="s">
        <v>79</v>
      </c>
      <c r="C5030" s="4" t="s">
        <v>86</v>
      </c>
      <c r="D5030" s="4" t="s">
        <v>10021</v>
      </c>
      <c r="E5030" s="4">
        <v>3553856</v>
      </c>
      <c r="F5030" s="4" t="s">
        <v>10022</v>
      </c>
      <c r="G5030" s="4" t="s">
        <v>215</v>
      </c>
      <c r="H5030" s="13"/>
    </row>
    <row r="5031" s="1" customFormat="1" spans="1:8">
      <c r="A5031" s="4" t="s">
        <v>205</v>
      </c>
      <c r="B5031" s="4" t="s">
        <v>79</v>
      </c>
      <c r="C5031" s="4" t="s">
        <v>86</v>
      </c>
      <c r="D5031" s="4" t="s">
        <v>10023</v>
      </c>
      <c r="E5031" s="4">
        <v>3554003</v>
      </c>
      <c r="F5031" s="4" t="s">
        <v>10024</v>
      </c>
      <c r="G5031" s="4" t="s">
        <v>215</v>
      </c>
      <c r="H5031" s="13"/>
    </row>
    <row r="5032" s="1" customFormat="1" spans="1:8">
      <c r="A5032" s="4" t="s">
        <v>205</v>
      </c>
      <c r="B5032" s="4" t="s">
        <v>79</v>
      </c>
      <c r="C5032" s="4" t="s">
        <v>86</v>
      </c>
      <c r="D5032" s="4" t="s">
        <v>10025</v>
      </c>
      <c r="E5032" s="4">
        <v>3554102</v>
      </c>
      <c r="F5032" s="4" t="s">
        <v>10026</v>
      </c>
      <c r="G5032" s="4" t="s">
        <v>215</v>
      </c>
      <c r="H5032" s="13"/>
    </row>
    <row r="5033" s="1" customFormat="1" spans="1:8">
      <c r="A5033" s="4" t="s">
        <v>205</v>
      </c>
      <c r="B5033" s="4" t="s">
        <v>79</v>
      </c>
      <c r="C5033" s="4" t="s">
        <v>86</v>
      </c>
      <c r="D5033" s="4" t="s">
        <v>10027</v>
      </c>
      <c r="E5033" s="4">
        <v>3554508</v>
      </c>
      <c r="F5033" s="4" t="s">
        <v>10028</v>
      </c>
      <c r="G5033" s="4" t="s">
        <v>215</v>
      </c>
      <c r="H5033" s="13"/>
    </row>
    <row r="5034" s="1" customFormat="1" spans="1:8">
      <c r="A5034" s="4" t="s">
        <v>205</v>
      </c>
      <c r="B5034" s="4" t="s">
        <v>79</v>
      </c>
      <c r="C5034" s="4" t="s">
        <v>86</v>
      </c>
      <c r="D5034" s="4" t="s">
        <v>10029</v>
      </c>
      <c r="E5034" s="4">
        <v>3554656</v>
      </c>
      <c r="F5034" s="4" t="s">
        <v>10030</v>
      </c>
      <c r="G5034" s="4" t="s">
        <v>215</v>
      </c>
      <c r="H5034" s="13"/>
    </row>
    <row r="5035" s="1" customFormat="1" spans="1:8">
      <c r="A5035" s="4" t="s">
        <v>205</v>
      </c>
      <c r="B5035" s="4" t="s">
        <v>79</v>
      </c>
      <c r="C5035" s="4" t="s">
        <v>86</v>
      </c>
      <c r="D5035" s="4" t="s">
        <v>10031</v>
      </c>
      <c r="E5035" s="4">
        <v>3554706</v>
      </c>
      <c r="F5035" s="4" t="s">
        <v>10032</v>
      </c>
      <c r="G5035" s="4" t="s">
        <v>215</v>
      </c>
      <c r="H5035" s="13"/>
    </row>
    <row r="5036" s="1" customFormat="1" spans="1:8">
      <c r="A5036" s="4" t="s">
        <v>205</v>
      </c>
      <c r="B5036" s="4" t="s">
        <v>79</v>
      </c>
      <c r="C5036" s="4" t="s">
        <v>86</v>
      </c>
      <c r="D5036" s="4" t="s">
        <v>10033</v>
      </c>
      <c r="E5036" s="4">
        <v>3554805</v>
      </c>
      <c r="F5036" s="4" t="s">
        <v>10034</v>
      </c>
      <c r="G5036" s="4" t="s">
        <v>215</v>
      </c>
      <c r="H5036" s="13"/>
    </row>
    <row r="5037" s="1" customFormat="1" spans="1:8">
      <c r="A5037" s="4" t="s">
        <v>205</v>
      </c>
      <c r="B5037" s="4" t="s">
        <v>79</v>
      </c>
      <c r="C5037" s="4" t="s">
        <v>86</v>
      </c>
      <c r="D5037" s="4" t="s">
        <v>10035</v>
      </c>
      <c r="E5037" s="4">
        <v>3554953</v>
      </c>
      <c r="F5037" s="4" t="s">
        <v>10036</v>
      </c>
      <c r="G5037" s="4" t="s">
        <v>215</v>
      </c>
      <c r="H5037" s="13"/>
    </row>
    <row r="5038" s="1" customFormat="1" spans="1:8">
      <c r="A5038" s="4" t="s">
        <v>205</v>
      </c>
      <c r="B5038" s="4" t="s">
        <v>79</v>
      </c>
      <c r="C5038" s="4" t="s">
        <v>86</v>
      </c>
      <c r="D5038" s="4" t="s">
        <v>10037</v>
      </c>
      <c r="E5038" s="4">
        <v>3555406</v>
      </c>
      <c r="F5038" s="4" t="s">
        <v>10038</v>
      </c>
      <c r="G5038" s="4" t="s">
        <v>215</v>
      </c>
      <c r="H5038" s="13"/>
    </row>
    <row r="5039" s="1" customFormat="1" spans="1:8">
      <c r="A5039" s="4" t="s">
        <v>205</v>
      </c>
      <c r="B5039" s="4" t="s">
        <v>79</v>
      </c>
      <c r="C5039" s="4" t="s">
        <v>86</v>
      </c>
      <c r="D5039" s="4" t="s">
        <v>10039</v>
      </c>
      <c r="E5039" s="4">
        <v>3556206</v>
      </c>
      <c r="F5039" s="4" t="s">
        <v>10040</v>
      </c>
      <c r="G5039" s="4" t="s">
        <v>215</v>
      </c>
      <c r="H5039" s="13"/>
    </row>
    <row r="5040" s="1" customFormat="1" spans="1:8">
      <c r="A5040" s="4" t="s">
        <v>205</v>
      </c>
      <c r="B5040" s="4" t="s">
        <v>79</v>
      </c>
      <c r="C5040" s="4" t="s">
        <v>86</v>
      </c>
      <c r="D5040" s="4" t="s">
        <v>9339</v>
      </c>
      <c r="E5040" s="4">
        <v>3556354</v>
      </c>
      <c r="F5040" s="4" t="s">
        <v>10041</v>
      </c>
      <c r="G5040" s="4" t="s">
        <v>215</v>
      </c>
      <c r="H5040" s="13"/>
    </row>
    <row r="5041" s="1" customFormat="1" spans="1:8">
      <c r="A5041" s="4" t="s">
        <v>205</v>
      </c>
      <c r="B5041" s="4" t="s">
        <v>79</v>
      </c>
      <c r="C5041" s="4" t="s">
        <v>86</v>
      </c>
      <c r="D5041" s="4" t="s">
        <v>10042</v>
      </c>
      <c r="E5041" s="4">
        <v>3556404</v>
      </c>
      <c r="F5041" s="4" t="s">
        <v>10043</v>
      </c>
      <c r="G5041" s="4" t="s">
        <v>215</v>
      </c>
      <c r="H5041" s="13"/>
    </row>
    <row r="5042" s="1" customFormat="1" spans="1:8">
      <c r="A5042" s="4" t="s">
        <v>205</v>
      </c>
      <c r="B5042" s="4" t="s">
        <v>79</v>
      </c>
      <c r="C5042" s="4" t="s">
        <v>86</v>
      </c>
      <c r="D5042" s="4" t="s">
        <v>10044</v>
      </c>
      <c r="E5042" s="4">
        <v>3556453</v>
      </c>
      <c r="F5042" s="4" t="s">
        <v>10045</v>
      </c>
      <c r="G5042" s="4" t="s">
        <v>215</v>
      </c>
      <c r="H5042" s="13"/>
    </row>
    <row r="5043" s="1" customFormat="1" spans="1:8">
      <c r="A5043" s="4" t="s">
        <v>205</v>
      </c>
      <c r="B5043" s="4" t="s">
        <v>79</v>
      </c>
      <c r="C5043" s="4" t="s">
        <v>86</v>
      </c>
      <c r="D5043" s="4" t="s">
        <v>10046</v>
      </c>
      <c r="E5043" s="4">
        <v>3556701</v>
      </c>
      <c r="F5043" s="4" t="s">
        <v>10047</v>
      </c>
      <c r="G5043" s="4" t="s">
        <v>215</v>
      </c>
      <c r="H5043" s="13"/>
    </row>
    <row r="5044" s="1" customFormat="1" spans="1:8">
      <c r="A5044" s="4" t="s">
        <v>205</v>
      </c>
      <c r="B5044" s="4" t="s">
        <v>79</v>
      </c>
      <c r="C5044" s="4" t="s">
        <v>86</v>
      </c>
      <c r="D5044" s="4" t="s">
        <v>10048</v>
      </c>
      <c r="E5044" s="4">
        <v>3557006</v>
      </c>
      <c r="F5044" s="4" t="s">
        <v>10049</v>
      </c>
      <c r="G5044" s="4" t="s">
        <v>215</v>
      </c>
      <c r="H5044" s="13"/>
    </row>
    <row r="5045" s="1" customFormat="1" spans="1:8">
      <c r="A5045" s="4" t="s">
        <v>205</v>
      </c>
      <c r="B5045" s="4" t="s">
        <v>79</v>
      </c>
      <c r="C5045" s="4" t="s">
        <v>86</v>
      </c>
      <c r="D5045" s="4" t="s">
        <v>10050</v>
      </c>
      <c r="E5045" s="4">
        <v>3556503</v>
      </c>
      <c r="F5045" s="4" t="s">
        <v>10051</v>
      </c>
      <c r="G5045" s="4" t="s">
        <v>215</v>
      </c>
      <c r="H5045" s="13"/>
    </row>
    <row r="5046" s="1" customFormat="1" spans="1:8">
      <c r="A5046" s="4" t="s">
        <v>205</v>
      </c>
      <c r="B5046" s="4" t="s">
        <v>79</v>
      </c>
      <c r="C5046" s="4" t="s">
        <v>86</v>
      </c>
      <c r="D5046" s="4" t="s">
        <v>10052</v>
      </c>
      <c r="E5046" s="4">
        <v>3500402</v>
      </c>
      <c r="F5046" s="4" t="s">
        <v>10053</v>
      </c>
      <c r="G5046" s="4" t="s">
        <v>215</v>
      </c>
      <c r="H5046" s="13"/>
    </row>
    <row r="5047" s="1" customFormat="1" spans="1:8">
      <c r="A5047" s="4" t="s">
        <v>205</v>
      </c>
      <c r="B5047" s="4" t="s">
        <v>79</v>
      </c>
      <c r="C5047" s="4" t="s">
        <v>86</v>
      </c>
      <c r="D5047" s="4" t="s">
        <v>10054</v>
      </c>
      <c r="E5047" s="4">
        <v>3500501</v>
      </c>
      <c r="F5047" s="4" t="s">
        <v>10055</v>
      </c>
      <c r="G5047" s="4" t="s">
        <v>215</v>
      </c>
      <c r="H5047" s="13"/>
    </row>
    <row r="5048" s="1" customFormat="1" spans="1:8">
      <c r="A5048" s="4" t="s">
        <v>205</v>
      </c>
      <c r="B5048" s="4" t="s">
        <v>79</v>
      </c>
      <c r="C5048" s="4" t="s">
        <v>86</v>
      </c>
      <c r="D5048" s="4" t="s">
        <v>10056</v>
      </c>
      <c r="E5048" s="4">
        <v>3500600</v>
      </c>
      <c r="F5048" s="4" t="s">
        <v>10057</v>
      </c>
      <c r="G5048" s="4" t="s">
        <v>215</v>
      </c>
      <c r="H5048" s="13"/>
    </row>
    <row r="5049" s="1" customFormat="1" spans="1:8">
      <c r="A5049" s="4" t="s">
        <v>205</v>
      </c>
      <c r="B5049" s="4" t="s">
        <v>79</v>
      </c>
      <c r="C5049" s="4" t="s">
        <v>86</v>
      </c>
      <c r="D5049" s="4" t="s">
        <v>10058</v>
      </c>
      <c r="E5049" s="4">
        <v>3500204</v>
      </c>
      <c r="F5049" s="4" t="s">
        <v>10059</v>
      </c>
      <c r="G5049" s="4" t="s">
        <v>232</v>
      </c>
      <c r="H5049" s="13"/>
    </row>
    <row r="5050" s="1" customFormat="1" spans="1:8">
      <c r="A5050" s="4" t="s">
        <v>205</v>
      </c>
      <c r="B5050" s="4" t="s">
        <v>79</v>
      </c>
      <c r="C5050" s="4" t="s">
        <v>86</v>
      </c>
      <c r="D5050" s="4" t="s">
        <v>10060</v>
      </c>
      <c r="E5050" s="4">
        <v>3500709</v>
      </c>
      <c r="F5050" s="4" t="s">
        <v>10061</v>
      </c>
      <c r="G5050" s="4" t="s">
        <v>232</v>
      </c>
      <c r="H5050" s="13"/>
    </row>
    <row r="5051" s="1" customFormat="1" spans="1:8">
      <c r="A5051" s="4" t="s">
        <v>205</v>
      </c>
      <c r="B5051" s="4" t="s">
        <v>79</v>
      </c>
      <c r="C5051" s="4" t="s">
        <v>86</v>
      </c>
      <c r="D5051" s="4" t="s">
        <v>10062</v>
      </c>
      <c r="E5051" s="4">
        <v>3500907</v>
      </c>
      <c r="F5051" s="4" t="s">
        <v>10063</v>
      </c>
      <c r="G5051" s="4" t="s">
        <v>232</v>
      </c>
      <c r="H5051" s="13"/>
    </row>
    <row r="5052" s="1" customFormat="1" spans="1:8">
      <c r="A5052" s="4" t="s">
        <v>205</v>
      </c>
      <c r="B5052" s="4" t="s">
        <v>79</v>
      </c>
      <c r="C5052" s="4" t="s">
        <v>86</v>
      </c>
      <c r="D5052" s="4" t="s">
        <v>10064</v>
      </c>
      <c r="E5052" s="4">
        <v>3501004</v>
      </c>
      <c r="F5052" s="4" t="s">
        <v>10065</v>
      </c>
      <c r="G5052" s="4" t="s">
        <v>232</v>
      </c>
      <c r="H5052" s="13"/>
    </row>
    <row r="5053" s="1" customFormat="1" spans="1:8">
      <c r="A5053" s="4" t="s">
        <v>205</v>
      </c>
      <c r="B5053" s="4" t="s">
        <v>79</v>
      </c>
      <c r="C5053" s="4" t="s">
        <v>86</v>
      </c>
      <c r="D5053" s="4" t="s">
        <v>7898</v>
      </c>
      <c r="E5053" s="4">
        <v>3501103</v>
      </c>
      <c r="F5053" s="4" t="s">
        <v>10066</v>
      </c>
      <c r="G5053" s="4" t="s">
        <v>232</v>
      </c>
      <c r="H5053" s="13"/>
    </row>
    <row r="5054" s="1" customFormat="1" spans="1:8">
      <c r="A5054" s="4" t="s">
        <v>205</v>
      </c>
      <c r="B5054" s="4" t="s">
        <v>79</v>
      </c>
      <c r="C5054" s="4" t="s">
        <v>86</v>
      </c>
      <c r="D5054" s="4" t="s">
        <v>10067</v>
      </c>
      <c r="E5054" s="4">
        <v>3501509</v>
      </c>
      <c r="F5054" s="4" t="s">
        <v>10068</v>
      </c>
      <c r="G5054" s="4" t="s">
        <v>232</v>
      </c>
      <c r="H5054" s="13"/>
    </row>
    <row r="5055" s="1" customFormat="1" spans="1:8">
      <c r="A5055" s="4" t="s">
        <v>205</v>
      </c>
      <c r="B5055" s="4" t="s">
        <v>79</v>
      </c>
      <c r="C5055" s="4" t="s">
        <v>86</v>
      </c>
      <c r="D5055" s="4" t="s">
        <v>10069</v>
      </c>
      <c r="E5055" s="4">
        <v>3501707</v>
      </c>
      <c r="F5055" s="4" t="s">
        <v>10070</v>
      </c>
      <c r="G5055" s="4" t="s">
        <v>232</v>
      </c>
      <c r="H5055" s="13"/>
    </row>
    <row r="5056" s="1" customFormat="1" spans="1:8">
      <c r="A5056" s="4" t="s">
        <v>205</v>
      </c>
      <c r="B5056" s="4" t="s">
        <v>79</v>
      </c>
      <c r="C5056" s="4" t="s">
        <v>86</v>
      </c>
      <c r="D5056" s="4" t="s">
        <v>10071</v>
      </c>
      <c r="E5056" s="4">
        <v>3502705</v>
      </c>
      <c r="F5056" s="4" t="s">
        <v>10072</v>
      </c>
      <c r="G5056" s="4" t="s">
        <v>232</v>
      </c>
      <c r="H5056" s="13"/>
    </row>
    <row r="5057" s="1" customFormat="1" spans="1:8">
      <c r="A5057" s="4" t="s">
        <v>205</v>
      </c>
      <c r="B5057" s="4" t="s">
        <v>79</v>
      </c>
      <c r="C5057" s="4" t="s">
        <v>86</v>
      </c>
      <c r="D5057" s="4" t="s">
        <v>10073</v>
      </c>
      <c r="E5057" s="4">
        <v>3503000</v>
      </c>
      <c r="F5057" s="4" t="s">
        <v>10074</v>
      </c>
      <c r="G5057" s="4" t="s">
        <v>232</v>
      </c>
      <c r="H5057" s="13"/>
    </row>
    <row r="5058" s="1" customFormat="1" spans="1:8">
      <c r="A5058" s="4" t="s">
        <v>205</v>
      </c>
      <c r="B5058" s="4" t="s">
        <v>79</v>
      </c>
      <c r="C5058" s="4" t="s">
        <v>86</v>
      </c>
      <c r="D5058" s="4" t="s">
        <v>10075</v>
      </c>
      <c r="E5058" s="4">
        <v>3503109</v>
      </c>
      <c r="F5058" s="4" t="s">
        <v>10076</v>
      </c>
      <c r="G5058" s="4" t="s">
        <v>232</v>
      </c>
      <c r="H5058" s="13"/>
    </row>
    <row r="5059" s="1" customFormat="1" spans="1:8">
      <c r="A5059" s="4" t="s">
        <v>205</v>
      </c>
      <c r="B5059" s="4" t="s">
        <v>79</v>
      </c>
      <c r="C5059" s="4" t="s">
        <v>86</v>
      </c>
      <c r="D5059" s="4" t="s">
        <v>10077</v>
      </c>
      <c r="E5059" s="4">
        <v>3503158</v>
      </c>
      <c r="F5059" s="4" t="s">
        <v>10078</v>
      </c>
      <c r="G5059" s="4" t="s">
        <v>232</v>
      </c>
      <c r="H5059" s="13"/>
    </row>
    <row r="5060" s="1" customFormat="1" spans="1:8">
      <c r="A5060" s="4" t="s">
        <v>205</v>
      </c>
      <c r="B5060" s="4" t="s">
        <v>79</v>
      </c>
      <c r="C5060" s="4" t="s">
        <v>86</v>
      </c>
      <c r="D5060" s="4" t="s">
        <v>10079</v>
      </c>
      <c r="E5060" s="4">
        <v>3503208</v>
      </c>
      <c r="F5060" s="4" t="s">
        <v>10080</v>
      </c>
      <c r="G5060" s="4" t="s">
        <v>232</v>
      </c>
      <c r="H5060" s="13"/>
    </row>
    <row r="5061" s="1" customFormat="1" spans="1:8">
      <c r="A5061" s="4" t="s">
        <v>205</v>
      </c>
      <c r="B5061" s="4" t="s">
        <v>79</v>
      </c>
      <c r="C5061" s="4" t="s">
        <v>86</v>
      </c>
      <c r="D5061" s="4" t="s">
        <v>10081</v>
      </c>
      <c r="E5061" s="4">
        <v>3503406</v>
      </c>
      <c r="F5061" s="4" t="s">
        <v>10082</v>
      </c>
      <c r="G5061" s="4" t="s">
        <v>232</v>
      </c>
      <c r="H5061" s="13"/>
    </row>
    <row r="5062" s="1" customFormat="1" spans="1:8">
      <c r="A5062" s="4" t="s">
        <v>205</v>
      </c>
      <c r="B5062" s="4" t="s">
        <v>79</v>
      </c>
      <c r="C5062" s="4" t="s">
        <v>86</v>
      </c>
      <c r="D5062" s="4" t="s">
        <v>10083</v>
      </c>
      <c r="E5062" s="4">
        <v>3503604</v>
      </c>
      <c r="F5062" s="4" t="s">
        <v>10084</v>
      </c>
      <c r="G5062" s="4" t="s">
        <v>232</v>
      </c>
      <c r="H5062" s="13"/>
    </row>
    <row r="5063" s="1" customFormat="1" spans="1:8">
      <c r="A5063" s="4" t="s">
        <v>205</v>
      </c>
      <c r="B5063" s="4" t="s">
        <v>79</v>
      </c>
      <c r="C5063" s="4" t="s">
        <v>86</v>
      </c>
      <c r="D5063" s="4" t="s">
        <v>10085</v>
      </c>
      <c r="E5063" s="4">
        <v>3503703</v>
      </c>
      <c r="F5063" s="4" t="s">
        <v>10086</v>
      </c>
      <c r="G5063" s="4" t="s">
        <v>232</v>
      </c>
      <c r="H5063" s="13"/>
    </row>
    <row r="5064" s="1" customFormat="1" spans="1:8">
      <c r="A5064" s="4" t="s">
        <v>205</v>
      </c>
      <c r="B5064" s="4" t="s">
        <v>79</v>
      </c>
      <c r="C5064" s="4" t="s">
        <v>86</v>
      </c>
      <c r="D5064" s="4" t="s">
        <v>10087</v>
      </c>
      <c r="E5064" s="4">
        <v>3504008</v>
      </c>
      <c r="F5064" s="4" t="s">
        <v>10088</v>
      </c>
      <c r="G5064" s="4" t="s">
        <v>232</v>
      </c>
      <c r="H5064" s="13"/>
    </row>
    <row r="5065" s="1" customFormat="1" spans="1:8">
      <c r="A5065" s="4" t="s">
        <v>205</v>
      </c>
      <c r="B5065" s="4" t="s">
        <v>79</v>
      </c>
      <c r="C5065" s="4" t="s">
        <v>86</v>
      </c>
      <c r="D5065" s="4" t="s">
        <v>10089</v>
      </c>
      <c r="E5065" s="4">
        <v>3504404</v>
      </c>
      <c r="F5065" s="4" t="s">
        <v>10090</v>
      </c>
      <c r="G5065" s="4" t="s">
        <v>232</v>
      </c>
      <c r="H5065" s="13"/>
    </row>
    <row r="5066" s="1" customFormat="1" spans="1:8">
      <c r="A5066" s="4" t="s">
        <v>205</v>
      </c>
      <c r="B5066" s="4" t="s">
        <v>79</v>
      </c>
      <c r="C5066" s="4" t="s">
        <v>86</v>
      </c>
      <c r="D5066" s="4" t="s">
        <v>10091</v>
      </c>
      <c r="E5066" s="4">
        <v>3504305</v>
      </c>
      <c r="F5066" s="4" t="s">
        <v>10092</v>
      </c>
      <c r="G5066" s="4" t="s">
        <v>232</v>
      </c>
      <c r="H5066" s="13"/>
    </row>
    <row r="5067" s="1" customFormat="1" spans="1:8">
      <c r="A5067" s="4" t="s">
        <v>205</v>
      </c>
      <c r="B5067" s="4" t="s">
        <v>79</v>
      </c>
      <c r="C5067" s="4" t="s">
        <v>86</v>
      </c>
      <c r="D5067" s="4" t="s">
        <v>10093</v>
      </c>
      <c r="E5067" s="4">
        <v>3504602</v>
      </c>
      <c r="F5067" s="4" t="s">
        <v>10094</v>
      </c>
      <c r="G5067" s="4" t="s">
        <v>232</v>
      </c>
      <c r="H5067" s="13"/>
    </row>
    <row r="5068" s="1" customFormat="1" spans="1:8">
      <c r="A5068" s="4" t="s">
        <v>205</v>
      </c>
      <c r="B5068" s="4" t="s">
        <v>79</v>
      </c>
      <c r="C5068" s="4" t="s">
        <v>86</v>
      </c>
      <c r="D5068" s="4" t="s">
        <v>10095</v>
      </c>
      <c r="E5068" s="4">
        <v>3504701</v>
      </c>
      <c r="F5068" s="4" t="s">
        <v>10096</v>
      </c>
      <c r="G5068" s="4" t="s">
        <v>232</v>
      </c>
      <c r="H5068" s="13"/>
    </row>
    <row r="5069" s="1" customFormat="1" spans="1:8">
      <c r="A5069" s="4" t="s">
        <v>205</v>
      </c>
      <c r="B5069" s="4" t="s">
        <v>79</v>
      </c>
      <c r="C5069" s="4" t="s">
        <v>86</v>
      </c>
      <c r="D5069" s="4" t="s">
        <v>10097</v>
      </c>
      <c r="E5069" s="4">
        <v>3504909</v>
      </c>
      <c r="F5069" s="4" t="s">
        <v>10098</v>
      </c>
      <c r="G5069" s="4" t="s">
        <v>232</v>
      </c>
      <c r="H5069" s="13"/>
    </row>
    <row r="5070" s="1" customFormat="1" spans="1:8">
      <c r="A5070" s="4" t="s">
        <v>205</v>
      </c>
      <c r="B5070" s="4" t="s">
        <v>79</v>
      </c>
      <c r="C5070" s="4" t="s">
        <v>86</v>
      </c>
      <c r="D5070" s="4" t="s">
        <v>10099</v>
      </c>
      <c r="E5070" s="4">
        <v>3505203</v>
      </c>
      <c r="F5070" s="4" t="s">
        <v>10100</v>
      </c>
      <c r="G5070" s="4" t="s">
        <v>232</v>
      </c>
      <c r="H5070" s="13"/>
    </row>
    <row r="5071" s="1" customFormat="1" spans="1:8">
      <c r="A5071" s="4" t="s">
        <v>205</v>
      </c>
      <c r="B5071" s="4" t="s">
        <v>79</v>
      </c>
      <c r="C5071" s="4" t="s">
        <v>86</v>
      </c>
      <c r="D5071" s="4" t="s">
        <v>9358</v>
      </c>
      <c r="E5071" s="4">
        <v>3505302</v>
      </c>
      <c r="F5071" s="4" t="s">
        <v>10101</v>
      </c>
      <c r="G5071" s="4" t="s">
        <v>232</v>
      </c>
      <c r="H5071" s="13"/>
    </row>
    <row r="5072" s="1" customFormat="1" spans="1:8">
      <c r="A5072" s="4" t="s">
        <v>205</v>
      </c>
      <c r="B5072" s="4" t="s">
        <v>79</v>
      </c>
      <c r="C5072" s="4" t="s">
        <v>86</v>
      </c>
      <c r="D5072" s="4" t="s">
        <v>10102</v>
      </c>
      <c r="E5072" s="4">
        <v>3505351</v>
      </c>
      <c r="F5072" s="4" t="s">
        <v>10103</v>
      </c>
      <c r="G5072" s="4" t="s">
        <v>232</v>
      </c>
      <c r="H5072" s="13"/>
    </row>
    <row r="5073" s="1" customFormat="1" spans="1:8">
      <c r="A5073" s="4" t="s">
        <v>205</v>
      </c>
      <c r="B5073" s="4" t="s">
        <v>79</v>
      </c>
      <c r="C5073" s="4" t="s">
        <v>86</v>
      </c>
      <c r="D5073" s="4" t="s">
        <v>10104</v>
      </c>
      <c r="E5073" s="4">
        <v>3505401</v>
      </c>
      <c r="F5073" s="4" t="s">
        <v>10105</v>
      </c>
      <c r="G5073" s="4" t="s">
        <v>232</v>
      </c>
      <c r="H5073" s="13"/>
    </row>
    <row r="5074" s="1" customFormat="1" spans="1:8">
      <c r="A5074" s="4" t="s">
        <v>205</v>
      </c>
      <c r="B5074" s="4" t="s">
        <v>79</v>
      </c>
      <c r="C5074" s="4" t="s">
        <v>86</v>
      </c>
      <c r="D5074" s="4" t="s">
        <v>10106</v>
      </c>
      <c r="E5074" s="4">
        <v>3505500</v>
      </c>
      <c r="F5074" s="4" t="s">
        <v>10107</v>
      </c>
      <c r="G5074" s="4" t="s">
        <v>232</v>
      </c>
      <c r="H5074" s="13"/>
    </row>
    <row r="5075" s="1" customFormat="1" spans="1:8">
      <c r="A5075" s="4" t="s">
        <v>205</v>
      </c>
      <c r="B5075" s="4" t="s">
        <v>79</v>
      </c>
      <c r="C5075" s="4" t="s">
        <v>86</v>
      </c>
      <c r="D5075" s="4" t="s">
        <v>10108</v>
      </c>
      <c r="E5075" s="4">
        <v>3505609</v>
      </c>
      <c r="F5075" s="4" t="s">
        <v>10109</v>
      </c>
      <c r="G5075" s="4" t="s">
        <v>232</v>
      </c>
      <c r="H5075" s="13"/>
    </row>
    <row r="5076" s="1" customFormat="1" spans="1:8">
      <c r="A5076" s="4" t="s">
        <v>205</v>
      </c>
      <c r="B5076" s="4" t="s">
        <v>79</v>
      </c>
      <c r="C5076" s="4" t="s">
        <v>86</v>
      </c>
      <c r="D5076" s="4" t="s">
        <v>10110</v>
      </c>
      <c r="E5076" s="4">
        <v>3505005</v>
      </c>
      <c r="F5076" s="4" t="s">
        <v>10111</v>
      </c>
      <c r="G5076" s="4" t="s">
        <v>232</v>
      </c>
      <c r="H5076" s="13"/>
    </row>
    <row r="5077" s="1" customFormat="1" spans="1:8">
      <c r="A5077" s="4" t="s">
        <v>205</v>
      </c>
      <c r="B5077" s="4" t="s">
        <v>79</v>
      </c>
      <c r="C5077" s="4" t="s">
        <v>86</v>
      </c>
      <c r="D5077" s="4" t="s">
        <v>10112</v>
      </c>
      <c r="E5077" s="4">
        <v>3505906</v>
      </c>
      <c r="F5077" s="4" t="s">
        <v>10113</v>
      </c>
      <c r="G5077" s="4" t="s">
        <v>232</v>
      </c>
      <c r="H5077" s="13"/>
    </row>
    <row r="5078" s="1" customFormat="1" spans="1:8">
      <c r="A5078" s="4" t="s">
        <v>205</v>
      </c>
      <c r="B5078" s="4" t="s">
        <v>79</v>
      </c>
      <c r="C5078" s="4" t="s">
        <v>86</v>
      </c>
      <c r="D5078" s="4" t="s">
        <v>10114</v>
      </c>
      <c r="E5078" s="4">
        <v>3506003</v>
      </c>
      <c r="F5078" s="4" t="s">
        <v>10115</v>
      </c>
      <c r="G5078" s="4" t="s">
        <v>232</v>
      </c>
      <c r="H5078" s="13"/>
    </row>
    <row r="5079" s="1" customFormat="1" spans="1:8">
      <c r="A5079" s="4" t="s">
        <v>205</v>
      </c>
      <c r="B5079" s="4" t="s">
        <v>79</v>
      </c>
      <c r="C5079" s="4" t="s">
        <v>86</v>
      </c>
      <c r="D5079" s="4" t="s">
        <v>10116</v>
      </c>
      <c r="E5079" s="4">
        <v>3506102</v>
      </c>
      <c r="F5079" s="4" t="s">
        <v>10117</v>
      </c>
      <c r="G5079" s="4" t="s">
        <v>232</v>
      </c>
      <c r="H5079" s="13"/>
    </row>
    <row r="5080" s="1" customFormat="1" spans="1:8">
      <c r="A5080" s="4" t="s">
        <v>205</v>
      </c>
      <c r="B5080" s="4" t="s">
        <v>79</v>
      </c>
      <c r="C5080" s="4" t="s">
        <v>86</v>
      </c>
      <c r="D5080" s="4" t="s">
        <v>10118</v>
      </c>
      <c r="E5080" s="4">
        <v>3506300</v>
      </c>
      <c r="F5080" s="4" t="s">
        <v>10119</v>
      </c>
      <c r="G5080" s="4" t="s">
        <v>232</v>
      </c>
      <c r="H5080" s="13"/>
    </row>
    <row r="5081" s="1" customFormat="1" spans="1:8">
      <c r="A5081" s="4" t="s">
        <v>205</v>
      </c>
      <c r="B5081" s="4" t="s">
        <v>79</v>
      </c>
      <c r="C5081" s="4" t="s">
        <v>86</v>
      </c>
      <c r="D5081" s="4" t="s">
        <v>10120</v>
      </c>
      <c r="E5081" s="4">
        <v>3506706</v>
      </c>
      <c r="F5081" s="4" t="s">
        <v>10121</v>
      </c>
      <c r="G5081" s="4" t="s">
        <v>232</v>
      </c>
      <c r="H5081" s="13"/>
    </row>
    <row r="5082" s="1" customFormat="1" spans="1:8">
      <c r="A5082" s="4" t="s">
        <v>205</v>
      </c>
      <c r="B5082" s="4" t="s">
        <v>79</v>
      </c>
      <c r="C5082" s="4" t="s">
        <v>86</v>
      </c>
      <c r="D5082" s="4" t="s">
        <v>6325</v>
      </c>
      <c r="E5082" s="4">
        <v>3506805</v>
      </c>
      <c r="F5082" s="4" t="s">
        <v>10122</v>
      </c>
      <c r="G5082" s="4" t="s">
        <v>232</v>
      </c>
      <c r="H5082" s="13"/>
    </row>
    <row r="5083" s="1" customFormat="1" spans="1:8">
      <c r="A5083" s="4" t="s">
        <v>205</v>
      </c>
      <c r="B5083" s="4" t="s">
        <v>79</v>
      </c>
      <c r="C5083" s="4" t="s">
        <v>86</v>
      </c>
      <c r="D5083" s="4" t="s">
        <v>10123</v>
      </c>
      <c r="E5083" s="4">
        <v>3507159</v>
      </c>
      <c r="F5083" s="4" t="s">
        <v>10124</v>
      </c>
      <c r="G5083" s="4" t="s">
        <v>232</v>
      </c>
      <c r="H5083" s="13"/>
    </row>
    <row r="5084" s="1" customFormat="1" spans="1:8">
      <c r="A5084" s="4" t="s">
        <v>205</v>
      </c>
      <c r="B5084" s="4" t="s">
        <v>79</v>
      </c>
      <c r="C5084" s="4" t="s">
        <v>86</v>
      </c>
      <c r="D5084" s="4" t="s">
        <v>10125</v>
      </c>
      <c r="E5084" s="4">
        <v>3507308</v>
      </c>
      <c r="F5084" s="4" t="s">
        <v>10126</v>
      </c>
      <c r="G5084" s="4" t="s">
        <v>232</v>
      </c>
      <c r="H5084" s="13"/>
    </row>
    <row r="5085" s="1" customFormat="1" spans="1:8">
      <c r="A5085" s="4" t="s">
        <v>205</v>
      </c>
      <c r="B5085" s="4" t="s">
        <v>79</v>
      </c>
      <c r="C5085" s="4" t="s">
        <v>86</v>
      </c>
      <c r="D5085" s="4" t="s">
        <v>5360</v>
      </c>
      <c r="E5085" s="4">
        <v>3507407</v>
      </c>
      <c r="F5085" s="4" t="s">
        <v>10127</v>
      </c>
      <c r="G5085" s="4" t="s">
        <v>232</v>
      </c>
      <c r="H5085" s="13"/>
    </row>
    <row r="5086" s="1" customFormat="1" spans="1:8">
      <c r="A5086" s="4" t="s">
        <v>205</v>
      </c>
      <c r="B5086" s="4" t="s">
        <v>79</v>
      </c>
      <c r="C5086" s="4" t="s">
        <v>86</v>
      </c>
      <c r="D5086" s="4" t="s">
        <v>10128</v>
      </c>
      <c r="E5086" s="4">
        <v>3507456</v>
      </c>
      <c r="F5086" s="4" t="s">
        <v>10129</v>
      </c>
      <c r="G5086" s="4" t="s">
        <v>232</v>
      </c>
      <c r="H5086" s="13"/>
    </row>
    <row r="5087" s="1" customFormat="1" spans="1:8">
      <c r="A5087" s="4" t="s">
        <v>205</v>
      </c>
      <c r="B5087" s="4" t="s">
        <v>79</v>
      </c>
      <c r="C5087" s="4" t="s">
        <v>86</v>
      </c>
      <c r="D5087" s="4" t="s">
        <v>10130</v>
      </c>
      <c r="E5087" s="4">
        <v>3507209</v>
      </c>
      <c r="F5087" s="4" t="s">
        <v>10131</v>
      </c>
      <c r="G5087" s="4" t="s">
        <v>232</v>
      </c>
      <c r="H5087" s="13"/>
    </row>
    <row r="5088" s="1" customFormat="1" spans="1:8">
      <c r="A5088" s="4" t="s">
        <v>205</v>
      </c>
      <c r="B5088" s="4" t="s">
        <v>79</v>
      </c>
      <c r="C5088" s="4" t="s">
        <v>86</v>
      </c>
      <c r="D5088" s="4" t="s">
        <v>10132</v>
      </c>
      <c r="E5088" s="4">
        <v>3507803</v>
      </c>
      <c r="F5088" s="4" t="s">
        <v>10133</v>
      </c>
      <c r="G5088" s="4" t="s">
        <v>232</v>
      </c>
      <c r="H5088" s="13"/>
    </row>
    <row r="5089" s="1" customFormat="1" spans="1:8">
      <c r="A5089" s="4" t="s">
        <v>205</v>
      </c>
      <c r="B5089" s="4" t="s">
        <v>79</v>
      </c>
      <c r="C5089" s="4" t="s">
        <v>86</v>
      </c>
      <c r="D5089" s="4" t="s">
        <v>10134</v>
      </c>
      <c r="E5089" s="4">
        <v>3508207</v>
      </c>
      <c r="F5089" s="4" t="s">
        <v>10135</v>
      </c>
      <c r="G5089" s="4" t="s">
        <v>232</v>
      </c>
      <c r="H5089" s="13"/>
    </row>
    <row r="5090" s="1" customFormat="1" spans="1:8">
      <c r="A5090" s="4" t="s">
        <v>205</v>
      </c>
      <c r="B5090" s="4" t="s">
        <v>79</v>
      </c>
      <c r="C5090" s="4" t="s">
        <v>86</v>
      </c>
      <c r="D5090" s="4" t="s">
        <v>10136</v>
      </c>
      <c r="E5090" s="4">
        <v>3504800</v>
      </c>
      <c r="F5090" s="4" t="s">
        <v>10137</v>
      </c>
      <c r="G5090" s="4" t="s">
        <v>232</v>
      </c>
      <c r="H5090" s="13"/>
    </row>
    <row r="5091" s="1" customFormat="1" spans="1:8">
      <c r="A5091" s="4" t="s">
        <v>205</v>
      </c>
      <c r="B5091" s="4" t="s">
        <v>79</v>
      </c>
      <c r="C5091" s="4" t="s">
        <v>86</v>
      </c>
      <c r="D5091" s="4" t="s">
        <v>10138</v>
      </c>
      <c r="E5091" s="4">
        <v>3508306</v>
      </c>
      <c r="F5091" s="4" t="s">
        <v>10139</v>
      </c>
      <c r="G5091" s="4" t="s">
        <v>232</v>
      </c>
      <c r="H5091" s="13"/>
    </row>
    <row r="5092" s="1" customFormat="1" spans="1:8">
      <c r="A5092" s="4" t="s">
        <v>205</v>
      </c>
      <c r="B5092" s="4" t="s">
        <v>79</v>
      </c>
      <c r="C5092" s="4" t="s">
        <v>86</v>
      </c>
      <c r="D5092" s="4" t="s">
        <v>10140</v>
      </c>
      <c r="E5092" s="4">
        <v>3508702</v>
      </c>
      <c r="F5092" s="4" t="s">
        <v>10141</v>
      </c>
      <c r="G5092" s="4" t="s">
        <v>232</v>
      </c>
      <c r="H5092" s="13"/>
    </row>
    <row r="5093" s="1" customFormat="1" spans="1:8">
      <c r="A5093" s="4" t="s">
        <v>205</v>
      </c>
      <c r="B5093" s="4" t="s">
        <v>79</v>
      </c>
      <c r="C5093" s="4" t="s">
        <v>86</v>
      </c>
      <c r="D5093" s="4" t="s">
        <v>7006</v>
      </c>
      <c r="E5093" s="4">
        <v>3508801</v>
      </c>
      <c r="F5093" s="4" t="s">
        <v>10142</v>
      </c>
      <c r="G5093" s="4" t="s">
        <v>232</v>
      </c>
      <c r="H5093" s="13"/>
    </row>
    <row r="5094" s="1" customFormat="1" spans="1:8">
      <c r="A5094" s="4" t="s">
        <v>205</v>
      </c>
      <c r="B5094" s="4" t="s">
        <v>79</v>
      </c>
      <c r="C5094" s="4" t="s">
        <v>86</v>
      </c>
      <c r="D5094" s="4" t="s">
        <v>10143</v>
      </c>
      <c r="E5094" s="4">
        <v>3509304</v>
      </c>
      <c r="F5094" s="4" t="s">
        <v>10144</v>
      </c>
      <c r="G5094" s="4" t="s">
        <v>232</v>
      </c>
      <c r="H5094" s="13"/>
    </row>
    <row r="5095" s="1" customFormat="1" spans="1:8">
      <c r="A5095" s="4" t="s">
        <v>205</v>
      </c>
      <c r="B5095" s="4" t="s">
        <v>79</v>
      </c>
      <c r="C5095" s="4" t="s">
        <v>86</v>
      </c>
      <c r="D5095" s="4" t="s">
        <v>10145</v>
      </c>
      <c r="E5095" s="4">
        <v>3509403</v>
      </c>
      <c r="F5095" s="4" t="s">
        <v>10146</v>
      </c>
      <c r="G5095" s="4" t="s">
        <v>232</v>
      </c>
      <c r="H5095" s="13"/>
    </row>
    <row r="5096" s="1" customFormat="1" spans="1:8">
      <c r="A5096" s="4" t="s">
        <v>205</v>
      </c>
      <c r="B5096" s="4" t="s">
        <v>79</v>
      </c>
      <c r="C5096" s="4" t="s">
        <v>86</v>
      </c>
      <c r="D5096" s="4" t="s">
        <v>10147</v>
      </c>
      <c r="E5096" s="4">
        <v>3509809</v>
      </c>
      <c r="F5096" s="4" t="s">
        <v>10148</v>
      </c>
      <c r="G5096" s="4" t="s">
        <v>232</v>
      </c>
      <c r="H5096" s="13"/>
    </row>
    <row r="5097" s="1" customFormat="1" spans="1:8">
      <c r="A5097" s="4" t="s">
        <v>205</v>
      </c>
      <c r="B5097" s="4" t="s">
        <v>79</v>
      </c>
      <c r="C5097" s="4" t="s">
        <v>86</v>
      </c>
      <c r="D5097" s="4" t="s">
        <v>10149</v>
      </c>
      <c r="E5097" s="4">
        <v>3509908</v>
      </c>
      <c r="F5097" s="4" t="s">
        <v>10150</v>
      </c>
      <c r="G5097" s="4" t="s">
        <v>232</v>
      </c>
      <c r="H5097" s="13"/>
    </row>
    <row r="5098" s="1" customFormat="1" spans="1:8">
      <c r="A5098" s="4" t="s">
        <v>205</v>
      </c>
      <c r="B5098" s="4" t="s">
        <v>79</v>
      </c>
      <c r="C5098" s="4" t="s">
        <v>86</v>
      </c>
      <c r="D5098" s="4" t="s">
        <v>10151</v>
      </c>
      <c r="E5098" s="4">
        <v>3510153</v>
      </c>
      <c r="F5098" s="4" t="s">
        <v>10152</v>
      </c>
      <c r="G5098" s="4" t="s">
        <v>232</v>
      </c>
      <c r="H5098" s="13"/>
    </row>
    <row r="5099" s="1" customFormat="1" spans="1:8">
      <c r="A5099" s="4" t="s">
        <v>205</v>
      </c>
      <c r="B5099" s="4" t="s">
        <v>79</v>
      </c>
      <c r="C5099" s="4" t="s">
        <v>86</v>
      </c>
      <c r="D5099" s="4" t="s">
        <v>10153</v>
      </c>
      <c r="E5099" s="4">
        <v>3511102</v>
      </c>
      <c r="F5099" s="4" t="s">
        <v>10154</v>
      </c>
      <c r="G5099" s="4" t="s">
        <v>232</v>
      </c>
      <c r="H5099" s="13"/>
    </row>
    <row r="5100" s="1" customFormat="1" spans="1:8">
      <c r="A5100" s="4" t="s">
        <v>205</v>
      </c>
      <c r="B5100" s="4" t="s">
        <v>79</v>
      </c>
      <c r="C5100" s="4" t="s">
        <v>86</v>
      </c>
      <c r="D5100" s="4" t="s">
        <v>10155</v>
      </c>
      <c r="E5100" s="4">
        <v>3511201</v>
      </c>
      <c r="F5100" s="4" t="s">
        <v>10156</v>
      </c>
      <c r="G5100" s="4" t="s">
        <v>232</v>
      </c>
      <c r="H5100" s="13"/>
    </row>
    <row r="5101" s="1" customFormat="1" spans="1:8">
      <c r="A5101" s="4" t="s">
        <v>205</v>
      </c>
      <c r="B5101" s="4" t="s">
        <v>79</v>
      </c>
      <c r="C5101" s="4" t="s">
        <v>86</v>
      </c>
      <c r="D5101" s="4" t="s">
        <v>2598</v>
      </c>
      <c r="E5101" s="4">
        <v>3511300</v>
      </c>
      <c r="F5101" s="4" t="s">
        <v>10157</v>
      </c>
      <c r="G5101" s="4" t="s">
        <v>232</v>
      </c>
      <c r="H5101" s="13"/>
    </row>
    <row r="5102" s="1" customFormat="1" spans="1:8">
      <c r="A5102" s="4" t="s">
        <v>205</v>
      </c>
      <c r="B5102" s="4" t="s">
        <v>79</v>
      </c>
      <c r="C5102" s="4" t="s">
        <v>86</v>
      </c>
      <c r="D5102" s="4" t="s">
        <v>10158</v>
      </c>
      <c r="E5102" s="4">
        <v>3511409</v>
      </c>
      <c r="F5102" s="4" t="s">
        <v>10159</v>
      </c>
      <c r="G5102" s="4" t="s">
        <v>232</v>
      </c>
      <c r="H5102" s="13"/>
    </row>
    <row r="5103" s="1" customFormat="1" spans="1:8">
      <c r="A5103" s="4" t="s">
        <v>205</v>
      </c>
      <c r="B5103" s="4" t="s">
        <v>79</v>
      </c>
      <c r="C5103" s="4" t="s">
        <v>86</v>
      </c>
      <c r="D5103" s="4" t="s">
        <v>10160</v>
      </c>
      <c r="E5103" s="4">
        <v>3557204</v>
      </c>
      <c r="F5103" s="4" t="s">
        <v>10161</v>
      </c>
      <c r="G5103" s="4" t="s">
        <v>232</v>
      </c>
      <c r="H5103" s="13"/>
    </row>
    <row r="5104" s="1" customFormat="1" spans="1:8">
      <c r="A5104" s="4" t="s">
        <v>205</v>
      </c>
      <c r="B5104" s="4" t="s">
        <v>79</v>
      </c>
      <c r="C5104" s="4" t="s">
        <v>86</v>
      </c>
      <c r="D5104" s="4" t="s">
        <v>10162</v>
      </c>
      <c r="E5104" s="4">
        <v>3512001</v>
      </c>
      <c r="F5104" s="4" t="s">
        <v>10163</v>
      </c>
      <c r="G5104" s="4" t="s">
        <v>232</v>
      </c>
      <c r="H5104" s="13"/>
    </row>
    <row r="5105" s="1" customFormat="1" spans="1:8">
      <c r="A5105" s="4" t="s">
        <v>205</v>
      </c>
      <c r="B5105" s="4" t="s">
        <v>79</v>
      </c>
      <c r="C5105" s="4" t="s">
        <v>86</v>
      </c>
      <c r="D5105" s="4" t="s">
        <v>10164</v>
      </c>
      <c r="E5105" s="4">
        <v>3512100</v>
      </c>
      <c r="F5105" s="4" t="s">
        <v>10165</v>
      </c>
      <c r="G5105" s="4" t="s">
        <v>232</v>
      </c>
      <c r="H5105" s="13"/>
    </row>
    <row r="5106" s="1" customFormat="1" spans="1:8">
      <c r="A5106" s="4" t="s">
        <v>205</v>
      </c>
      <c r="B5106" s="4" t="s">
        <v>79</v>
      </c>
      <c r="C5106" s="4" t="s">
        <v>86</v>
      </c>
      <c r="D5106" s="4" t="s">
        <v>10166</v>
      </c>
      <c r="E5106" s="4">
        <v>3512407</v>
      </c>
      <c r="F5106" s="4" t="s">
        <v>10167</v>
      </c>
      <c r="G5106" s="4" t="s">
        <v>232</v>
      </c>
      <c r="H5106" s="13"/>
    </row>
    <row r="5107" s="1" customFormat="1" spans="1:8">
      <c r="A5107" s="4" t="s">
        <v>205</v>
      </c>
      <c r="B5107" s="4" t="s">
        <v>79</v>
      </c>
      <c r="C5107" s="4" t="s">
        <v>86</v>
      </c>
      <c r="D5107" s="4" t="s">
        <v>10168</v>
      </c>
      <c r="E5107" s="4">
        <v>3512506</v>
      </c>
      <c r="F5107" s="4" t="s">
        <v>10169</v>
      </c>
      <c r="G5107" s="4" t="s">
        <v>232</v>
      </c>
      <c r="H5107" s="13"/>
    </row>
    <row r="5108" s="1" customFormat="1" spans="1:8">
      <c r="A5108" s="4" t="s">
        <v>205</v>
      </c>
      <c r="B5108" s="4" t="s">
        <v>79</v>
      </c>
      <c r="C5108" s="4" t="s">
        <v>86</v>
      </c>
      <c r="D5108" s="4" t="s">
        <v>10170</v>
      </c>
      <c r="E5108" s="4">
        <v>3512605</v>
      </c>
      <c r="F5108" s="4" t="s">
        <v>10171</v>
      </c>
      <c r="G5108" s="4" t="s">
        <v>232</v>
      </c>
      <c r="H5108" s="13"/>
    </row>
    <row r="5109" s="1" customFormat="1" spans="1:8">
      <c r="A5109" s="4" t="s">
        <v>205</v>
      </c>
      <c r="B5109" s="4" t="s">
        <v>79</v>
      </c>
      <c r="C5109" s="4" t="s">
        <v>86</v>
      </c>
      <c r="D5109" s="4" t="s">
        <v>10172</v>
      </c>
      <c r="E5109" s="4">
        <v>3513108</v>
      </c>
      <c r="F5109" s="4" t="s">
        <v>10173</v>
      </c>
      <c r="G5109" s="4" t="s">
        <v>232</v>
      </c>
      <c r="H5109" s="13"/>
    </row>
    <row r="5110" s="1" customFormat="1" spans="1:8">
      <c r="A5110" s="4" t="s">
        <v>205</v>
      </c>
      <c r="B5110" s="4" t="s">
        <v>79</v>
      </c>
      <c r="C5110" s="4" t="s">
        <v>86</v>
      </c>
      <c r="D5110" s="4" t="s">
        <v>10174</v>
      </c>
      <c r="E5110" s="4">
        <v>3513207</v>
      </c>
      <c r="F5110" s="4" t="s">
        <v>10175</v>
      </c>
      <c r="G5110" s="4" t="s">
        <v>232</v>
      </c>
      <c r="H5110" s="13"/>
    </row>
    <row r="5111" s="1" customFormat="1" spans="1:8">
      <c r="A5111" s="4" t="s">
        <v>205</v>
      </c>
      <c r="B5111" s="4" t="s">
        <v>79</v>
      </c>
      <c r="C5111" s="4" t="s">
        <v>86</v>
      </c>
      <c r="D5111" s="4" t="s">
        <v>10176</v>
      </c>
      <c r="E5111" s="4">
        <v>3513306</v>
      </c>
      <c r="F5111" s="4" t="s">
        <v>10177</v>
      </c>
      <c r="G5111" s="4" t="s">
        <v>232</v>
      </c>
      <c r="H5111" s="13"/>
    </row>
    <row r="5112" s="1" customFormat="1" spans="1:8">
      <c r="A5112" s="4" t="s">
        <v>205</v>
      </c>
      <c r="B5112" s="4" t="s">
        <v>79</v>
      </c>
      <c r="C5112" s="4" t="s">
        <v>86</v>
      </c>
      <c r="D5112" s="4" t="s">
        <v>10178</v>
      </c>
      <c r="E5112" s="4">
        <v>3510005</v>
      </c>
      <c r="F5112" s="4" t="s">
        <v>10179</v>
      </c>
      <c r="G5112" s="4" t="s">
        <v>232</v>
      </c>
      <c r="H5112" s="13"/>
    </row>
    <row r="5113" s="1" customFormat="1" spans="1:8">
      <c r="A5113" s="4" t="s">
        <v>205</v>
      </c>
      <c r="B5113" s="4" t="s">
        <v>79</v>
      </c>
      <c r="C5113" s="4" t="s">
        <v>86</v>
      </c>
      <c r="D5113" s="4" t="s">
        <v>10180</v>
      </c>
      <c r="E5113" s="4">
        <v>3510104</v>
      </c>
      <c r="F5113" s="4" t="s">
        <v>10181</v>
      </c>
      <c r="G5113" s="4" t="s">
        <v>232</v>
      </c>
      <c r="H5113" s="13"/>
    </row>
    <row r="5114" s="1" customFormat="1" spans="1:8">
      <c r="A5114" s="4" t="s">
        <v>205</v>
      </c>
      <c r="B5114" s="4" t="s">
        <v>79</v>
      </c>
      <c r="C5114" s="4" t="s">
        <v>86</v>
      </c>
      <c r="D5114" s="4" t="s">
        <v>10182</v>
      </c>
      <c r="E5114" s="4">
        <v>3510906</v>
      </c>
      <c r="F5114" s="4" t="s">
        <v>10183</v>
      </c>
      <c r="G5114" s="4" t="s">
        <v>232</v>
      </c>
      <c r="H5114" s="13"/>
    </row>
    <row r="5115" s="1" customFormat="1" spans="1:8">
      <c r="A5115" s="4" t="s">
        <v>205</v>
      </c>
      <c r="B5115" s="4" t="s">
        <v>79</v>
      </c>
      <c r="C5115" s="4" t="s">
        <v>86</v>
      </c>
      <c r="D5115" s="4" t="s">
        <v>10184</v>
      </c>
      <c r="E5115" s="4">
        <v>3513900</v>
      </c>
      <c r="F5115" s="4" t="s">
        <v>10185</v>
      </c>
      <c r="G5115" s="4" t="s">
        <v>232</v>
      </c>
      <c r="H5115" s="13"/>
    </row>
    <row r="5116" s="1" customFormat="1" spans="1:8">
      <c r="A5116" s="4" t="s">
        <v>205</v>
      </c>
      <c r="B5116" s="4" t="s">
        <v>79</v>
      </c>
      <c r="C5116" s="4" t="s">
        <v>86</v>
      </c>
      <c r="D5116" s="4" t="s">
        <v>10186</v>
      </c>
      <c r="E5116" s="4">
        <v>3514007</v>
      </c>
      <c r="F5116" s="4" t="s">
        <v>10187</v>
      </c>
      <c r="G5116" s="4" t="s">
        <v>232</v>
      </c>
      <c r="H5116" s="13"/>
    </row>
    <row r="5117" s="1" customFormat="1" spans="1:8">
      <c r="A5117" s="4" t="s">
        <v>205</v>
      </c>
      <c r="B5117" s="4" t="s">
        <v>79</v>
      </c>
      <c r="C5117" s="4" t="s">
        <v>86</v>
      </c>
      <c r="D5117" s="4" t="s">
        <v>10188</v>
      </c>
      <c r="E5117" s="4">
        <v>3514106</v>
      </c>
      <c r="F5117" s="4" t="s">
        <v>10189</v>
      </c>
      <c r="G5117" s="4" t="s">
        <v>232</v>
      </c>
      <c r="H5117" s="13"/>
    </row>
    <row r="5118" s="1" customFormat="1" spans="1:8">
      <c r="A5118" s="4" t="s">
        <v>205</v>
      </c>
      <c r="B5118" s="4" t="s">
        <v>79</v>
      </c>
      <c r="C5118" s="4" t="s">
        <v>86</v>
      </c>
      <c r="D5118" s="4" t="s">
        <v>10190</v>
      </c>
      <c r="E5118" s="4">
        <v>3514304</v>
      </c>
      <c r="F5118" s="4" t="s">
        <v>10191</v>
      </c>
      <c r="G5118" s="4" t="s">
        <v>232</v>
      </c>
      <c r="H5118" s="13"/>
    </row>
    <row r="5119" s="1" customFormat="1" spans="1:8">
      <c r="A5119" s="4" t="s">
        <v>205</v>
      </c>
      <c r="B5119" s="4" t="s">
        <v>79</v>
      </c>
      <c r="C5119" s="4" t="s">
        <v>86</v>
      </c>
      <c r="D5119" s="4" t="s">
        <v>10192</v>
      </c>
      <c r="E5119" s="4">
        <v>3514502</v>
      </c>
      <c r="F5119" s="4" t="s">
        <v>10193</v>
      </c>
      <c r="G5119" s="4" t="s">
        <v>232</v>
      </c>
      <c r="H5119" s="13"/>
    </row>
    <row r="5120" s="1" customFormat="1" spans="1:8">
      <c r="A5120" s="4" t="s">
        <v>205</v>
      </c>
      <c r="B5120" s="4" t="s">
        <v>79</v>
      </c>
      <c r="C5120" s="4" t="s">
        <v>86</v>
      </c>
      <c r="D5120" s="4" t="s">
        <v>10194</v>
      </c>
      <c r="E5120" s="4">
        <v>3514601</v>
      </c>
      <c r="F5120" s="4" t="s">
        <v>10195</v>
      </c>
      <c r="G5120" s="4" t="s">
        <v>232</v>
      </c>
      <c r="H5120" s="13"/>
    </row>
    <row r="5121" s="1" customFormat="1" spans="1:8">
      <c r="A5121" s="4" t="s">
        <v>205</v>
      </c>
      <c r="B5121" s="4" t="s">
        <v>79</v>
      </c>
      <c r="C5121" s="4" t="s">
        <v>86</v>
      </c>
      <c r="D5121" s="4" t="s">
        <v>10196</v>
      </c>
      <c r="E5121" s="4">
        <v>3514700</v>
      </c>
      <c r="F5121" s="4" t="s">
        <v>10197</v>
      </c>
      <c r="G5121" s="4" t="s">
        <v>232</v>
      </c>
      <c r="H5121" s="13"/>
    </row>
    <row r="5122" s="1" customFormat="1" spans="1:8">
      <c r="A5122" s="4" t="s">
        <v>205</v>
      </c>
      <c r="B5122" s="4" t="s">
        <v>79</v>
      </c>
      <c r="C5122" s="4" t="s">
        <v>86</v>
      </c>
      <c r="D5122" s="4" t="s">
        <v>4727</v>
      </c>
      <c r="E5122" s="4">
        <v>3514809</v>
      </c>
      <c r="F5122" s="4" t="s">
        <v>10198</v>
      </c>
      <c r="G5122" s="4" t="s">
        <v>232</v>
      </c>
      <c r="H5122" s="13"/>
    </row>
    <row r="5123" s="1" customFormat="1" spans="1:8">
      <c r="A5123" s="4" t="s">
        <v>205</v>
      </c>
      <c r="B5123" s="4" t="s">
        <v>79</v>
      </c>
      <c r="C5123" s="4" t="s">
        <v>86</v>
      </c>
      <c r="D5123" s="4" t="s">
        <v>10199</v>
      </c>
      <c r="E5123" s="4">
        <v>3514924</v>
      </c>
      <c r="F5123" s="4" t="s">
        <v>10200</v>
      </c>
      <c r="G5123" s="4" t="s">
        <v>232</v>
      </c>
      <c r="H5123" s="13"/>
    </row>
    <row r="5124" s="1" customFormat="1" spans="1:8">
      <c r="A5124" s="4" t="s">
        <v>205</v>
      </c>
      <c r="B5124" s="4" t="s">
        <v>79</v>
      </c>
      <c r="C5124" s="4" t="s">
        <v>86</v>
      </c>
      <c r="D5124" s="4" t="s">
        <v>10201</v>
      </c>
      <c r="E5124" s="4">
        <v>3514957</v>
      </c>
      <c r="F5124" s="4" t="s">
        <v>10202</v>
      </c>
      <c r="G5124" s="4" t="s">
        <v>232</v>
      </c>
      <c r="H5124" s="13"/>
    </row>
    <row r="5125" s="1" customFormat="1" spans="1:8">
      <c r="A5125" s="4" t="s">
        <v>205</v>
      </c>
      <c r="B5125" s="4" t="s">
        <v>79</v>
      </c>
      <c r="C5125" s="4" t="s">
        <v>86</v>
      </c>
      <c r="D5125" s="4" t="s">
        <v>10203</v>
      </c>
      <c r="E5125" s="4">
        <v>3515194</v>
      </c>
      <c r="F5125" s="4" t="s">
        <v>10204</v>
      </c>
      <c r="G5125" s="4" t="s">
        <v>232</v>
      </c>
      <c r="H5125" s="13"/>
    </row>
    <row r="5126" s="1" customFormat="1" spans="1:8">
      <c r="A5126" s="4" t="s">
        <v>205</v>
      </c>
      <c r="B5126" s="4" t="s">
        <v>79</v>
      </c>
      <c r="C5126" s="4" t="s">
        <v>86</v>
      </c>
      <c r="D5126" s="4" t="s">
        <v>10205</v>
      </c>
      <c r="E5126" s="4">
        <v>3515400</v>
      </c>
      <c r="F5126" s="4" t="s">
        <v>10206</v>
      </c>
      <c r="G5126" s="4" t="s">
        <v>232</v>
      </c>
      <c r="H5126" s="13"/>
    </row>
    <row r="5127" s="1" customFormat="1" spans="1:8">
      <c r="A5127" s="4" t="s">
        <v>205</v>
      </c>
      <c r="B5127" s="4" t="s">
        <v>79</v>
      </c>
      <c r="C5127" s="4" t="s">
        <v>86</v>
      </c>
      <c r="D5127" s="4" t="s">
        <v>10207</v>
      </c>
      <c r="E5127" s="4">
        <v>3515608</v>
      </c>
      <c r="F5127" s="4" t="s">
        <v>10208</v>
      </c>
      <c r="G5127" s="4" t="s">
        <v>232</v>
      </c>
      <c r="H5127" s="13"/>
    </row>
    <row r="5128" s="1" customFormat="1" spans="1:8">
      <c r="A5128" s="4" t="s">
        <v>205</v>
      </c>
      <c r="B5128" s="4" t="s">
        <v>79</v>
      </c>
      <c r="C5128" s="4" t="s">
        <v>86</v>
      </c>
      <c r="D5128" s="4" t="s">
        <v>10209</v>
      </c>
      <c r="E5128" s="4">
        <v>3515657</v>
      </c>
      <c r="F5128" s="4" t="s">
        <v>10210</v>
      </c>
      <c r="G5128" s="4" t="s">
        <v>232</v>
      </c>
      <c r="H5128" s="13"/>
    </row>
    <row r="5129" s="1" customFormat="1" spans="1:8">
      <c r="A5129" s="4" t="s">
        <v>205</v>
      </c>
      <c r="B5129" s="4" t="s">
        <v>79</v>
      </c>
      <c r="C5129" s="4" t="s">
        <v>86</v>
      </c>
      <c r="D5129" s="4" t="s">
        <v>10211</v>
      </c>
      <c r="E5129" s="4">
        <v>3516101</v>
      </c>
      <c r="F5129" s="4" t="s">
        <v>10212</v>
      </c>
      <c r="G5129" s="4" t="s">
        <v>232</v>
      </c>
      <c r="H5129" s="13"/>
    </row>
    <row r="5130" s="1" customFormat="1" spans="1:8">
      <c r="A5130" s="4" t="s">
        <v>205</v>
      </c>
      <c r="B5130" s="4" t="s">
        <v>79</v>
      </c>
      <c r="C5130" s="4" t="s">
        <v>86</v>
      </c>
      <c r="D5130" s="4" t="s">
        <v>10213</v>
      </c>
      <c r="E5130" s="4">
        <v>3516200</v>
      </c>
      <c r="F5130" s="4" t="s">
        <v>10214</v>
      </c>
      <c r="G5130" s="4" t="s">
        <v>232</v>
      </c>
      <c r="H5130" s="13"/>
    </row>
    <row r="5131" s="1" customFormat="1" spans="1:8">
      <c r="A5131" s="4" t="s">
        <v>205</v>
      </c>
      <c r="B5131" s="4" t="s">
        <v>79</v>
      </c>
      <c r="C5131" s="4" t="s">
        <v>86</v>
      </c>
      <c r="D5131" s="4" t="s">
        <v>10215</v>
      </c>
      <c r="E5131" s="4">
        <v>3516705</v>
      </c>
      <c r="F5131" s="4" t="s">
        <v>10216</v>
      </c>
      <c r="G5131" s="4" t="s">
        <v>232</v>
      </c>
      <c r="H5131" s="13"/>
    </row>
    <row r="5132" s="1" customFormat="1" spans="1:8">
      <c r="A5132" s="4" t="s">
        <v>205</v>
      </c>
      <c r="B5132" s="4" t="s">
        <v>79</v>
      </c>
      <c r="C5132" s="4" t="s">
        <v>86</v>
      </c>
      <c r="D5132" s="4" t="s">
        <v>10217</v>
      </c>
      <c r="E5132" s="4">
        <v>3516853</v>
      </c>
      <c r="F5132" s="4" t="s">
        <v>10218</v>
      </c>
      <c r="G5132" s="4" t="s">
        <v>232</v>
      </c>
      <c r="H5132" s="13"/>
    </row>
    <row r="5133" s="1" customFormat="1" spans="1:8">
      <c r="A5133" s="4" t="s">
        <v>205</v>
      </c>
      <c r="B5133" s="4" t="s">
        <v>79</v>
      </c>
      <c r="C5133" s="4" t="s">
        <v>86</v>
      </c>
      <c r="D5133" s="4" t="s">
        <v>10219</v>
      </c>
      <c r="E5133" s="4">
        <v>3517000</v>
      </c>
      <c r="F5133" s="4" t="s">
        <v>10220</v>
      </c>
      <c r="G5133" s="4" t="s">
        <v>232</v>
      </c>
      <c r="H5133" s="13"/>
    </row>
    <row r="5134" s="1" customFormat="1" spans="1:8">
      <c r="A5134" s="4" t="s">
        <v>205</v>
      </c>
      <c r="B5134" s="4" t="s">
        <v>79</v>
      </c>
      <c r="C5134" s="4" t="s">
        <v>86</v>
      </c>
      <c r="D5134" s="4" t="s">
        <v>10221</v>
      </c>
      <c r="E5134" s="4">
        <v>3517109</v>
      </c>
      <c r="F5134" s="4" t="s">
        <v>10222</v>
      </c>
      <c r="G5134" s="4" t="s">
        <v>232</v>
      </c>
      <c r="H5134" s="13"/>
    </row>
    <row r="5135" s="1" customFormat="1" spans="1:8">
      <c r="A5135" s="4" t="s">
        <v>205</v>
      </c>
      <c r="B5135" s="4" t="s">
        <v>79</v>
      </c>
      <c r="C5135" s="4" t="s">
        <v>86</v>
      </c>
      <c r="D5135" s="4" t="s">
        <v>10223</v>
      </c>
      <c r="E5135" s="4">
        <v>3517307</v>
      </c>
      <c r="F5135" s="4" t="s">
        <v>10224</v>
      </c>
      <c r="G5135" s="4" t="s">
        <v>232</v>
      </c>
      <c r="H5135" s="13"/>
    </row>
    <row r="5136" s="1" customFormat="1" spans="1:8">
      <c r="A5136" s="4" t="s">
        <v>205</v>
      </c>
      <c r="B5136" s="4" t="s">
        <v>79</v>
      </c>
      <c r="C5136" s="4" t="s">
        <v>86</v>
      </c>
      <c r="D5136" s="4" t="s">
        <v>10225</v>
      </c>
      <c r="E5136" s="4">
        <v>3517208</v>
      </c>
      <c r="F5136" s="4" t="s">
        <v>10226</v>
      </c>
      <c r="G5136" s="4" t="s">
        <v>232</v>
      </c>
      <c r="H5136" s="13"/>
    </row>
    <row r="5137" s="1" customFormat="1" spans="1:8">
      <c r="A5137" s="4" t="s">
        <v>205</v>
      </c>
      <c r="B5137" s="4" t="s">
        <v>79</v>
      </c>
      <c r="C5137" s="4" t="s">
        <v>86</v>
      </c>
      <c r="D5137" s="4" t="s">
        <v>10227</v>
      </c>
      <c r="E5137" s="4">
        <v>3517505</v>
      </c>
      <c r="F5137" s="4" t="s">
        <v>10228</v>
      </c>
      <c r="G5137" s="4" t="s">
        <v>232</v>
      </c>
      <c r="H5137" s="13"/>
    </row>
    <row r="5138" s="1" customFormat="1" spans="1:8">
      <c r="A5138" s="4" t="s">
        <v>205</v>
      </c>
      <c r="B5138" s="4" t="s">
        <v>79</v>
      </c>
      <c r="C5138" s="4" t="s">
        <v>86</v>
      </c>
      <c r="D5138" s="4" t="s">
        <v>7083</v>
      </c>
      <c r="E5138" s="4">
        <v>3517901</v>
      </c>
      <c r="F5138" s="4" t="s">
        <v>10229</v>
      </c>
      <c r="G5138" s="4" t="s">
        <v>232</v>
      </c>
      <c r="H5138" s="13"/>
    </row>
    <row r="5139" s="1" customFormat="1" spans="1:8">
      <c r="A5139" s="4" t="s">
        <v>205</v>
      </c>
      <c r="B5139" s="4" t="s">
        <v>79</v>
      </c>
      <c r="C5139" s="4" t="s">
        <v>86</v>
      </c>
      <c r="D5139" s="4" t="s">
        <v>10230</v>
      </c>
      <c r="E5139" s="4">
        <v>3518107</v>
      </c>
      <c r="F5139" s="4" t="s">
        <v>10231</v>
      </c>
      <c r="G5139" s="4" t="s">
        <v>232</v>
      </c>
      <c r="H5139" s="13"/>
    </row>
    <row r="5140" s="1" customFormat="1" spans="1:8">
      <c r="A5140" s="4" t="s">
        <v>205</v>
      </c>
      <c r="B5140" s="4" t="s">
        <v>79</v>
      </c>
      <c r="C5140" s="4" t="s">
        <v>86</v>
      </c>
      <c r="D5140" s="4" t="s">
        <v>10232</v>
      </c>
      <c r="E5140" s="4">
        <v>3518602</v>
      </c>
      <c r="F5140" s="4" t="s">
        <v>10233</v>
      </c>
      <c r="G5140" s="4" t="s">
        <v>232</v>
      </c>
      <c r="H5140" s="13"/>
    </row>
    <row r="5141" s="1" customFormat="1" spans="1:8">
      <c r="A5141" s="4" t="s">
        <v>205</v>
      </c>
      <c r="B5141" s="4" t="s">
        <v>79</v>
      </c>
      <c r="C5141" s="4" t="s">
        <v>86</v>
      </c>
      <c r="D5141" s="4" t="s">
        <v>10234</v>
      </c>
      <c r="E5141" s="4">
        <v>3518859</v>
      </c>
      <c r="F5141" s="4" t="s">
        <v>10235</v>
      </c>
      <c r="G5141" s="4" t="s">
        <v>232</v>
      </c>
      <c r="H5141" s="13"/>
    </row>
    <row r="5142" s="1" customFormat="1" spans="1:8">
      <c r="A5142" s="4" t="s">
        <v>205</v>
      </c>
      <c r="B5142" s="4" t="s">
        <v>79</v>
      </c>
      <c r="C5142" s="4" t="s">
        <v>86</v>
      </c>
      <c r="D5142" s="4" t="s">
        <v>7085</v>
      </c>
      <c r="E5142" s="4">
        <v>3517406</v>
      </c>
      <c r="F5142" s="4" t="s">
        <v>10236</v>
      </c>
      <c r="G5142" s="4" t="s">
        <v>232</v>
      </c>
      <c r="H5142" s="13"/>
    </row>
    <row r="5143" s="1" customFormat="1" spans="1:8">
      <c r="A5143" s="4" t="s">
        <v>205</v>
      </c>
      <c r="B5143" s="4" t="s">
        <v>79</v>
      </c>
      <c r="C5143" s="4" t="s">
        <v>86</v>
      </c>
      <c r="D5143" s="4" t="s">
        <v>10237</v>
      </c>
      <c r="E5143" s="4">
        <v>3516606</v>
      </c>
      <c r="F5143" s="4" t="s">
        <v>10238</v>
      </c>
      <c r="G5143" s="4" t="s">
        <v>232</v>
      </c>
      <c r="H5143" s="13"/>
    </row>
    <row r="5144" s="1" customFormat="1" spans="1:8">
      <c r="A5144" s="4" t="s">
        <v>205</v>
      </c>
      <c r="B5144" s="4" t="s">
        <v>79</v>
      </c>
      <c r="C5144" s="4" t="s">
        <v>86</v>
      </c>
      <c r="D5144" s="4" t="s">
        <v>10239</v>
      </c>
      <c r="E5144" s="4">
        <v>3519105</v>
      </c>
      <c r="F5144" s="4" t="s">
        <v>10240</v>
      </c>
      <c r="G5144" s="4" t="s">
        <v>232</v>
      </c>
      <c r="H5144" s="13"/>
    </row>
    <row r="5145" s="1" customFormat="1" spans="1:8">
      <c r="A5145" s="4" t="s">
        <v>205</v>
      </c>
      <c r="B5145" s="4" t="s">
        <v>79</v>
      </c>
      <c r="C5145" s="4" t="s">
        <v>86</v>
      </c>
      <c r="D5145" s="4" t="s">
        <v>10241</v>
      </c>
      <c r="E5145" s="4">
        <v>3519501</v>
      </c>
      <c r="F5145" s="4" t="s">
        <v>10242</v>
      </c>
      <c r="G5145" s="4" t="s">
        <v>232</v>
      </c>
      <c r="H5145" s="13"/>
    </row>
    <row r="5146" s="1" customFormat="1" spans="1:8">
      <c r="A5146" s="4" t="s">
        <v>205</v>
      </c>
      <c r="B5146" s="4" t="s">
        <v>79</v>
      </c>
      <c r="C5146" s="4" t="s">
        <v>86</v>
      </c>
      <c r="D5146" s="4" t="s">
        <v>10243</v>
      </c>
      <c r="E5146" s="4">
        <v>3519402</v>
      </c>
      <c r="F5146" s="4" t="s">
        <v>10244</v>
      </c>
      <c r="G5146" s="4" t="s">
        <v>232</v>
      </c>
      <c r="H5146" s="13"/>
    </row>
    <row r="5147" s="1" customFormat="1" spans="1:8">
      <c r="A5147" s="4" t="s">
        <v>205</v>
      </c>
      <c r="B5147" s="4" t="s">
        <v>79</v>
      </c>
      <c r="C5147" s="4" t="s">
        <v>86</v>
      </c>
      <c r="D5147" s="4" t="s">
        <v>10245</v>
      </c>
      <c r="E5147" s="4">
        <v>3519600</v>
      </c>
      <c r="F5147" s="4" t="s">
        <v>10246</v>
      </c>
      <c r="G5147" s="4" t="s">
        <v>232</v>
      </c>
      <c r="H5147" s="13"/>
    </row>
    <row r="5148" s="1" customFormat="1" spans="1:8">
      <c r="A5148" s="4" t="s">
        <v>205</v>
      </c>
      <c r="B5148" s="4" t="s">
        <v>79</v>
      </c>
      <c r="C5148" s="4" t="s">
        <v>86</v>
      </c>
      <c r="D5148" s="4" t="s">
        <v>10247</v>
      </c>
      <c r="E5148" s="4">
        <v>3519808</v>
      </c>
      <c r="F5148" s="4" t="s">
        <v>10248</v>
      </c>
      <c r="G5148" s="4" t="s">
        <v>232</v>
      </c>
      <c r="H5148" s="13"/>
    </row>
    <row r="5149" s="1" customFormat="1" spans="1:8">
      <c r="A5149" s="4" t="s">
        <v>205</v>
      </c>
      <c r="B5149" s="4" t="s">
        <v>79</v>
      </c>
      <c r="C5149" s="4" t="s">
        <v>86</v>
      </c>
      <c r="D5149" s="4" t="s">
        <v>10249</v>
      </c>
      <c r="E5149" s="4">
        <v>3520103</v>
      </c>
      <c r="F5149" s="4" t="s">
        <v>10250</v>
      </c>
      <c r="G5149" s="4" t="s">
        <v>232</v>
      </c>
      <c r="H5149" s="13"/>
    </row>
    <row r="5150" s="1" customFormat="1" spans="1:8">
      <c r="A5150" s="4" t="s">
        <v>205</v>
      </c>
      <c r="B5150" s="4" t="s">
        <v>79</v>
      </c>
      <c r="C5150" s="4" t="s">
        <v>86</v>
      </c>
      <c r="D5150" s="4" t="s">
        <v>10251</v>
      </c>
      <c r="E5150" s="4">
        <v>3520004</v>
      </c>
      <c r="F5150" s="4" t="s">
        <v>10252</v>
      </c>
      <c r="G5150" s="4" t="s">
        <v>232</v>
      </c>
      <c r="H5150" s="13"/>
    </row>
    <row r="5151" s="1" customFormat="1" spans="1:8">
      <c r="A5151" s="4" t="s">
        <v>205</v>
      </c>
      <c r="B5151" s="4" t="s">
        <v>79</v>
      </c>
      <c r="C5151" s="4" t="s">
        <v>86</v>
      </c>
      <c r="D5151" s="4" t="s">
        <v>10253</v>
      </c>
      <c r="E5151" s="4">
        <v>3520905</v>
      </c>
      <c r="F5151" s="4" t="s">
        <v>10254</v>
      </c>
      <c r="G5151" s="4" t="s">
        <v>232</v>
      </c>
      <c r="H5151" s="13"/>
    </row>
    <row r="5152" s="1" customFormat="1" spans="1:8">
      <c r="A5152" s="4" t="s">
        <v>205</v>
      </c>
      <c r="B5152" s="4" t="s">
        <v>79</v>
      </c>
      <c r="C5152" s="4" t="s">
        <v>86</v>
      </c>
      <c r="D5152" s="4" t="s">
        <v>10255</v>
      </c>
      <c r="E5152" s="4">
        <v>3521150</v>
      </c>
      <c r="F5152" s="4" t="s">
        <v>10256</v>
      </c>
      <c r="G5152" s="4" t="s">
        <v>232</v>
      </c>
      <c r="H5152" s="13"/>
    </row>
    <row r="5153" s="1" customFormat="1" spans="1:8">
      <c r="A5153" s="4" t="s">
        <v>205</v>
      </c>
      <c r="B5153" s="4" t="s">
        <v>79</v>
      </c>
      <c r="C5153" s="4" t="s">
        <v>86</v>
      </c>
      <c r="D5153" s="4" t="s">
        <v>10257</v>
      </c>
      <c r="E5153" s="4">
        <v>3521200</v>
      </c>
      <c r="F5153" s="4" t="s">
        <v>10258</v>
      </c>
      <c r="G5153" s="4" t="s">
        <v>232</v>
      </c>
      <c r="H5153" s="13"/>
    </row>
    <row r="5154" s="1" customFormat="1" spans="1:8">
      <c r="A5154" s="4" t="s">
        <v>205</v>
      </c>
      <c r="B5154" s="4" t="s">
        <v>79</v>
      </c>
      <c r="C5154" s="4" t="s">
        <v>86</v>
      </c>
      <c r="D5154" s="4" t="s">
        <v>10259</v>
      </c>
      <c r="E5154" s="4">
        <v>3521309</v>
      </c>
      <c r="F5154" s="4" t="s">
        <v>10260</v>
      </c>
      <c r="G5154" s="4" t="s">
        <v>232</v>
      </c>
      <c r="H5154" s="13"/>
    </row>
    <row r="5155" s="1" customFormat="1" spans="1:8">
      <c r="A5155" s="4" t="s">
        <v>205</v>
      </c>
      <c r="B5155" s="4" t="s">
        <v>79</v>
      </c>
      <c r="C5155" s="4" t="s">
        <v>86</v>
      </c>
      <c r="D5155" s="4" t="s">
        <v>10261</v>
      </c>
      <c r="E5155" s="4">
        <v>3521507</v>
      </c>
      <c r="F5155" s="4" t="s">
        <v>10262</v>
      </c>
      <c r="G5155" s="4" t="s">
        <v>232</v>
      </c>
      <c r="H5155" s="13"/>
    </row>
    <row r="5156" s="1" customFormat="1" spans="1:8">
      <c r="A5156" s="4" t="s">
        <v>205</v>
      </c>
      <c r="B5156" s="4" t="s">
        <v>79</v>
      </c>
      <c r="C5156" s="4" t="s">
        <v>86</v>
      </c>
      <c r="D5156" s="4" t="s">
        <v>10263</v>
      </c>
      <c r="E5156" s="4">
        <v>3521705</v>
      </c>
      <c r="F5156" s="4" t="s">
        <v>10264</v>
      </c>
      <c r="G5156" s="4" t="s">
        <v>232</v>
      </c>
      <c r="H5156" s="13"/>
    </row>
    <row r="5157" s="1" customFormat="1" spans="1:8">
      <c r="A5157" s="4" t="s">
        <v>205</v>
      </c>
      <c r="B5157" s="4" t="s">
        <v>79</v>
      </c>
      <c r="C5157" s="4" t="s">
        <v>86</v>
      </c>
      <c r="D5157" s="4" t="s">
        <v>10265</v>
      </c>
      <c r="E5157" s="4">
        <v>3521903</v>
      </c>
      <c r="F5157" s="4" t="s">
        <v>10266</v>
      </c>
      <c r="G5157" s="4" t="s">
        <v>232</v>
      </c>
      <c r="H5157" s="13"/>
    </row>
    <row r="5158" s="1" customFormat="1" spans="1:8">
      <c r="A5158" s="4" t="s">
        <v>205</v>
      </c>
      <c r="B5158" s="4" t="s">
        <v>79</v>
      </c>
      <c r="C5158" s="4" t="s">
        <v>86</v>
      </c>
      <c r="D5158" s="4" t="s">
        <v>10267</v>
      </c>
      <c r="E5158" s="4">
        <v>3522000</v>
      </c>
      <c r="F5158" s="4" t="s">
        <v>10268</v>
      </c>
      <c r="G5158" s="4" t="s">
        <v>232</v>
      </c>
      <c r="H5158" s="13"/>
    </row>
    <row r="5159" s="1" customFormat="1" spans="1:8">
      <c r="A5159" s="4" t="s">
        <v>205</v>
      </c>
      <c r="B5159" s="4" t="s">
        <v>79</v>
      </c>
      <c r="C5159" s="4" t="s">
        <v>86</v>
      </c>
      <c r="D5159" s="7" t="s">
        <v>10269</v>
      </c>
      <c r="E5159" s="4">
        <v>3522158</v>
      </c>
      <c r="F5159" s="4" t="s">
        <v>10270</v>
      </c>
      <c r="G5159" s="4" t="s">
        <v>232</v>
      </c>
      <c r="H5159" s="13"/>
    </row>
    <row r="5160" s="1" customFormat="1" spans="1:8">
      <c r="A5160" s="4" t="s">
        <v>205</v>
      </c>
      <c r="B5160" s="4" t="s">
        <v>79</v>
      </c>
      <c r="C5160" s="4" t="s">
        <v>86</v>
      </c>
      <c r="D5160" s="4" t="s">
        <v>3956</v>
      </c>
      <c r="E5160" s="4">
        <v>3522406</v>
      </c>
      <c r="F5160" s="4" t="s">
        <v>10271</v>
      </c>
      <c r="G5160" s="4" t="s">
        <v>232</v>
      </c>
      <c r="H5160" s="13"/>
    </row>
    <row r="5161" s="1" customFormat="1" spans="1:8">
      <c r="A5161" s="4" t="s">
        <v>205</v>
      </c>
      <c r="B5161" s="4" t="s">
        <v>79</v>
      </c>
      <c r="C5161" s="4" t="s">
        <v>86</v>
      </c>
      <c r="D5161" s="4" t="s">
        <v>10272</v>
      </c>
      <c r="E5161" s="4">
        <v>3522653</v>
      </c>
      <c r="F5161" s="4" t="s">
        <v>10273</v>
      </c>
      <c r="G5161" s="4" t="s">
        <v>232</v>
      </c>
      <c r="H5161" s="13"/>
    </row>
    <row r="5162" s="1" customFormat="1" spans="1:8">
      <c r="A5162" s="4" t="s">
        <v>205</v>
      </c>
      <c r="B5162" s="4" t="s">
        <v>79</v>
      </c>
      <c r="C5162" s="4" t="s">
        <v>86</v>
      </c>
      <c r="D5162" s="4" t="s">
        <v>5666</v>
      </c>
      <c r="E5162" s="4">
        <v>3522802</v>
      </c>
      <c r="F5162" s="4" t="s">
        <v>10274</v>
      </c>
      <c r="G5162" s="4" t="s">
        <v>232</v>
      </c>
      <c r="H5162" s="13"/>
    </row>
    <row r="5163" s="1" customFormat="1" spans="1:8">
      <c r="A5163" s="4" t="s">
        <v>205</v>
      </c>
      <c r="B5163" s="4" t="s">
        <v>79</v>
      </c>
      <c r="C5163" s="4" t="s">
        <v>86</v>
      </c>
      <c r="D5163" s="4" t="s">
        <v>10275</v>
      </c>
      <c r="E5163" s="4">
        <v>3522901</v>
      </c>
      <c r="F5163" s="4" t="s">
        <v>10276</v>
      </c>
      <c r="G5163" s="4" t="s">
        <v>232</v>
      </c>
      <c r="H5163" s="13"/>
    </row>
    <row r="5164" s="1" customFormat="1" spans="1:8">
      <c r="A5164" s="4" t="s">
        <v>205</v>
      </c>
      <c r="B5164" s="4" t="s">
        <v>79</v>
      </c>
      <c r="C5164" s="4" t="s">
        <v>86</v>
      </c>
      <c r="D5164" s="4" t="s">
        <v>10277</v>
      </c>
      <c r="E5164" s="4">
        <v>3523206</v>
      </c>
      <c r="F5164" s="4" t="s">
        <v>10278</v>
      </c>
      <c r="G5164" s="4" t="s">
        <v>232</v>
      </c>
      <c r="H5164" s="13"/>
    </row>
    <row r="5165" s="1" customFormat="1" spans="1:8">
      <c r="A5165" s="4" t="s">
        <v>205</v>
      </c>
      <c r="B5165" s="4" t="s">
        <v>79</v>
      </c>
      <c r="C5165" s="4" t="s">
        <v>86</v>
      </c>
      <c r="D5165" s="4" t="s">
        <v>10279</v>
      </c>
      <c r="E5165" s="4">
        <v>3521804</v>
      </c>
      <c r="F5165" s="4" t="s">
        <v>10280</v>
      </c>
      <c r="G5165" s="4" t="s">
        <v>232</v>
      </c>
      <c r="H5165" s="13"/>
    </row>
    <row r="5166" s="1" customFormat="1" spans="1:8">
      <c r="A5166" s="4" t="s">
        <v>205</v>
      </c>
      <c r="B5166" s="4" t="s">
        <v>79</v>
      </c>
      <c r="C5166" s="4" t="s">
        <v>86</v>
      </c>
      <c r="D5166" s="4" t="s">
        <v>10281</v>
      </c>
      <c r="E5166" s="4">
        <v>3523701</v>
      </c>
      <c r="F5166" s="4" t="s">
        <v>10282</v>
      </c>
      <c r="G5166" s="4" t="s">
        <v>232</v>
      </c>
      <c r="H5166" s="13"/>
    </row>
    <row r="5167" s="1" customFormat="1" spans="1:8">
      <c r="A5167" s="4" t="s">
        <v>205</v>
      </c>
      <c r="B5167" s="4" t="s">
        <v>79</v>
      </c>
      <c r="C5167" s="4" t="s">
        <v>86</v>
      </c>
      <c r="D5167" s="4" t="s">
        <v>10283</v>
      </c>
      <c r="E5167" s="4">
        <v>3524105</v>
      </c>
      <c r="F5167" s="4" t="s">
        <v>10284</v>
      </c>
      <c r="G5167" s="4" t="s">
        <v>232</v>
      </c>
      <c r="H5167" s="13"/>
    </row>
    <row r="5168" s="1" customFormat="1" spans="1:8">
      <c r="A5168" s="4" t="s">
        <v>205</v>
      </c>
      <c r="B5168" s="4" t="s">
        <v>79</v>
      </c>
      <c r="C5168" s="4" t="s">
        <v>86</v>
      </c>
      <c r="D5168" s="4" t="s">
        <v>10285</v>
      </c>
      <c r="E5168" s="4">
        <v>3522703</v>
      </c>
      <c r="F5168" s="4" t="s">
        <v>10286</v>
      </c>
      <c r="G5168" s="4" t="s">
        <v>232</v>
      </c>
      <c r="H5168" s="13"/>
    </row>
    <row r="5169" s="1" customFormat="1" spans="1:8">
      <c r="A5169" s="4" t="s">
        <v>205</v>
      </c>
      <c r="B5169" s="4" t="s">
        <v>79</v>
      </c>
      <c r="C5169" s="4" t="s">
        <v>86</v>
      </c>
      <c r="D5169" s="4" t="s">
        <v>1359</v>
      </c>
      <c r="E5169" s="4">
        <v>3524204</v>
      </c>
      <c r="F5169" s="4" t="s">
        <v>10287</v>
      </c>
      <c r="G5169" s="4" t="s">
        <v>232</v>
      </c>
      <c r="H5169" s="13"/>
    </row>
    <row r="5170" s="1" customFormat="1" spans="1:8">
      <c r="A5170" s="4" t="s">
        <v>205</v>
      </c>
      <c r="B5170" s="4" t="s">
        <v>79</v>
      </c>
      <c r="C5170" s="4" t="s">
        <v>86</v>
      </c>
      <c r="D5170" s="4" t="s">
        <v>10288</v>
      </c>
      <c r="E5170" s="4">
        <v>3524303</v>
      </c>
      <c r="F5170" s="4" t="s">
        <v>10289</v>
      </c>
      <c r="G5170" s="4" t="s">
        <v>232</v>
      </c>
      <c r="H5170" s="13"/>
    </row>
    <row r="5171" s="1" customFormat="1" spans="1:8">
      <c r="A5171" s="4" t="s">
        <v>205</v>
      </c>
      <c r="B5171" s="4" t="s">
        <v>79</v>
      </c>
      <c r="C5171" s="4" t="s">
        <v>86</v>
      </c>
      <c r="D5171" s="4" t="s">
        <v>10290</v>
      </c>
      <c r="E5171" s="4">
        <v>3524501</v>
      </c>
      <c r="F5171" s="4" t="s">
        <v>10291</v>
      </c>
      <c r="G5171" s="4" t="s">
        <v>232</v>
      </c>
      <c r="H5171" s="13"/>
    </row>
    <row r="5172" s="1" customFormat="1" spans="1:8">
      <c r="A5172" s="4" t="s">
        <v>205</v>
      </c>
      <c r="B5172" s="4" t="s">
        <v>79</v>
      </c>
      <c r="C5172" s="4" t="s">
        <v>86</v>
      </c>
      <c r="D5172" s="4" t="s">
        <v>9392</v>
      </c>
      <c r="E5172" s="4">
        <v>3525102</v>
      </c>
      <c r="F5172" s="4" t="s">
        <v>10292</v>
      </c>
      <c r="G5172" s="4" t="s">
        <v>232</v>
      </c>
      <c r="H5172" s="13"/>
    </row>
    <row r="5173" s="1" customFormat="1" spans="1:8">
      <c r="A5173" s="4" t="s">
        <v>205</v>
      </c>
      <c r="B5173" s="4" t="s">
        <v>79</v>
      </c>
      <c r="C5173" s="4" t="s">
        <v>86</v>
      </c>
      <c r="D5173" s="4" t="s">
        <v>10293</v>
      </c>
      <c r="E5173" s="4">
        <v>3525300</v>
      </c>
      <c r="F5173" s="4" t="s">
        <v>10294</v>
      </c>
      <c r="G5173" s="4" t="s">
        <v>232</v>
      </c>
      <c r="H5173" s="13"/>
    </row>
    <row r="5174" s="1" customFormat="1" spans="1:8">
      <c r="A5174" s="4" t="s">
        <v>205</v>
      </c>
      <c r="B5174" s="4" t="s">
        <v>79</v>
      </c>
      <c r="C5174" s="4" t="s">
        <v>86</v>
      </c>
      <c r="D5174" s="4" t="s">
        <v>10295</v>
      </c>
      <c r="E5174" s="4">
        <v>3525409</v>
      </c>
      <c r="F5174" s="4" t="s">
        <v>10296</v>
      </c>
      <c r="G5174" s="4" t="s">
        <v>232</v>
      </c>
      <c r="H5174" s="13"/>
    </row>
    <row r="5175" s="1" customFormat="1" spans="1:8">
      <c r="A5175" s="4" t="s">
        <v>205</v>
      </c>
      <c r="B5175" s="4" t="s">
        <v>79</v>
      </c>
      <c r="C5175" s="4" t="s">
        <v>86</v>
      </c>
      <c r="D5175" s="4" t="s">
        <v>10297</v>
      </c>
      <c r="E5175" s="4">
        <v>3525706</v>
      </c>
      <c r="F5175" s="4" t="s">
        <v>10298</v>
      </c>
      <c r="G5175" s="4" t="s">
        <v>232</v>
      </c>
      <c r="H5175" s="13"/>
    </row>
    <row r="5176" s="1" customFormat="1" spans="1:8">
      <c r="A5176" s="4" t="s">
        <v>205</v>
      </c>
      <c r="B5176" s="4" t="s">
        <v>79</v>
      </c>
      <c r="C5176" s="4" t="s">
        <v>86</v>
      </c>
      <c r="D5176" s="4" t="s">
        <v>10299</v>
      </c>
      <c r="E5176" s="4">
        <v>3525607</v>
      </c>
      <c r="F5176" s="4" t="s">
        <v>10300</v>
      </c>
      <c r="G5176" s="4" t="s">
        <v>232</v>
      </c>
      <c r="H5176" s="13"/>
    </row>
    <row r="5177" s="1" customFormat="1" spans="1:8">
      <c r="A5177" s="4" t="s">
        <v>205</v>
      </c>
      <c r="B5177" s="4" t="s">
        <v>79</v>
      </c>
      <c r="C5177" s="4" t="s">
        <v>86</v>
      </c>
      <c r="D5177" s="4" t="s">
        <v>10301</v>
      </c>
      <c r="E5177" s="4">
        <v>3525805</v>
      </c>
      <c r="F5177" s="4" t="s">
        <v>10302</v>
      </c>
      <c r="G5177" s="4" t="s">
        <v>232</v>
      </c>
      <c r="H5177" s="13"/>
    </row>
    <row r="5178" s="1" customFormat="1" spans="1:8">
      <c r="A5178" s="4" t="s">
        <v>205</v>
      </c>
      <c r="B5178" s="4" t="s">
        <v>79</v>
      </c>
      <c r="C5178" s="4" t="s">
        <v>86</v>
      </c>
      <c r="D5178" s="4" t="s">
        <v>10303</v>
      </c>
      <c r="E5178" s="4">
        <v>3526803</v>
      </c>
      <c r="F5178" s="4" t="s">
        <v>10304</v>
      </c>
      <c r="G5178" s="4" t="s">
        <v>232</v>
      </c>
      <c r="H5178" s="13"/>
    </row>
    <row r="5179" s="1" customFormat="1" spans="1:8">
      <c r="A5179" s="4" t="s">
        <v>205</v>
      </c>
      <c r="B5179" s="4" t="s">
        <v>79</v>
      </c>
      <c r="C5179" s="4" t="s">
        <v>86</v>
      </c>
      <c r="D5179" s="4" t="s">
        <v>10305</v>
      </c>
      <c r="E5179" s="4">
        <v>3527108</v>
      </c>
      <c r="F5179" s="4" t="s">
        <v>10306</v>
      </c>
      <c r="G5179" s="4" t="s">
        <v>232</v>
      </c>
      <c r="H5179" s="13"/>
    </row>
    <row r="5180" s="1" customFormat="1" spans="1:8">
      <c r="A5180" s="4" t="s">
        <v>205</v>
      </c>
      <c r="B5180" s="4" t="s">
        <v>79</v>
      </c>
      <c r="C5180" s="4" t="s">
        <v>86</v>
      </c>
      <c r="D5180" s="4" t="s">
        <v>10307</v>
      </c>
      <c r="E5180" s="4">
        <v>3527504</v>
      </c>
      <c r="F5180" s="4" t="s">
        <v>10308</v>
      </c>
      <c r="G5180" s="4" t="s">
        <v>232</v>
      </c>
      <c r="H5180" s="13"/>
    </row>
    <row r="5181" s="1" customFormat="1" spans="1:8">
      <c r="A5181" s="4" t="s">
        <v>205</v>
      </c>
      <c r="B5181" s="4" t="s">
        <v>79</v>
      </c>
      <c r="C5181" s="4" t="s">
        <v>86</v>
      </c>
      <c r="D5181" s="4" t="s">
        <v>10309</v>
      </c>
      <c r="E5181" s="4">
        <v>3527801</v>
      </c>
      <c r="F5181" s="4" t="s">
        <v>10310</v>
      </c>
      <c r="G5181" s="4" t="s">
        <v>232</v>
      </c>
      <c r="H5181" s="13"/>
    </row>
    <row r="5182" s="1" customFormat="1" spans="1:8">
      <c r="A5182" s="4" t="s">
        <v>205</v>
      </c>
      <c r="B5182" s="4" t="s">
        <v>79</v>
      </c>
      <c r="C5182" s="4" t="s">
        <v>86</v>
      </c>
      <c r="D5182" s="4" t="s">
        <v>10311</v>
      </c>
      <c r="E5182" s="4">
        <v>3527900</v>
      </c>
      <c r="F5182" s="4" t="s">
        <v>10312</v>
      </c>
      <c r="G5182" s="4" t="s">
        <v>232</v>
      </c>
      <c r="H5182" s="13"/>
    </row>
    <row r="5183" s="1" customFormat="1" spans="1:8">
      <c r="A5183" s="4" t="s">
        <v>205</v>
      </c>
      <c r="B5183" s="4" t="s">
        <v>79</v>
      </c>
      <c r="C5183" s="4" t="s">
        <v>86</v>
      </c>
      <c r="D5183" s="4" t="s">
        <v>10313</v>
      </c>
      <c r="E5183" s="4">
        <v>3527603</v>
      </c>
      <c r="F5183" s="4" t="s">
        <v>10314</v>
      </c>
      <c r="G5183" s="4" t="s">
        <v>232</v>
      </c>
      <c r="H5183" s="13"/>
    </row>
    <row r="5184" s="1" customFormat="1" spans="1:8">
      <c r="A5184" s="4" t="s">
        <v>205</v>
      </c>
      <c r="B5184" s="4" t="s">
        <v>79</v>
      </c>
      <c r="C5184" s="4" t="s">
        <v>86</v>
      </c>
      <c r="D5184" s="4" t="s">
        <v>10315</v>
      </c>
      <c r="E5184" s="4">
        <v>3528007</v>
      </c>
      <c r="F5184" s="4" t="s">
        <v>10316</v>
      </c>
      <c r="G5184" s="4" t="s">
        <v>232</v>
      </c>
      <c r="H5184" s="13"/>
    </row>
    <row r="5185" s="1" customFormat="1" spans="1:8">
      <c r="A5185" s="4" t="s">
        <v>205</v>
      </c>
      <c r="B5185" s="4" t="s">
        <v>79</v>
      </c>
      <c r="C5185" s="4" t="s">
        <v>86</v>
      </c>
      <c r="D5185" s="4" t="s">
        <v>10317</v>
      </c>
      <c r="E5185" s="4">
        <v>3528601</v>
      </c>
      <c r="F5185" s="4" t="s">
        <v>10318</v>
      </c>
      <c r="G5185" s="4" t="s">
        <v>232</v>
      </c>
      <c r="H5185" s="13"/>
    </row>
    <row r="5186" s="1" customFormat="1" spans="1:8">
      <c r="A5186" s="4" t="s">
        <v>205</v>
      </c>
      <c r="B5186" s="4" t="s">
        <v>79</v>
      </c>
      <c r="C5186" s="4" t="s">
        <v>86</v>
      </c>
      <c r="D5186" s="4" t="s">
        <v>10319</v>
      </c>
      <c r="E5186" s="4">
        <v>3528809</v>
      </c>
      <c r="F5186" s="4" t="s">
        <v>10320</v>
      </c>
      <c r="G5186" s="4" t="s">
        <v>232</v>
      </c>
      <c r="H5186" s="13"/>
    </row>
    <row r="5187" s="1" customFormat="1" spans="1:8">
      <c r="A5187" s="4" t="s">
        <v>205</v>
      </c>
      <c r="B5187" s="4" t="s">
        <v>79</v>
      </c>
      <c r="C5187" s="4" t="s">
        <v>86</v>
      </c>
      <c r="D5187" s="4" t="s">
        <v>10321</v>
      </c>
      <c r="E5187" s="4">
        <v>3528858</v>
      </c>
      <c r="F5187" s="4" t="s">
        <v>10322</v>
      </c>
      <c r="G5187" s="4" t="s">
        <v>232</v>
      </c>
      <c r="H5187" s="13"/>
    </row>
    <row r="5188" s="1" customFormat="1" spans="1:8">
      <c r="A5188" s="4" t="s">
        <v>205</v>
      </c>
      <c r="B5188" s="4" t="s">
        <v>79</v>
      </c>
      <c r="C5188" s="4" t="s">
        <v>86</v>
      </c>
      <c r="D5188" s="4" t="s">
        <v>10323</v>
      </c>
      <c r="E5188" s="4">
        <v>3529005</v>
      </c>
      <c r="F5188" s="4" t="s">
        <v>10324</v>
      </c>
      <c r="G5188" s="4" t="s">
        <v>232</v>
      </c>
      <c r="H5188" s="13"/>
    </row>
    <row r="5189" s="1" customFormat="1" spans="1:8">
      <c r="A5189" s="4" t="s">
        <v>205</v>
      </c>
      <c r="B5189" s="4" t="s">
        <v>79</v>
      </c>
      <c r="C5189" s="4" t="s">
        <v>86</v>
      </c>
      <c r="D5189" s="4" t="s">
        <v>10325</v>
      </c>
      <c r="E5189" s="4">
        <v>3529302</v>
      </c>
      <c r="F5189" s="4" t="s">
        <v>10326</v>
      </c>
      <c r="G5189" s="4" t="s">
        <v>232</v>
      </c>
      <c r="H5189" s="13"/>
    </row>
    <row r="5190" s="1" customFormat="1" spans="1:8">
      <c r="A5190" s="4" t="s">
        <v>205</v>
      </c>
      <c r="B5190" s="4" t="s">
        <v>79</v>
      </c>
      <c r="C5190" s="4" t="s">
        <v>86</v>
      </c>
      <c r="D5190" s="4" t="s">
        <v>10327</v>
      </c>
      <c r="E5190" s="4">
        <v>3529500</v>
      </c>
      <c r="F5190" s="4" t="s">
        <v>10328</v>
      </c>
      <c r="G5190" s="4" t="s">
        <v>232</v>
      </c>
      <c r="H5190" s="13"/>
    </row>
    <row r="5191" s="1" customFormat="1" spans="1:8">
      <c r="A5191" s="4" t="s">
        <v>205</v>
      </c>
      <c r="B5191" s="4" t="s">
        <v>79</v>
      </c>
      <c r="C5191" s="4" t="s">
        <v>86</v>
      </c>
      <c r="D5191" s="4" t="s">
        <v>10329</v>
      </c>
      <c r="E5191" s="4">
        <v>3529708</v>
      </c>
      <c r="F5191" s="4" t="s">
        <v>10330</v>
      </c>
      <c r="G5191" s="4" t="s">
        <v>232</v>
      </c>
      <c r="H5191" s="13"/>
    </row>
    <row r="5192" s="1" customFormat="1" spans="1:8">
      <c r="A5192" s="4" t="s">
        <v>205</v>
      </c>
      <c r="B5192" s="4" t="s">
        <v>79</v>
      </c>
      <c r="C5192" s="4" t="s">
        <v>86</v>
      </c>
      <c r="D5192" s="4" t="s">
        <v>10331</v>
      </c>
      <c r="E5192" s="4">
        <v>3529807</v>
      </c>
      <c r="F5192" s="4" t="s">
        <v>10332</v>
      </c>
      <c r="G5192" s="4" t="s">
        <v>232</v>
      </c>
      <c r="H5192" s="13"/>
    </row>
    <row r="5193" s="1" customFormat="1" spans="1:8">
      <c r="A5193" s="4" t="s">
        <v>205</v>
      </c>
      <c r="B5193" s="4" t="s">
        <v>79</v>
      </c>
      <c r="C5193" s="4" t="s">
        <v>86</v>
      </c>
      <c r="D5193" s="4" t="s">
        <v>10333</v>
      </c>
      <c r="E5193" s="4">
        <v>3530300</v>
      </c>
      <c r="F5193" s="4" t="s">
        <v>10334</v>
      </c>
      <c r="G5193" s="4" t="s">
        <v>232</v>
      </c>
      <c r="H5193" s="13"/>
    </row>
    <row r="5194" s="1" customFormat="1" spans="1:8">
      <c r="A5194" s="4" t="s">
        <v>205</v>
      </c>
      <c r="B5194" s="4" t="s">
        <v>79</v>
      </c>
      <c r="C5194" s="4" t="s">
        <v>86</v>
      </c>
      <c r="D5194" s="4" t="s">
        <v>10335</v>
      </c>
      <c r="E5194" s="4">
        <v>3530409</v>
      </c>
      <c r="F5194" s="4" t="s">
        <v>10336</v>
      </c>
      <c r="G5194" s="4" t="s">
        <v>232</v>
      </c>
      <c r="H5194" s="13"/>
    </row>
    <row r="5195" s="1" customFormat="1" spans="1:8">
      <c r="A5195" s="4" t="s">
        <v>205</v>
      </c>
      <c r="B5195" s="4" t="s">
        <v>79</v>
      </c>
      <c r="C5195" s="4" t="s">
        <v>86</v>
      </c>
      <c r="D5195" s="4" t="s">
        <v>10337</v>
      </c>
      <c r="E5195" s="4">
        <v>3531308</v>
      </c>
      <c r="F5195" s="4" t="s">
        <v>10338</v>
      </c>
      <c r="G5195" s="4" t="s">
        <v>232</v>
      </c>
      <c r="H5195" s="13"/>
    </row>
    <row r="5196" s="1" customFormat="1" spans="1:8">
      <c r="A5196" s="4" t="s">
        <v>205</v>
      </c>
      <c r="B5196" s="4" t="s">
        <v>79</v>
      </c>
      <c r="C5196" s="4" t="s">
        <v>86</v>
      </c>
      <c r="D5196" s="4" t="s">
        <v>10339</v>
      </c>
      <c r="E5196" s="4">
        <v>3531407</v>
      </c>
      <c r="F5196" s="4" t="s">
        <v>10340</v>
      </c>
      <c r="G5196" s="4" t="s">
        <v>232</v>
      </c>
      <c r="H5196" s="13"/>
    </row>
    <row r="5197" s="1" customFormat="1" spans="1:8">
      <c r="A5197" s="4" t="s">
        <v>205</v>
      </c>
      <c r="B5197" s="4" t="s">
        <v>79</v>
      </c>
      <c r="C5197" s="4" t="s">
        <v>86</v>
      </c>
      <c r="D5197" s="4" t="s">
        <v>10341</v>
      </c>
      <c r="E5197" s="4">
        <v>3531506</v>
      </c>
      <c r="F5197" s="4" t="s">
        <v>10342</v>
      </c>
      <c r="G5197" s="4" t="s">
        <v>232</v>
      </c>
      <c r="H5197" s="13"/>
    </row>
    <row r="5198" s="1" customFormat="1" spans="1:8">
      <c r="A5198" s="4" t="s">
        <v>205</v>
      </c>
      <c r="B5198" s="4" t="s">
        <v>79</v>
      </c>
      <c r="C5198" s="4" t="s">
        <v>86</v>
      </c>
      <c r="D5198" s="4" t="s">
        <v>10343</v>
      </c>
      <c r="E5198" s="4">
        <v>3531902</v>
      </c>
      <c r="F5198" s="4" t="s">
        <v>10344</v>
      </c>
      <c r="G5198" s="4" t="s">
        <v>232</v>
      </c>
      <c r="H5198" s="13"/>
    </row>
    <row r="5199" s="1" customFormat="1" spans="1:8">
      <c r="A5199" s="4" t="s">
        <v>205</v>
      </c>
      <c r="B5199" s="4" t="s">
        <v>79</v>
      </c>
      <c r="C5199" s="4" t="s">
        <v>86</v>
      </c>
      <c r="D5199" s="4" t="s">
        <v>10345</v>
      </c>
      <c r="E5199" s="4">
        <v>3532058</v>
      </c>
      <c r="F5199" s="4" t="s">
        <v>10346</v>
      </c>
      <c r="G5199" s="4" t="s">
        <v>232</v>
      </c>
      <c r="H5199" s="13"/>
    </row>
    <row r="5200" s="1" customFormat="1" spans="1:8">
      <c r="A5200" s="4" t="s">
        <v>205</v>
      </c>
      <c r="B5200" s="4" t="s">
        <v>79</v>
      </c>
      <c r="C5200" s="4" t="s">
        <v>86</v>
      </c>
      <c r="D5200" s="4" t="s">
        <v>10347</v>
      </c>
      <c r="E5200" s="4">
        <v>3532504</v>
      </c>
      <c r="F5200" s="4" t="s">
        <v>10348</v>
      </c>
      <c r="G5200" s="4" t="s">
        <v>232</v>
      </c>
      <c r="H5200" s="13"/>
    </row>
    <row r="5201" s="1" customFormat="1" spans="1:8">
      <c r="A5201" s="4" t="s">
        <v>205</v>
      </c>
      <c r="B5201" s="4" t="s">
        <v>79</v>
      </c>
      <c r="C5201" s="4" t="s">
        <v>86</v>
      </c>
      <c r="D5201" s="4" t="s">
        <v>10349</v>
      </c>
      <c r="E5201" s="4">
        <v>3532801</v>
      </c>
      <c r="F5201" s="4" t="s">
        <v>10350</v>
      </c>
      <c r="G5201" s="4" t="s">
        <v>232</v>
      </c>
      <c r="H5201" s="13"/>
    </row>
    <row r="5202" s="1" customFormat="1" spans="1:8">
      <c r="A5202" s="4" t="s">
        <v>205</v>
      </c>
      <c r="B5202" s="4" t="s">
        <v>79</v>
      </c>
      <c r="C5202" s="4" t="s">
        <v>86</v>
      </c>
      <c r="D5202" s="4" t="s">
        <v>10351</v>
      </c>
      <c r="E5202" s="4">
        <v>3532827</v>
      </c>
      <c r="F5202" s="4" t="s">
        <v>10352</v>
      </c>
      <c r="G5202" s="4" t="s">
        <v>232</v>
      </c>
      <c r="H5202" s="13"/>
    </row>
    <row r="5203" s="1" customFormat="1" spans="1:8">
      <c r="A5203" s="4" t="s">
        <v>205</v>
      </c>
      <c r="B5203" s="4" t="s">
        <v>79</v>
      </c>
      <c r="C5203" s="4" t="s">
        <v>86</v>
      </c>
      <c r="D5203" s="4" t="s">
        <v>10353</v>
      </c>
      <c r="E5203" s="4">
        <v>3532900</v>
      </c>
      <c r="F5203" s="4" t="s">
        <v>10354</v>
      </c>
      <c r="G5203" s="4" t="s">
        <v>232</v>
      </c>
      <c r="H5203" s="13"/>
    </row>
    <row r="5204" s="1" customFormat="1" spans="1:8">
      <c r="A5204" s="4" t="s">
        <v>205</v>
      </c>
      <c r="B5204" s="4" t="s">
        <v>79</v>
      </c>
      <c r="C5204" s="4" t="s">
        <v>86</v>
      </c>
      <c r="D5204" s="4" t="s">
        <v>10355</v>
      </c>
      <c r="E5204" s="4">
        <v>3533007</v>
      </c>
      <c r="F5204" s="4" t="s">
        <v>10356</v>
      </c>
      <c r="G5204" s="4" t="s">
        <v>232</v>
      </c>
      <c r="H5204" s="13"/>
    </row>
    <row r="5205" s="1" customFormat="1" spans="1:8">
      <c r="A5205" s="4" t="s">
        <v>205</v>
      </c>
      <c r="B5205" s="4" t="s">
        <v>79</v>
      </c>
      <c r="C5205" s="4" t="s">
        <v>86</v>
      </c>
      <c r="D5205" s="4" t="s">
        <v>10357</v>
      </c>
      <c r="E5205" s="4">
        <v>3533254</v>
      </c>
      <c r="F5205" s="4" t="s">
        <v>10358</v>
      </c>
      <c r="G5205" s="4" t="s">
        <v>232</v>
      </c>
      <c r="H5205" s="13"/>
    </row>
    <row r="5206" s="1" customFormat="1" spans="1:8">
      <c r="A5206" s="4" t="s">
        <v>205</v>
      </c>
      <c r="B5206" s="4" t="s">
        <v>79</v>
      </c>
      <c r="C5206" s="4" t="s">
        <v>86</v>
      </c>
      <c r="D5206" s="4" t="s">
        <v>1175</v>
      </c>
      <c r="E5206" s="4">
        <v>3533502</v>
      </c>
      <c r="F5206" s="4" t="s">
        <v>10359</v>
      </c>
      <c r="G5206" s="4" t="s">
        <v>232</v>
      </c>
      <c r="H5206" s="13"/>
    </row>
    <row r="5207" s="1" customFormat="1" spans="1:8">
      <c r="A5207" s="4" t="s">
        <v>205</v>
      </c>
      <c r="B5207" s="4" t="s">
        <v>79</v>
      </c>
      <c r="C5207" s="4" t="s">
        <v>86</v>
      </c>
      <c r="D5207" s="4" t="s">
        <v>10360</v>
      </c>
      <c r="E5207" s="4">
        <v>3533601</v>
      </c>
      <c r="F5207" s="4" t="s">
        <v>10361</v>
      </c>
      <c r="G5207" s="4" t="s">
        <v>232</v>
      </c>
      <c r="H5207" s="13"/>
    </row>
    <row r="5208" s="1" customFormat="1" spans="1:8">
      <c r="A5208" s="4" t="s">
        <v>205</v>
      </c>
      <c r="B5208" s="4" t="s">
        <v>79</v>
      </c>
      <c r="C5208" s="4" t="s">
        <v>86</v>
      </c>
      <c r="D5208" s="4" t="s">
        <v>10362</v>
      </c>
      <c r="E5208" s="4">
        <v>3533700</v>
      </c>
      <c r="F5208" s="4" t="s">
        <v>10363</v>
      </c>
      <c r="G5208" s="4" t="s">
        <v>232</v>
      </c>
      <c r="H5208" s="13"/>
    </row>
    <row r="5209" s="1" customFormat="1" spans="1:8">
      <c r="A5209" s="4" t="s">
        <v>205</v>
      </c>
      <c r="B5209" s="4" t="s">
        <v>79</v>
      </c>
      <c r="C5209" s="4" t="s">
        <v>86</v>
      </c>
      <c r="D5209" s="4" t="s">
        <v>10364</v>
      </c>
      <c r="E5209" s="4">
        <v>3533908</v>
      </c>
      <c r="F5209" s="4" t="s">
        <v>10365</v>
      </c>
      <c r="G5209" s="4" t="s">
        <v>232</v>
      </c>
      <c r="H5209" s="13"/>
    </row>
    <row r="5210" s="1" customFormat="1" spans="1:8">
      <c r="A5210" s="4" t="s">
        <v>205</v>
      </c>
      <c r="B5210" s="4" t="s">
        <v>79</v>
      </c>
      <c r="C5210" s="4" t="s">
        <v>86</v>
      </c>
      <c r="D5210" s="4" t="s">
        <v>10366</v>
      </c>
      <c r="E5210" s="4">
        <v>3534005</v>
      </c>
      <c r="F5210" s="4" t="s">
        <v>10367</v>
      </c>
      <c r="G5210" s="4" t="s">
        <v>232</v>
      </c>
      <c r="H5210" s="13"/>
    </row>
    <row r="5211" s="1" customFormat="1" spans="1:8">
      <c r="A5211" s="4" t="s">
        <v>205</v>
      </c>
      <c r="B5211" s="4" t="s">
        <v>79</v>
      </c>
      <c r="C5211" s="4" t="s">
        <v>86</v>
      </c>
      <c r="D5211" s="4" t="s">
        <v>10368</v>
      </c>
      <c r="E5211" s="4">
        <v>3534104</v>
      </c>
      <c r="F5211" s="4" t="s">
        <v>10369</v>
      </c>
      <c r="G5211" s="4" t="s">
        <v>232</v>
      </c>
      <c r="H5211" s="13"/>
    </row>
    <row r="5212" s="1" customFormat="1" spans="1:8">
      <c r="A5212" s="4" t="s">
        <v>205</v>
      </c>
      <c r="B5212" s="4" t="s">
        <v>79</v>
      </c>
      <c r="C5212" s="4" t="s">
        <v>86</v>
      </c>
      <c r="D5212" s="4" t="s">
        <v>10370</v>
      </c>
      <c r="E5212" s="4">
        <v>3534302</v>
      </c>
      <c r="F5212" s="4" t="s">
        <v>10371</v>
      </c>
      <c r="G5212" s="4" t="s">
        <v>232</v>
      </c>
      <c r="H5212" s="13"/>
    </row>
    <row r="5213" s="1" customFormat="1" spans="1:8">
      <c r="A5213" s="4" t="s">
        <v>205</v>
      </c>
      <c r="B5213" s="4" t="s">
        <v>79</v>
      </c>
      <c r="C5213" s="4" t="s">
        <v>86</v>
      </c>
      <c r="D5213" s="4" t="s">
        <v>10372</v>
      </c>
      <c r="E5213" s="4">
        <v>3534500</v>
      </c>
      <c r="F5213" s="4" t="s">
        <v>10373</v>
      </c>
      <c r="G5213" s="4" t="s">
        <v>232</v>
      </c>
      <c r="H5213" s="13"/>
    </row>
    <row r="5214" s="1" customFormat="1" spans="1:8">
      <c r="A5214" s="4" t="s">
        <v>205</v>
      </c>
      <c r="B5214" s="4" t="s">
        <v>79</v>
      </c>
      <c r="C5214" s="4" t="s">
        <v>86</v>
      </c>
      <c r="D5214" s="4" t="s">
        <v>10374</v>
      </c>
      <c r="E5214" s="4">
        <v>3534708</v>
      </c>
      <c r="F5214" s="4" t="s">
        <v>10375</v>
      </c>
      <c r="G5214" s="4" t="s">
        <v>232</v>
      </c>
      <c r="H5214" s="13"/>
    </row>
    <row r="5215" s="1" customFormat="1" spans="1:8">
      <c r="A5215" s="4" t="s">
        <v>205</v>
      </c>
      <c r="B5215" s="4" t="s">
        <v>79</v>
      </c>
      <c r="C5215" s="4" t="s">
        <v>86</v>
      </c>
      <c r="D5215" s="4" t="s">
        <v>10376</v>
      </c>
      <c r="E5215" s="4">
        <v>3535101</v>
      </c>
      <c r="F5215" s="4" t="s">
        <v>10377</v>
      </c>
      <c r="G5215" s="4" t="s">
        <v>232</v>
      </c>
      <c r="H5215" s="13"/>
    </row>
    <row r="5216" s="1" customFormat="1" spans="1:8">
      <c r="A5216" s="4" t="s">
        <v>205</v>
      </c>
      <c r="B5216" s="4" t="s">
        <v>79</v>
      </c>
      <c r="C5216" s="4" t="s">
        <v>86</v>
      </c>
      <c r="D5216" s="4" t="s">
        <v>6853</v>
      </c>
      <c r="E5216" s="4">
        <v>3535309</v>
      </c>
      <c r="F5216" s="4" t="s">
        <v>10378</v>
      </c>
      <c r="G5216" s="4" t="s">
        <v>232</v>
      </c>
      <c r="H5216" s="13"/>
    </row>
    <row r="5217" s="1" customFormat="1" spans="1:8">
      <c r="A5217" s="4" t="s">
        <v>205</v>
      </c>
      <c r="B5217" s="4" t="s">
        <v>79</v>
      </c>
      <c r="C5217" s="4" t="s">
        <v>86</v>
      </c>
      <c r="D5217" s="4" t="s">
        <v>10379</v>
      </c>
      <c r="E5217" s="4">
        <v>3535507</v>
      </c>
      <c r="F5217" s="4" t="s">
        <v>10380</v>
      </c>
      <c r="G5217" s="4" t="s">
        <v>232</v>
      </c>
      <c r="H5217" s="13"/>
    </row>
    <row r="5218" s="1" customFormat="1" spans="1:8">
      <c r="A5218" s="4" t="s">
        <v>205</v>
      </c>
      <c r="B5218" s="4" t="s">
        <v>79</v>
      </c>
      <c r="C5218" s="4" t="s">
        <v>86</v>
      </c>
      <c r="D5218" s="4" t="s">
        <v>9410</v>
      </c>
      <c r="E5218" s="4">
        <v>3535705</v>
      </c>
      <c r="F5218" s="4" t="s">
        <v>10381</v>
      </c>
      <c r="G5218" s="4" t="s">
        <v>232</v>
      </c>
      <c r="H5218" s="13"/>
    </row>
    <row r="5219" s="1" customFormat="1" spans="1:8">
      <c r="A5219" s="4" t="s">
        <v>205</v>
      </c>
      <c r="B5219" s="4" t="s">
        <v>79</v>
      </c>
      <c r="C5219" s="4" t="s">
        <v>86</v>
      </c>
      <c r="D5219" s="4" t="s">
        <v>10382</v>
      </c>
      <c r="E5219" s="4">
        <v>3536307</v>
      </c>
      <c r="F5219" s="4" t="s">
        <v>10383</v>
      </c>
      <c r="G5219" s="4" t="s">
        <v>232</v>
      </c>
      <c r="H5219" s="13"/>
    </row>
    <row r="5220" s="1" customFormat="1" spans="1:8">
      <c r="A5220" s="4" t="s">
        <v>205</v>
      </c>
      <c r="B5220" s="4" t="s">
        <v>79</v>
      </c>
      <c r="C5220" s="4" t="s">
        <v>86</v>
      </c>
      <c r="D5220" s="4" t="s">
        <v>10384</v>
      </c>
      <c r="E5220" s="4">
        <v>3536570</v>
      </c>
      <c r="F5220" s="4" t="s">
        <v>10385</v>
      </c>
      <c r="G5220" s="4" t="s">
        <v>232</v>
      </c>
      <c r="H5220" s="13"/>
    </row>
    <row r="5221" s="1" customFormat="1" spans="1:8">
      <c r="A5221" s="4" t="s">
        <v>205</v>
      </c>
      <c r="B5221" s="4" t="s">
        <v>79</v>
      </c>
      <c r="C5221" s="4" t="s">
        <v>86</v>
      </c>
      <c r="D5221" s="4" t="s">
        <v>10386</v>
      </c>
      <c r="E5221" s="4">
        <v>3536703</v>
      </c>
      <c r="F5221" s="4" t="s">
        <v>10387</v>
      </c>
      <c r="G5221" s="4" t="s">
        <v>232</v>
      </c>
      <c r="H5221" s="13"/>
    </row>
    <row r="5222" s="1" customFormat="1" spans="1:8">
      <c r="A5222" s="4" t="s">
        <v>205</v>
      </c>
      <c r="B5222" s="4" t="s">
        <v>79</v>
      </c>
      <c r="C5222" s="4" t="s">
        <v>86</v>
      </c>
      <c r="D5222" s="4" t="s">
        <v>10388</v>
      </c>
      <c r="E5222" s="4">
        <v>3537008</v>
      </c>
      <c r="F5222" s="4" t="s">
        <v>10389</v>
      </c>
      <c r="G5222" s="4" t="s">
        <v>232</v>
      </c>
      <c r="H5222" s="13"/>
    </row>
    <row r="5223" s="1" customFormat="1" spans="1:8">
      <c r="A5223" s="4" t="s">
        <v>205</v>
      </c>
      <c r="B5223" s="4" t="s">
        <v>79</v>
      </c>
      <c r="C5223" s="4" t="s">
        <v>86</v>
      </c>
      <c r="D5223" s="4" t="s">
        <v>10390</v>
      </c>
      <c r="E5223" s="4">
        <v>3537156</v>
      </c>
      <c r="F5223" s="4" t="s">
        <v>10391</v>
      </c>
      <c r="G5223" s="4" t="s">
        <v>232</v>
      </c>
      <c r="H5223" s="13"/>
    </row>
    <row r="5224" s="1" customFormat="1" spans="1:8">
      <c r="A5224" s="4" t="s">
        <v>205</v>
      </c>
      <c r="B5224" s="4" t="s">
        <v>79</v>
      </c>
      <c r="C5224" s="4" t="s">
        <v>86</v>
      </c>
      <c r="D5224" s="4" t="s">
        <v>10392</v>
      </c>
      <c r="E5224" s="4">
        <v>3537305</v>
      </c>
      <c r="F5224" s="4" t="s">
        <v>10393</v>
      </c>
      <c r="G5224" s="4" t="s">
        <v>232</v>
      </c>
      <c r="H5224" s="13"/>
    </row>
    <row r="5225" s="1" customFormat="1" spans="1:8">
      <c r="A5225" s="4" t="s">
        <v>205</v>
      </c>
      <c r="B5225" s="4" t="s">
        <v>79</v>
      </c>
      <c r="C5225" s="4" t="s">
        <v>86</v>
      </c>
      <c r="D5225" s="4" t="s">
        <v>10394</v>
      </c>
      <c r="E5225" s="4">
        <v>3537800</v>
      </c>
      <c r="F5225" s="4" t="s">
        <v>10395</v>
      </c>
      <c r="G5225" s="4" t="s">
        <v>232</v>
      </c>
      <c r="H5225" s="13"/>
    </row>
    <row r="5226" s="1" customFormat="1" spans="1:8">
      <c r="A5226" s="4" t="s">
        <v>205</v>
      </c>
      <c r="B5226" s="4" t="s">
        <v>79</v>
      </c>
      <c r="C5226" s="4" t="s">
        <v>86</v>
      </c>
      <c r="D5226" s="4" t="s">
        <v>10396</v>
      </c>
      <c r="E5226" s="4">
        <v>3538105</v>
      </c>
      <c r="F5226" s="4" t="s">
        <v>10397</v>
      </c>
      <c r="G5226" s="4" t="s">
        <v>232</v>
      </c>
      <c r="H5226" s="13"/>
    </row>
    <row r="5227" s="1" customFormat="1" spans="1:8">
      <c r="A5227" s="4" t="s">
        <v>205</v>
      </c>
      <c r="B5227" s="4" t="s">
        <v>79</v>
      </c>
      <c r="C5227" s="4" t="s">
        <v>86</v>
      </c>
      <c r="D5227" s="4" t="s">
        <v>10398</v>
      </c>
      <c r="E5227" s="4">
        <v>3538808</v>
      </c>
      <c r="F5227" s="4" t="s">
        <v>10399</v>
      </c>
      <c r="G5227" s="4" t="s">
        <v>232</v>
      </c>
      <c r="H5227" s="13"/>
    </row>
    <row r="5228" s="1" customFormat="1" spans="1:8">
      <c r="A5228" s="4" t="s">
        <v>205</v>
      </c>
      <c r="B5228" s="4" t="s">
        <v>79</v>
      </c>
      <c r="C5228" s="4" t="s">
        <v>86</v>
      </c>
      <c r="D5228" s="4" t="s">
        <v>10400</v>
      </c>
      <c r="E5228" s="4">
        <v>3538907</v>
      </c>
      <c r="F5228" s="4" t="s">
        <v>10401</v>
      </c>
      <c r="G5228" s="4" t="s">
        <v>232</v>
      </c>
      <c r="H5228" s="13"/>
    </row>
    <row r="5229" s="1" customFormat="1" spans="1:8">
      <c r="A5229" s="4" t="s">
        <v>205</v>
      </c>
      <c r="B5229" s="4" t="s">
        <v>79</v>
      </c>
      <c r="C5229" s="4" t="s">
        <v>86</v>
      </c>
      <c r="D5229" s="4" t="s">
        <v>10402</v>
      </c>
      <c r="E5229" s="4">
        <v>3539004</v>
      </c>
      <c r="F5229" s="4" t="s">
        <v>10403</v>
      </c>
      <c r="G5229" s="4" t="s">
        <v>232</v>
      </c>
      <c r="H5229" s="13"/>
    </row>
    <row r="5230" s="1" customFormat="1" spans="1:8">
      <c r="A5230" s="4" t="s">
        <v>205</v>
      </c>
      <c r="B5230" s="4" t="s">
        <v>79</v>
      </c>
      <c r="C5230" s="4" t="s">
        <v>86</v>
      </c>
      <c r="D5230" s="4" t="s">
        <v>10404</v>
      </c>
      <c r="E5230" s="4">
        <v>3539400</v>
      </c>
      <c r="F5230" s="4" t="s">
        <v>10405</v>
      </c>
      <c r="G5230" s="4" t="s">
        <v>232</v>
      </c>
      <c r="H5230" s="13"/>
    </row>
    <row r="5231" s="1" customFormat="1" spans="1:8">
      <c r="A5231" s="4" t="s">
        <v>205</v>
      </c>
      <c r="B5231" s="4" t="s">
        <v>79</v>
      </c>
      <c r="C5231" s="4" t="s">
        <v>86</v>
      </c>
      <c r="D5231" s="4" t="s">
        <v>6865</v>
      </c>
      <c r="E5231" s="4">
        <v>3539509</v>
      </c>
      <c r="F5231" s="4" t="s">
        <v>10406</v>
      </c>
      <c r="G5231" s="4" t="s">
        <v>232</v>
      </c>
      <c r="H5231" s="13"/>
    </row>
    <row r="5232" s="1" customFormat="1" spans="1:8">
      <c r="A5232" s="4" t="s">
        <v>205</v>
      </c>
      <c r="B5232" s="4" t="s">
        <v>79</v>
      </c>
      <c r="C5232" s="4" t="s">
        <v>86</v>
      </c>
      <c r="D5232" s="4" t="s">
        <v>10407</v>
      </c>
      <c r="E5232" s="4">
        <v>3539707</v>
      </c>
      <c r="F5232" s="4" t="s">
        <v>10408</v>
      </c>
      <c r="G5232" s="4" t="s">
        <v>232</v>
      </c>
      <c r="H5232" s="13"/>
    </row>
    <row r="5233" s="1" customFormat="1" spans="1:8">
      <c r="A5233" s="4" t="s">
        <v>205</v>
      </c>
      <c r="B5233" s="4" t="s">
        <v>79</v>
      </c>
      <c r="C5233" s="4" t="s">
        <v>86</v>
      </c>
      <c r="D5233" s="4" t="s">
        <v>10409</v>
      </c>
      <c r="E5233" s="4">
        <v>3539905</v>
      </c>
      <c r="F5233" s="4" t="s">
        <v>10410</v>
      </c>
      <c r="G5233" s="4" t="s">
        <v>232</v>
      </c>
      <c r="H5233" s="13"/>
    </row>
    <row r="5234" s="1" customFormat="1" spans="1:8">
      <c r="A5234" s="4" t="s">
        <v>205</v>
      </c>
      <c r="B5234" s="4" t="s">
        <v>79</v>
      </c>
      <c r="C5234" s="4" t="s">
        <v>86</v>
      </c>
      <c r="D5234" s="4" t="s">
        <v>10411</v>
      </c>
      <c r="E5234" s="4">
        <v>3540002</v>
      </c>
      <c r="F5234" s="4" t="s">
        <v>10412</v>
      </c>
      <c r="G5234" s="4" t="s">
        <v>232</v>
      </c>
      <c r="H5234" s="13"/>
    </row>
    <row r="5235" s="1" customFormat="1" spans="1:8">
      <c r="A5235" s="4" t="s">
        <v>205</v>
      </c>
      <c r="B5235" s="4" t="s">
        <v>79</v>
      </c>
      <c r="C5235" s="4" t="s">
        <v>86</v>
      </c>
      <c r="D5235" s="4" t="s">
        <v>10413</v>
      </c>
      <c r="E5235" s="4">
        <v>3540101</v>
      </c>
      <c r="F5235" s="4" t="s">
        <v>10414</v>
      </c>
      <c r="G5235" s="4" t="s">
        <v>232</v>
      </c>
      <c r="H5235" s="13"/>
    </row>
    <row r="5236" s="1" customFormat="1" spans="1:8">
      <c r="A5236" s="4" t="s">
        <v>205</v>
      </c>
      <c r="B5236" s="4" t="s">
        <v>79</v>
      </c>
      <c r="C5236" s="4" t="s">
        <v>86</v>
      </c>
      <c r="D5236" s="4" t="s">
        <v>10415</v>
      </c>
      <c r="E5236" s="4">
        <v>3540200</v>
      </c>
      <c r="F5236" s="4" t="s">
        <v>10416</v>
      </c>
      <c r="G5236" s="4" t="s">
        <v>232</v>
      </c>
      <c r="H5236" s="13"/>
    </row>
    <row r="5237" s="1" customFormat="1" spans="1:8">
      <c r="A5237" s="4" t="s">
        <v>205</v>
      </c>
      <c r="B5237" s="4" t="s">
        <v>79</v>
      </c>
      <c r="C5237" s="4" t="s">
        <v>86</v>
      </c>
      <c r="D5237" s="4" t="s">
        <v>10417</v>
      </c>
      <c r="E5237" s="4">
        <v>3540804</v>
      </c>
      <c r="F5237" s="4" t="s">
        <v>10418</v>
      </c>
      <c r="G5237" s="4" t="s">
        <v>232</v>
      </c>
      <c r="H5237" s="13"/>
    </row>
    <row r="5238" s="1" customFormat="1" spans="1:8">
      <c r="A5238" s="4" t="s">
        <v>205</v>
      </c>
      <c r="B5238" s="4" t="s">
        <v>79</v>
      </c>
      <c r="C5238" s="4" t="s">
        <v>86</v>
      </c>
      <c r="D5238" s="4" t="s">
        <v>10419</v>
      </c>
      <c r="E5238" s="4">
        <v>3540903</v>
      </c>
      <c r="F5238" s="4" t="s">
        <v>10420</v>
      </c>
      <c r="G5238" s="4" t="s">
        <v>232</v>
      </c>
      <c r="H5238" s="13"/>
    </row>
    <row r="5239" s="1" customFormat="1" spans="1:8">
      <c r="A5239" s="4" t="s">
        <v>205</v>
      </c>
      <c r="B5239" s="4" t="s">
        <v>79</v>
      </c>
      <c r="C5239" s="4" t="s">
        <v>86</v>
      </c>
      <c r="D5239" s="4" t="s">
        <v>10421</v>
      </c>
      <c r="E5239" s="4">
        <v>3541109</v>
      </c>
      <c r="F5239" s="4" t="s">
        <v>10422</v>
      </c>
      <c r="G5239" s="4" t="s">
        <v>232</v>
      </c>
      <c r="H5239" s="13"/>
    </row>
    <row r="5240" s="1" customFormat="1" spans="1:8">
      <c r="A5240" s="4" t="s">
        <v>205</v>
      </c>
      <c r="B5240" s="4" t="s">
        <v>79</v>
      </c>
      <c r="C5240" s="4" t="s">
        <v>86</v>
      </c>
      <c r="D5240" s="4" t="s">
        <v>10423</v>
      </c>
      <c r="E5240" s="4">
        <v>3541604</v>
      </c>
      <c r="F5240" s="4" t="s">
        <v>10424</v>
      </c>
      <c r="G5240" s="4" t="s">
        <v>232</v>
      </c>
      <c r="H5240" s="13"/>
    </row>
    <row r="5241" s="1" customFormat="1" spans="1:8">
      <c r="A5241" s="4" t="s">
        <v>205</v>
      </c>
      <c r="B5241" s="4" t="s">
        <v>79</v>
      </c>
      <c r="C5241" s="4" t="s">
        <v>86</v>
      </c>
      <c r="D5241" s="4" t="s">
        <v>10425</v>
      </c>
      <c r="E5241" s="4">
        <v>3541703</v>
      </c>
      <c r="F5241" s="4" t="s">
        <v>10426</v>
      </c>
      <c r="G5241" s="4" t="s">
        <v>232</v>
      </c>
      <c r="H5241" s="13"/>
    </row>
    <row r="5242" s="1" customFormat="1" spans="1:8">
      <c r="A5242" s="4" t="s">
        <v>205</v>
      </c>
      <c r="B5242" s="4" t="s">
        <v>79</v>
      </c>
      <c r="C5242" s="4" t="s">
        <v>86</v>
      </c>
      <c r="D5242" s="4" t="s">
        <v>10427</v>
      </c>
      <c r="E5242" s="4">
        <v>3541802</v>
      </c>
      <c r="F5242" s="4" t="s">
        <v>10428</v>
      </c>
      <c r="G5242" s="4" t="s">
        <v>232</v>
      </c>
      <c r="H5242" s="13"/>
    </row>
    <row r="5243" s="1" customFormat="1" spans="1:8">
      <c r="A5243" s="4" t="s">
        <v>205</v>
      </c>
      <c r="B5243" s="4" t="s">
        <v>79</v>
      </c>
      <c r="C5243" s="4" t="s">
        <v>86</v>
      </c>
      <c r="D5243" s="4" t="s">
        <v>10429</v>
      </c>
      <c r="E5243" s="4">
        <v>3542008</v>
      </c>
      <c r="F5243" s="4" t="s">
        <v>10430</v>
      </c>
      <c r="G5243" s="4" t="s">
        <v>232</v>
      </c>
      <c r="H5243" s="13"/>
    </row>
    <row r="5244" s="1" customFormat="1" spans="1:8">
      <c r="A5244" s="4" t="s">
        <v>205</v>
      </c>
      <c r="B5244" s="4" t="s">
        <v>79</v>
      </c>
      <c r="C5244" s="4" t="s">
        <v>86</v>
      </c>
      <c r="D5244" s="4" t="s">
        <v>10431</v>
      </c>
      <c r="E5244" s="4">
        <v>3542503</v>
      </c>
      <c r="F5244" s="4" t="s">
        <v>10432</v>
      </c>
      <c r="G5244" s="4" t="s">
        <v>232</v>
      </c>
      <c r="H5244" s="13"/>
    </row>
    <row r="5245" s="1" customFormat="1" spans="1:8">
      <c r="A5245" s="4" t="s">
        <v>205</v>
      </c>
      <c r="B5245" s="4" t="s">
        <v>79</v>
      </c>
      <c r="C5245" s="4" t="s">
        <v>86</v>
      </c>
      <c r="D5245" s="4" t="s">
        <v>10433</v>
      </c>
      <c r="E5245" s="4">
        <v>3542701</v>
      </c>
      <c r="F5245" s="4" t="s">
        <v>10434</v>
      </c>
      <c r="G5245" s="4" t="s">
        <v>232</v>
      </c>
      <c r="H5245" s="13"/>
    </row>
    <row r="5246" s="1" customFormat="1" spans="1:8">
      <c r="A5246" s="4" t="s">
        <v>205</v>
      </c>
      <c r="B5246" s="4" t="s">
        <v>79</v>
      </c>
      <c r="C5246" s="4" t="s">
        <v>86</v>
      </c>
      <c r="D5246" s="4" t="s">
        <v>10435</v>
      </c>
      <c r="E5246" s="4">
        <v>3542800</v>
      </c>
      <c r="F5246" s="4" t="s">
        <v>10436</v>
      </c>
      <c r="G5246" s="4" t="s">
        <v>232</v>
      </c>
      <c r="H5246" s="13"/>
    </row>
    <row r="5247" s="1" customFormat="1" spans="1:8">
      <c r="A5247" s="4" t="s">
        <v>205</v>
      </c>
      <c r="B5247" s="4" t="s">
        <v>79</v>
      </c>
      <c r="C5247" s="4" t="s">
        <v>86</v>
      </c>
      <c r="D5247" s="4" t="s">
        <v>10437</v>
      </c>
      <c r="E5247" s="4">
        <v>3543006</v>
      </c>
      <c r="F5247" s="4" t="s">
        <v>10438</v>
      </c>
      <c r="G5247" s="4" t="s">
        <v>232</v>
      </c>
      <c r="H5247" s="13"/>
    </row>
    <row r="5248" s="1" customFormat="1" spans="1:8">
      <c r="A5248" s="4" t="s">
        <v>205</v>
      </c>
      <c r="B5248" s="4" t="s">
        <v>79</v>
      </c>
      <c r="C5248" s="4" t="s">
        <v>86</v>
      </c>
      <c r="D5248" s="4" t="s">
        <v>10439</v>
      </c>
      <c r="E5248" s="4">
        <v>3543105</v>
      </c>
      <c r="F5248" s="4" t="s">
        <v>10440</v>
      </c>
      <c r="G5248" s="4" t="s">
        <v>232</v>
      </c>
      <c r="H5248" s="13"/>
    </row>
    <row r="5249" s="1" customFormat="1" spans="1:8">
      <c r="A5249" s="4" t="s">
        <v>205</v>
      </c>
      <c r="B5249" s="4" t="s">
        <v>79</v>
      </c>
      <c r="C5249" s="4" t="s">
        <v>86</v>
      </c>
      <c r="D5249" s="4" t="s">
        <v>10441</v>
      </c>
      <c r="E5249" s="4">
        <v>3543204</v>
      </c>
      <c r="F5249" s="4" t="s">
        <v>10442</v>
      </c>
      <c r="G5249" s="4" t="s">
        <v>232</v>
      </c>
      <c r="H5249" s="13"/>
    </row>
    <row r="5250" s="1" customFormat="1" spans="1:8">
      <c r="A5250" s="4" t="s">
        <v>205</v>
      </c>
      <c r="B5250" s="4" t="s">
        <v>79</v>
      </c>
      <c r="C5250" s="4" t="s">
        <v>86</v>
      </c>
      <c r="D5250" s="4" t="s">
        <v>10443</v>
      </c>
      <c r="E5250" s="4">
        <v>3543238</v>
      </c>
      <c r="F5250" s="4" t="s">
        <v>10444</v>
      </c>
      <c r="G5250" s="4" t="s">
        <v>232</v>
      </c>
      <c r="H5250" s="13"/>
    </row>
    <row r="5251" s="1" customFormat="1" spans="1:8">
      <c r="A5251" s="4" t="s">
        <v>205</v>
      </c>
      <c r="B5251" s="4" t="s">
        <v>79</v>
      </c>
      <c r="C5251" s="4" t="s">
        <v>86</v>
      </c>
      <c r="D5251" s="4" t="s">
        <v>10445</v>
      </c>
      <c r="E5251" s="4">
        <v>3543402</v>
      </c>
      <c r="F5251" s="4" t="s">
        <v>10446</v>
      </c>
      <c r="G5251" s="4" t="s">
        <v>232</v>
      </c>
      <c r="H5251" s="13"/>
    </row>
    <row r="5252" s="1" customFormat="1" spans="1:8">
      <c r="A5252" s="4" t="s">
        <v>205</v>
      </c>
      <c r="B5252" s="4" t="s">
        <v>79</v>
      </c>
      <c r="C5252" s="4" t="s">
        <v>86</v>
      </c>
      <c r="D5252" s="4" t="s">
        <v>10447</v>
      </c>
      <c r="E5252" s="4">
        <v>3543600</v>
      </c>
      <c r="F5252" s="4" t="s">
        <v>10448</v>
      </c>
      <c r="G5252" s="4" t="s">
        <v>232</v>
      </c>
      <c r="H5252" s="13"/>
    </row>
    <row r="5253" s="1" customFormat="1" spans="1:8">
      <c r="A5253" s="4" t="s">
        <v>205</v>
      </c>
      <c r="B5253" s="4" t="s">
        <v>79</v>
      </c>
      <c r="C5253" s="4" t="s">
        <v>86</v>
      </c>
      <c r="D5253" s="4" t="s">
        <v>10449</v>
      </c>
      <c r="E5253" s="4">
        <v>3543709</v>
      </c>
      <c r="F5253" s="4" t="s">
        <v>10450</v>
      </c>
      <c r="G5253" s="4" t="s">
        <v>232</v>
      </c>
      <c r="H5253" s="13"/>
    </row>
    <row r="5254" s="1" customFormat="1" spans="1:8">
      <c r="A5254" s="4" t="s">
        <v>205</v>
      </c>
      <c r="B5254" s="4" t="s">
        <v>79</v>
      </c>
      <c r="C5254" s="4" t="s">
        <v>86</v>
      </c>
      <c r="D5254" s="4" t="s">
        <v>10451</v>
      </c>
      <c r="E5254" s="4">
        <v>3543501</v>
      </c>
      <c r="F5254" s="4" t="s">
        <v>10452</v>
      </c>
      <c r="G5254" s="4" t="s">
        <v>232</v>
      </c>
      <c r="H5254" s="13"/>
    </row>
    <row r="5255" s="1" customFormat="1" spans="1:8">
      <c r="A5255" s="4" t="s">
        <v>205</v>
      </c>
      <c r="B5255" s="4" t="s">
        <v>79</v>
      </c>
      <c r="C5255" s="4" t="s">
        <v>86</v>
      </c>
      <c r="D5255" s="4" t="s">
        <v>10453</v>
      </c>
      <c r="E5255" s="4">
        <v>3544608</v>
      </c>
      <c r="F5255" s="4" t="s">
        <v>10454</v>
      </c>
      <c r="G5255" s="4" t="s">
        <v>232</v>
      </c>
      <c r="H5255" s="13"/>
    </row>
    <row r="5256" s="1" customFormat="1" spans="1:8">
      <c r="A5256" s="4" t="s">
        <v>205</v>
      </c>
      <c r="B5256" s="4" t="s">
        <v>79</v>
      </c>
      <c r="C5256" s="4" t="s">
        <v>86</v>
      </c>
      <c r="D5256" s="4" t="s">
        <v>10455</v>
      </c>
      <c r="E5256" s="4">
        <v>3544806</v>
      </c>
      <c r="F5256" s="4" t="s">
        <v>10456</v>
      </c>
      <c r="G5256" s="4" t="s">
        <v>232</v>
      </c>
      <c r="H5256" s="13"/>
    </row>
    <row r="5257" s="1" customFormat="1" spans="1:8">
      <c r="A5257" s="4" t="s">
        <v>205</v>
      </c>
      <c r="B5257" s="4" t="s">
        <v>79</v>
      </c>
      <c r="C5257" s="4" t="s">
        <v>86</v>
      </c>
      <c r="D5257" s="4" t="s">
        <v>10457</v>
      </c>
      <c r="E5257" s="4">
        <v>3544905</v>
      </c>
      <c r="F5257" s="4" t="s">
        <v>10458</v>
      </c>
      <c r="G5257" s="4" t="s">
        <v>232</v>
      </c>
      <c r="H5257" s="13"/>
    </row>
    <row r="5258" s="1" customFormat="1" spans="1:8">
      <c r="A5258" s="4" t="s">
        <v>205</v>
      </c>
      <c r="B5258" s="4" t="s">
        <v>79</v>
      </c>
      <c r="C5258" s="4" t="s">
        <v>86</v>
      </c>
      <c r="D5258" s="4" t="s">
        <v>10459</v>
      </c>
      <c r="E5258" s="4">
        <v>3545407</v>
      </c>
      <c r="F5258" s="4" t="s">
        <v>10460</v>
      </c>
      <c r="G5258" s="4" t="s">
        <v>232</v>
      </c>
      <c r="H5258" s="13"/>
    </row>
    <row r="5259" s="1" customFormat="1" spans="1:8">
      <c r="A5259" s="4" t="s">
        <v>205</v>
      </c>
      <c r="B5259" s="4" t="s">
        <v>79</v>
      </c>
      <c r="C5259" s="4" t="s">
        <v>86</v>
      </c>
      <c r="D5259" s="4" t="s">
        <v>10461</v>
      </c>
      <c r="E5259" s="4">
        <v>3545605</v>
      </c>
      <c r="F5259" s="4" t="s">
        <v>10462</v>
      </c>
      <c r="G5259" s="4" t="s">
        <v>232</v>
      </c>
      <c r="H5259" s="13"/>
    </row>
    <row r="5260" s="1" customFormat="1" spans="1:8">
      <c r="A5260" s="4" t="s">
        <v>205</v>
      </c>
      <c r="B5260" s="4" t="s">
        <v>79</v>
      </c>
      <c r="C5260" s="4" t="s">
        <v>86</v>
      </c>
      <c r="D5260" s="4" t="s">
        <v>10463</v>
      </c>
      <c r="E5260" s="4">
        <v>3546256</v>
      </c>
      <c r="F5260" s="4" t="s">
        <v>10464</v>
      </c>
      <c r="G5260" s="4" t="s">
        <v>232</v>
      </c>
      <c r="H5260" s="13"/>
    </row>
    <row r="5261" s="1" customFormat="1" spans="1:8">
      <c r="A5261" s="4" t="s">
        <v>205</v>
      </c>
      <c r="B5261" s="4" t="s">
        <v>79</v>
      </c>
      <c r="C5261" s="4" t="s">
        <v>86</v>
      </c>
      <c r="D5261" s="4" t="s">
        <v>10465</v>
      </c>
      <c r="E5261" s="4">
        <v>3546405</v>
      </c>
      <c r="F5261" s="4" t="s">
        <v>10466</v>
      </c>
      <c r="G5261" s="4" t="s">
        <v>232</v>
      </c>
      <c r="H5261" s="13"/>
    </row>
    <row r="5262" s="1" customFormat="1" spans="1:8">
      <c r="A5262" s="4" t="s">
        <v>205</v>
      </c>
      <c r="B5262" s="4" t="s">
        <v>79</v>
      </c>
      <c r="C5262" s="4" t="s">
        <v>86</v>
      </c>
      <c r="D5262" s="4" t="s">
        <v>10467</v>
      </c>
      <c r="E5262" s="4">
        <v>3546504</v>
      </c>
      <c r="F5262" s="4" t="s">
        <v>10468</v>
      </c>
      <c r="G5262" s="4" t="s">
        <v>232</v>
      </c>
      <c r="H5262" s="13"/>
    </row>
    <row r="5263" s="1" customFormat="1" spans="1:8">
      <c r="A5263" s="4" t="s">
        <v>205</v>
      </c>
      <c r="B5263" s="4" t="s">
        <v>79</v>
      </c>
      <c r="C5263" s="4" t="s">
        <v>86</v>
      </c>
      <c r="D5263" s="4" t="s">
        <v>7242</v>
      </c>
      <c r="E5263" s="4">
        <v>3546900</v>
      </c>
      <c r="F5263" s="4" t="s">
        <v>10469</v>
      </c>
      <c r="G5263" s="4" t="s">
        <v>232</v>
      </c>
      <c r="H5263" s="13"/>
    </row>
    <row r="5264" s="1" customFormat="1" spans="1:8">
      <c r="A5264" s="4" t="s">
        <v>205</v>
      </c>
      <c r="B5264" s="4" t="s">
        <v>79</v>
      </c>
      <c r="C5264" s="4" t="s">
        <v>86</v>
      </c>
      <c r="D5264" s="4" t="s">
        <v>10470</v>
      </c>
      <c r="E5264" s="4">
        <v>3547601</v>
      </c>
      <c r="F5264" s="4" t="s">
        <v>10471</v>
      </c>
      <c r="G5264" s="4" t="s">
        <v>232</v>
      </c>
      <c r="H5264" s="13"/>
    </row>
    <row r="5265" s="1" customFormat="1" spans="1:8">
      <c r="A5265" s="4" t="s">
        <v>205</v>
      </c>
      <c r="B5265" s="4" t="s">
        <v>79</v>
      </c>
      <c r="C5265" s="4" t="s">
        <v>86</v>
      </c>
      <c r="D5265" s="4" t="s">
        <v>10472</v>
      </c>
      <c r="E5265" s="4">
        <v>3547908</v>
      </c>
      <c r="F5265" s="4" t="s">
        <v>10473</v>
      </c>
      <c r="G5265" s="4" t="s">
        <v>232</v>
      </c>
      <c r="H5265" s="13"/>
    </row>
    <row r="5266" s="1" customFormat="1" spans="1:8">
      <c r="A5266" s="4" t="s">
        <v>205</v>
      </c>
      <c r="B5266" s="4" t="s">
        <v>79</v>
      </c>
      <c r="C5266" s="4" t="s">
        <v>86</v>
      </c>
      <c r="D5266" s="4" t="s">
        <v>10474</v>
      </c>
      <c r="E5266" s="4">
        <v>3551207</v>
      </c>
      <c r="F5266" s="4" t="s">
        <v>10475</v>
      </c>
      <c r="G5266" s="4" t="s">
        <v>232</v>
      </c>
      <c r="H5266" s="13"/>
    </row>
    <row r="5267" s="1" customFormat="1" spans="1:8">
      <c r="A5267" s="4" t="s">
        <v>205</v>
      </c>
      <c r="B5267" s="4" t="s">
        <v>79</v>
      </c>
      <c r="C5267" s="4" t="s">
        <v>86</v>
      </c>
      <c r="D5267" s="4" t="s">
        <v>10476</v>
      </c>
      <c r="E5267" s="4">
        <v>3551405</v>
      </c>
      <c r="F5267" s="4" t="s">
        <v>10477</v>
      </c>
      <c r="G5267" s="4" t="s">
        <v>232</v>
      </c>
      <c r="H5267" s="13"/>
    </row>
    <row r="5268" s="1" customFormat="1" spans="1:8">
      <c r="A5268" s="4" t="s">
        <v>205</v>
      </c>
      <c r="B5268" s="4" t="s">
        <v>79</v>
      </c>
      <c r="C5268" s="4" t="s">
        <v>86</v>
      </c>
      <c r="D5268" s="4" t="s">
        <v>10478</v>
      </c>
      <c r="E5268" s="4">
        <v>3551504</v>
      </c>
      <c r="F5268" s="4" t="s">
        <v>10479</v>
      </c>
      <c r="G5268" s="4" t="s">
        <v>232</v>
      </c>
      <c r="H5268" s="13"/>
    </row>
    <row r="5269" s="1" customFormat="1" spans="1:8">
      <c r="A5269" s="4" t="s">
        <v>205</v>
      </c>
      <c r="B5269" s="4" t="s">
        <v>79</v>
      </c>
      <c r="C5269" s="4" t="s">
        <v>86</v>
      </c>
      <c r="D5269" s="4" t="s">
        <v>5474</v>
      </c>
      <c r="E5269" s="4">
        <v>3551702</v>
      </c>
      <c r="F5269" s="4" t="s">
        <v>10480</v>
      </c>
      <c r="G5269" s="4" t="s">
        <v>232</v>
      </c>
      <c r="H5269" s="13"/>
    </row>
    <row r="5270" s="1" customFormat="1" spans="1:8">
      <c r="A5270" s="4" t="s">
        <v>205</v>
      </c>
      <c r="B5270" s="4" t="s">
        <v>79</v>
      </c>
      <c r="C5270" s="4" t="s">
        <v>86</v>
      </c>
      <c r="D5270" s="4" t="s">
        <v>10481</v>
      </c>
      <c r="E5270" s="4">
        <v>3551900</v>
      </c>
      <c r="F5270" s="4" t="s">
        <v>10482</v>
      </c>
      <c r="G5270" s="4" t="s">
        <v>232</v>
      </c>
      <c r="H5270" s="13"/>
    </row>
    <row r="5271" s="1" customFormat="1" spans="1:8">
      <c r="A5271" s="4" t="s">
        <v>205</v>
      </c>
      <c r="B5271" s="4" t="s">
        <v>79</v>
      </c>
      <c r="C5271" s="4" t="s">
        <v>86</v>
      </c>
      <c r="D5271" s="4" t="s">
        <v>10483</v>
      </c>
      <c r="E5271" s="4">
        <v>3549409</v>
      </c>
      <c r="F5271" s="4" t="s">
        <v>10484</v>
      </c>
      <c r="G5271" s="4" t="s">
        <v>232</v>
      </c>
      <c r="H5271" s="13"/>
    </row>
    <row r="5272" s="1" customFormat="1" spans="1:8">
      <c r="A5272" s="4" t="s">
        <v>205</v>
      </c>
      <c r="B5272" s="4" t="s">
        <v>79</v>
      </c>
      <c r="C5272" s="4" t="s">
        <v>86</v>
      </c>
      <c r="D5272" s="4" t="s">
        <v>10485</v>
      </c>
      <c r="E5272" s="4">
        <v>3549805</v>
      </c>
      <c r="F5272" s="4" t="s">
        <v>10486</v>
      </c>
      <c r="G5272" s="4" t="s">
        <v>232</v>
      </c>
      <c r="H5272" s="13"/>
    </row>
    <row r="5273" s="1" customFormat="1" spans="1:8">
      <c r="A5273" s="4" t="s">
        <v>205</v>
      </c>
      <c r="B5273" s="4" t="s">
        <v>79</v>
      </c>
      <c r="C5273" s="4" t="s">
        <v>86</v>
      </c>
      <c r="D5273" s="4" t="s">
        <v>10487</v>
      </c>
      <c r="E5273" s="4">
        <v>3550506</v>
      </c>
      <c r="F5273" s="4" t="s">
        <v>10488</v>
      </c>
      <c r="G5273" s="4" t="s">
        <v>232</v>
      </c>
      <c r="H5273" s="13"/>
    </row>
    <row r="5274" s="1" customFormat="1" spans="1:8">
      <c r="A5274" s="4" t="s">
        <v>205</v>
      </c>
      <c r="B5274" s="4" t="s">
        <v>79</v>
      </c>
      <c r="C5274" s="4" t="s">
        <v>86</v>
      </c>
      <c r="D5274" s="4" t="s">
        <v>2466</v>
      </c>
      <c r="E5274" s="4">
        <v>3550902</v>
      </c>
      <c r="F5274" s="4" t="s">
        <v>10489</v>
      </c>
      <c r="G5274" s="4" t="s">
        <v>232</v>
      </c>
      <c r="H5274" s="13"/>
    </row>
    <row r="5275" s="1" customFormat="1" spans="1:8">
      <c r="A5275" s="4" t="s">
        <v>205</v>
      </c>
      <c r="B5275" s="4" t="s">
        <v>79</v>
      </c>
      <c r="C5275" s="4" t="s">
        <v>86</v>
      </c>
      <c r="D5275" s="4" t="s">
        <v>10490</v>
      </c>
      <c r="E5275" s="4">
        <v>3552601</v>
      </c>
      <c r="F5275" s="4" t="s">
        <v>10491</v>
      </c>
      <c r="G5275" s="4" t="s">
        <v>232</v>
      </c>
      <c r="H5275" s="13"/>
    </row>
    <row r="5276" s="1" customFormat="1" spans="1:8">
      <c r="A5276" s="4" t="s">
        <v>205</v>
      </c>
      <c r="B5276" s="4" t="s">
        <v>79</v>
      </c>
      <c r="C5276" s="4" t="s">
        <v>86</v>
      </c>
      <c r="D5276" s="4" t="s">
        <v>548</v>
      </c>
      <c r="E5276" s="4">
        <v>3552700</v>
      </c>
      <c r="F5276" s="4" t="s">
        <v>10492</v>
      </c>
      <c r="G5276" s="4" t="s">
        <v>232</v>
      </c>
      <c r="H5276" s="13"/>
    </row>
    <row r="5277" s="1" customFormat="1" spans="1:8">
      <c r="A5277" s="4" t="s">
        <v>205</v>
      </c>
      <c r="B5277" s="4" t="s">
        <v>79</v>
      </c>
      <c r="C5277" s="4" t="s">
        <v>86</v>
      </c>
      <c r="D5277" s="4" t="s">
        <v>10493</v>
      </c>
      <c r="E5277" s="4">
        <v>3553005</v>
      </c>
      <c r="F5277" s="4" t="s">
        <v>10494</v>
      </c>
      <c r="G5277" s="4" t="s">
        <v>232</v>
      </c>
      <c r="H5277" s="13"/>
    </row>
    <row r="5278" s="1" customFormat="1" spans="1:8">
      <c r="A5278" s="4" t="s">
        <v>205</v>
      </c>
      <c r="B5278" s="4" t="s">
        <v>79</v>
      </c>
      <c r="C5278" s="4" t="s">
        <v>86</v>
      </c>
      <c r="D5278" s="4" t="s">
        <v>10495</v>
      </c>
      <c r="E5278" s="4">
        <v>3553104</v>
      </c>
      <c r="F5278" s="4" t="s">
        <v>10496</v>
      </c>
      <c r="G5278" s="4" t="s">
        <v>232</v>
      </c>
      <c r="H5278" s="13"/>
    </row>
    <row r="5279" s="1" customFormat="1" spans="1:8">
      <c r="A5279" s="4" t="s">
        <v>205</v>
      </c>
      <c r="B5279" s="4" t="s">
        <v>79</v>
      </c>
      <c r="C5279" s="4" t="s">
        <v>86</v>
      </c>
      <c r="D5279" s="4" t="s">
        <v>10497</v>
      </c>
      <c r="E5279" s="4">
        <v>3553203</v>
      </c>
      <c r="F5279" s="4" t="s">
        <v>10498</v>
      </c>
      <c r="G5279" s="4" t="s">
        <v>232</v>
      </c>
      <c r="H5279" s="13"/>
    </row>
    <row r="5280" s="1" customFormat="1" spans="1:8">
      <c r="A5280" s="4" t="s">
        <v>205</v>
      </c>
      <c r="B5280" s="4" t="s">
        <v>79</v>
      </c>
      <c r="C5280" s="4" t="s">
        <v>86</v>
      </c>
      <c r="D5280" s="4" t="s">
        <v>10499</v>
      </c>
      <c r="E5280" s="4">
        <v>3553302</v>
      </c>
      <c r="F5280" s="4" t="s">
        <v>10500</v>
      </c>
      <c r="G5280" s="4" t="s">
        <v>232</v>
      </c>
      <c r="H5280" s="13"/>
    </row>
    <row r="5281" s="1" customFormat="1" spans="1:8">
      <c r="A5281" s="4" t="s">
        <v>205</v>
      </c>
      <c r="B5281" s="4" t="s">
        <v>79</v>
      </c>
      <c r="C5281" s="4" t="s">
        <v>86</v>
      </c>
      <c r="D5281" s="4" t="s">
        <v>10501</v>
      </c>
      <c r="E5281" s="4">
        <v>3553401</v>
      </c>
      <c r="F5281" s="4" t="s">
        <v>10502</v>
      </c>
      <c r="G5281" s="4" t="s">
        <v>232</v>
      </c>
      <c r="H5281" s="13"/>
    </row>
    <row r="5282" s="1" customFormat="1" spans="1:8">
      <c r="A5282" s="4" t="s">
        <v>205</v>
      </c>
      <c r="B5282" s="4" t="s">
        <v>79</v>
      </c>
      <c r="C5282" s="4" t="s">
        <v>86</v>
      </c>
      <c r="D5282" s="4" t="s">
        <v>10503</v>
      </c>
      <c r="E5282" s="4">
        <v>3553609</v>
      </c>
      <c r="F5282" s="4" t="s">
        <v>10504</v>
      </c>
      <c r="G5282" s="4" t="s">
        <v>232</v>
      </c>
      <c r="H5282" s="13"/>
    </row>
    <row r="5283" s="1" customFormat="1" spans="1:8">
      <c r="A5283" s="4" t="s">
        <v>205</v>
      </c>
      <c r="B5283" s="4" t="s">
        <v>79</v>
      </c>
      <c r="C5283" s="4" t="s">
        <v>86</v>
      </c>
      <c r="D5283" s="4" t="s">
        <v>10505</v>
      </c>
      <c r="E5283" s="4">
        <v>3553708</v>
      </c>
      <c r="F5283" s="4" t="s">
        <v>10506</v>
      </c>
      <c r="G5283" s="4" t="s">
        <v>232</v>
      </c>
      <c r="H5283" s="13"/>
    </row>
    <row r="5284" s="1" customFormat="1" spans="1:8">
      <c r="A5284" s="4" t="s">
        <v>205</v>
      </c>
      <c r="B5284" s="4" t="s">
        <v>79</v>
      </c>
      <c r="C5284" s="4" t="s">
        <v>86</v>
      </c>
      <c r="D5284" s="4" t="s">
        <v>10507</v>
      </c>
      <c r="E5284" s="4">
        <v>3553807</v>
      </c>
      <c r="F5284" s="4" t="s">
        <v>10508</v>
      </c>
      <c r="G5284" s="4" t="s">
        <v>232</v>
      </c>
      <c r="H5284" s="13"/>
    </row>
    <row r="5285" s="1" customFormat="1" spans="1:8">
      <c r="A5285" s="4" t="s">
        <v>205</v>
      </c>
      <c r="B5285" s="4" t="s">
        <v>79</v>
      </c>
      <c r="C5285" s="4" t="s">
        <v>86</v>
      </c>
      <c r="D5285" s="4" t="s">
        <v>10509</v>
      </c>
      <c r="E5285" s="4">
        <v>3553955</v>
      </c>
      <c r="F5285" s="4" t="s">
        <v>10510</v>
      </c>
      <c r="G5285" s="4" t="s">
        <v>232</v>
      </c>
      <c r="H5285" s="13"/>
    </row>
    <row r="5286" s="1" customFormat="1" spans="1:8">
      <c r="A5286" s="4" t="s">
        <v>205</v>
      </c>
      <c r="B5286" s="4" t="s">
        <v>79</v>
      </c>
      <c r="C5286" s="4" t="s">
        <v>86</v>
      </c>
      <c r="D5286" s="4" t="s">
        <v>10511</v>
      </c>
      <c r="E5286" s="4">
        <v>3554201</v>
      </c>
      <c r="F5286" s="4" t="s">
        <v>10512</v>
      </c>
      <c r="G5286" s="4" t="s">
        <v>232</v>
      </c>
      <c r="H5286" s="13"/>
    </row>
    <row r="5287" s="1" customFormat="1" spans="1:8">
      <c r="A5287" s="4" t="s">
        <v>205</v>
      </c>
      <c r="B5287" s="4" t="s">
        <v>79</v>
      </c>
      <c r="C5287" s="4" t="s">
        <v>86</v>
      </c>
      <c r="D5287" s="4" t="s">
        <v>7287</v>
      </c>
      <c r="E5287" s="4">
        <v>3554409</v>
      </c>
      <c r="F5287" s="4" t="s">
        <v>10513</v>
      </c>
      <c r="G5287" s="4" t="s">
        <v>232</v>
      </c>
      <c r="H5287" s="13"/>
    </row>
    <row r="5288" s="1" customFormat="1" spans="1:8">
      <c r="A5288" s="4" t="s">
        <v>205</v>
      </c>
      <c r="B5288" s="4" t="s">
        <v>79</v>
      </c>
      <c r="C5288" s="4" t="s">
        <v>86</v>
      </c>
      <c r="D5288" s="4" t="s">
        <v>10514</v>
      </c>
      <c r="E5288" s="4">
        <v>3554607</v>
      </c>
      <c r="F5288" s="4" t="s">
        <v>10515</v>
      </c>
      <c r="G5288" s="4" t="s">
        <v>232</v>
      </c>
      <c r="H5288" s="13"/>
    </row>
    <row r="5289" s="1" customFormat="1" spans="1:8">
      <c r="A5289" s="4" t="s">
        <v>205</v>
      </c>
      <c r="B5289" s="4" t="s">
        <v>79</v>
      </c>
      <c r="C5289" s="4" t="s">
        <v>86</v>
      </c>
      <c r="D5289" s="4" t="s">
        <v>10516</v>
      </c>
      <c r="E5289" s="4">
        <v>3554755</v>
      </c>
      <c r="F5289" s="4" t="s">
        <v>10517</v>
      </c>
      <c r="G5289" s="4" t="s">
        <v>232</v>
      </c>
      <c r="H5289" s="13"/>
    </row>
    <row r="5290" s="1" customFormat="1" spans="1:8">
      <c r="A5290" s="4" t="s">
        <v>205</v>
      </c>
      <c r="B5290" s="4" t="s">
        <v>79</v>
      </c>
      <c r="C5290" s="4" t="s">
        <v>86</v>
      </c>
      <c r="D5290" s="4" t="s">
        <v>10518</v>
      </c>
      <c r="E5290" s="4">
        <v>3555356</v>
      </c>
      <c r="F5290" s="4" t="s">
        <v>10519</v>
      </c>
      <c r="G5290" s="4" t="s">
        <v>232</v>
      </c>
      <c r="H5290" s="13"/>
    </row>
    <row r="5291" s="1" customFormat="1" spans="1:8">
      <c r="A5291" s="4" t="s">
        <v>205</v>
      </c>
      <c r="B5291" s="4" t="s">
        <v>79</v>
      </c>
      <c r="C5291" s="4" t="s">
        <v>86</v>
      </c>
      <c r="D5291" s="4" t="s">
        <v>10520</v>
      </c>
      <c r="E5291" s="4">
        <v>3555505</v>
      </c>
      <c r="F5291" s="4" t="s">
        <v>10521</v>
      </c>
      <c r="G5291" s="4" t="s">
        <v>232</v>
      </c>
      <c r="H5291" s="13"/>
    </row>
    <row r="5292" s="1" customFormat="1" spans="1:8">
      <c r="A5292" s="4" t="s">
        <v>205</v>
      </c>
      <c r="B5292" s="4" t="s">
        <v>79</v>
      </c>
      <c r="C5292" s="4" t="s">
        <v>86</v>
      </c>
      <c r="D5292" s="4" t="s">
        <v>10522</v>
      </c>
      <c r="E5292" s="4">
        <v>3555604</v>
      </c>
      <c r="F5292" s="4" t="s">
        <v>10523</v>
      </c>
      <c r="G5292" s="4" t="s">
        <v>232</v>
      </c>
      <c r="H5292" s="13"/>
    </row>
    <row r="5293" s="1" customFormat="1" spans="1:8">
      <c r="A5293" s="4" t="s">
        <v>205</v>
      </c>
      <c r="B5293" s="4" t="s">
        <v>79</v>
      </c>
      <c r="C5293" s="4" t="s">
        <v>86</v>
      </c>
      <c r="D5293" s="4" t="s">
        <v>10524</v>
      </c>
      <c r="E5293" s="4">
        <v>3555901</v>
      </c>
      <c r="F5293" s="4" t="s">
        <v>10525</v>
      </c>
      <c r="G5293" s="4" t="s">
        <v>232</v>
      </c>
      <c r="H5293" s="13"/>
    </row>
    <row r="5294" s="1" customFormat="1" spans="1:8">
      <c r="A5294" s="4" t="s">
        <v>205</v>
      </c>
      <c r="B5294" s="4" t="s">
        <v>79</v>
      </c>
      <c r="C5294" s="4" t="s">
        <v>86</v>
      </c>
      <c r="D5294" s="4" t="s">
        <v>10526</v>
      </c>
      <c r="E5294" s="4">
        <v>3556008</v>
      </c>
      <c r="F5294" s="4" t="s">
        <v>10527</v>
      </c>
      <c r="G5294" s="4" t="s">
        <v>232</v>
      </c>
      <c r="H5294" s="13"/>
    </row>
    <row r="5295" s="1" customFormat="1" spans="1:8">
      <c r="A5295" s="4" t="s">
        <v>205</v>
      </c>
      <c r="B5295" s="4" t="s">
        <v>79</v>
      </c>
      <c r="C5295" s="4" t="s">
        <v>86</v>
      </c>
      <c r="D5295" s="4" t="s">
        <v>887</v>
      </c>
      <c r="E5295" s="4">
        <v>3556602</v>
      </c>
      <c r="F5295" s="4" t="s">
        <v>10528</v>
      </c>
      <c r="G5295" s="4" t="s">
        <v>232</v>
      </c>
      <c r="H5295" s="13"/>
    </row>
    <row r="5296" s="1" customFormat="1" spans="1:8">
      <c r="A5296" s="4" t="s">
        <v>205</v>
      </c>
      <c r="B5296" s="4" t="s">
        <v>79</v>
      </c>
      <c r="C5296" s="4" t="s">
        <v>86</v>
      </c>
      <c r="D5296" s="4" t="s">
        <v>10529</v>
      </c>
      <c r="E5296" s="4">
        <v>3556800</v>
      </c>
      <c r="F5296" s="4" t="s">
        <v>10530</v>
      </c>
      <c r="G5296" s="4" t="s">
        <v>232</v>
      </c>
      <c r="H5296" s="13"/>
    </row>
    <row r="5297" s="1" customFormat="1" spans="1:8">
      <c r="A5297" s="4" t="s">
        <v>205</v>
      </c>
      <c r="B5297" s="4" t="s">
        <v>79</v>
      </c>
      <c r="C5297" s="4" t="s">
        <v>86</v>
      </c>
      <c r="D5297" s="4" t="s">
        <v>10531</v>
      </c>
      <c r="E5297" s="4">
        <v>3556909</v>
      </c>
      <c r="F5297" s="4" t="s">
        <v>10532</v>
      </c>
      <c r="G5297" s="4" t="s">
        <v>232</v>
      </c>
      <c r="H5297" s="13"/>
    </row>
    <row r="5298" s="1" customFormat="1" spans="1:8">
      <c r="A5298" s="4" t="s">
        <v>205</v>
      </c>
      <c r="B5298" s="4" t="s">
        <v>79</v>
      </c>
      <c r="C5298" s="4" t="s">
        <v>86</v>
      </c>
      <c r="D5298" s="4" t="s">
        <v>10533</v>
      </c>
      <c r="E5298" s="4">
        <v>3500550</v>
      </c>
      <c r="F5298" s="4" t="s">
        <v>10534</v>
      </c>
      <c r="G5298" s="4" t="s">
        <v>232</v>
      </c>
      <c r="H5298" s="13"/>
    </row>
    <row r="5299" s="1" customFormat="1" spans="1:8">
      <c r="A5299" s="4" t="s">
        <v>205</v>
      </c>
      <c r="B5299" s="4" t="s">
        <v>79</v>
      </c>
      <c r="C5299" s="4" t="s">
        <v>86</v>
      </c>
      <c r="D5299" s="4" t="s">
        <v>10535</v>
      </c>
      <c r="E5299" s="4">
        <v>3501400</v>
      </c>
      <c r="F5299" s="4" t="s">
        <v>10536</v>
      </c>
      <c r="G5299" s="4" t="s">
        <v>232</v>
      </c>
      <c r="H5299" s="13"/>
    </row>
    <row r="5300" s="1" customFormat="1" spans="1:8">
      <c r="A5300" s="4" t="s">
        <v>205</v>
      </c>
      <c r="B5300" s="4" t="s">
        <v>79</v>
      </c>
      <c r="C5300" s="4" t="s">
        <v>86</v>
      </c>
      <c r="D5300" s="4" t="s">
        <v>10537</v>
      </c>
      <c r="E5300" s="4">
        <v>3533809</v>
      </c>
      <c r="F5300" s="4" t="s">
        <v>10538</v>
      </c>
      <c r="G5300" s="4" t="s">
        <v>232</v>
      </c>
      <c r="H5300" s="13"/>
    </row>
    <row r="5301" s="1" customFormat="1" spans="1:8">
      <c r="A5301" s="4" t="s">
        <v>205</v>
      </c>
      <c r="B5301" s="4" t="s">
        <v>79</v>
      </c>
      <c r="C5301" s="4" t="s">
        <v>86</v>
      </c>
      <c r="D5301" s="4" t="s">
        <v>10539</v>
      </c>
      <c r="E5301" s="4">
        <v>3500105</v>
      </c>
      <c r="F5301" s="4" t="s">
        <v>10540</v>
      </c>
      <c r="G5301" s="4" t="s">
        <v>243</v>
      </c>
      <c r="H5301" s="13"/>
    </row>
    <row r="5302" s="1" customFormat="1" spans="1:8">
      <c r="A5302" s="4" t="s">
        <v>205</v>
      </c>
      <c r="B5302" s="4" t="s">
        <v>79</v>
      </c>
      <c r="C5302" s="4" t="s">
        <v>86</v>
      </c>
      <c r="D5302" s="4" t="s">
        <v>10541</v>
      </c>
      <c r="E5302" s="4">
        <v>3500808</v>
      </c>
      <c r="F5302" s="4" t="s">
        <v>10542</v>
      </c>
      <c r="G5302" s="4" t="s">
        <v>243</v>
      </c>
      <c r="H5302" s="13"/>
    </row>
    <row r="5303" s="1" customFormat="1" spans="1:8">
      <c r="A5303" s="4" t="s">
        <v>205</v>
      </c>
      <c r="B5303" s="4" t="s">
        <v>79</v>
      </c>
      <c r="C5303" s="4" t="s">
        <v>86</v>
      </c>
      <c r="D5303" s="4" t="s">
        <v>10543</v>
      </c>
      <c r="E5303" s="4">
        <v>3501806</v>
      </c>
      <c r="F5303" s="4" t="s">
        <v>10544</v>
      </c>
      <c r="G5303" s="4" t="s">
        <v>243</v>
      </c>
      <c r="H5303" s="13"/>
    </row>
    <row r="5304" s="1" customFormat="1" spans="1:8">
      <c r="A5304" s="4" t="s">
        <v>205</v>
      </c>
      <c r="B5304" s="4" t="s">
        <v>79</v>
      </c>
      <c r="C5304" s="4" t="s">
        <v>86</v>
      </c>
      <c r="D5304" s="4" t="s">
        <v>10545</v>
      </c>
      <c r="E5304" s="4">
        <v>3502101</v>
      </c>
      <c r="F5304" s="4" t="s">
        <v>10546</v>
      </c>
      <c r="G5304" s="4" t="s">
        <v>243</v>
      </c>
      <c r="H5304" s="13"/>
    </row>
    <row r="5305" s="1" customFormat="1" spans="1:8">
      <c r="A5305" s="4" t="s">
        <v>205</v>
      </c>
      <c r="B5305" s="4" t="s">
        <v>79</v>
      </c>
      <c r="C5305" s="4" t="s">
        <v>86</v>
      </c>
      <c r="D5305" s="4" t="s">
        <v>10547</v>
      </c>
      <c r="E5305" s="4">
        <v>3502408</v>
      </c>
      <c r="F5305" s="4" t="s">
        <v>10548</v>
      </c>
      <c r="G5305" s="4" t="s">
        <v>243</v>
      </c>
      <c r="H5305" s="13"/>
    </row>
    <row r="5306" s="1" customFormat="1" spans="1:8">
      <c r="A5306" s="4" t="s">
        <v>205</v>
      </c>
      <c r="B5306" s="4" t="s">
        <v>79</v>
      </c>
      <c r="C5306" s="4" t="s">
        <v>86</v>
      </c>
      <c r="D5306" s="4" t="s">
        <v>10549</v>
      </c>
      <c r="E5306" s="4">
        <v>3502606</v>
      </c>
      <c r="F5306" s="4" t="s">
        <v>10550</v>
      </c>
      <c r="G5306" s="4" t="s">
        <v>243</v>
      </c>
      <c r="H5306" s="13"/>
    </row>
    <row r="5307" s="1" customFormat="1" spans="1:8">
      <c r="A5307" s="4" t="s">
        <v>205</v>
      </c>
      <c r="B5307" s="4" t="s">
        <v>79</v>
      </c>
      <c r="C5307" s="4" t="s">
        <v>86</v>
      </c>
      <c r="D5307" s="4" t="s">
        <v>10551</v>
      </c>
      <c r="E5307" s="4">
        <v>3502804</v>
      </c>
      <c r="F5307" s="4" t="s">
        <v>10552</v>
      </c>
      <c r="G5307" s="4" t="s">
        <v>243</v>
      </c>
      <c r="H5307" s="13"/>
    </row>
    <row r="5308" s="1" customFormat="1" spans="1:8">
      <c r="A5308" s="4" t="s">
        <v>205</v>
      </c>
      <c r="B5308" s="4" t="s">
        <v>79</v>
      </c>
      <c r="C5308" s="4" t="s">
        <v>86</v>
      </c>
      <c r="D5308" s="4" t="s">
        <v>10553</v>
      </c>
      <c r="E5308" s="4">
        <v>3503950</v>
      </c>
      <c r="F5308" s="4" t="s">
        <v>10554</v>
      </c>
      <c r="G5308" s="4" t="s">
        <v>243</v>
      </c>
      <c r="H5308" s="13"/>
    </row>
    <row r="5309" s="1" customFormat="1" spans="1:8">
      <c r="A5309" s="4" t="s">
        <v>205</v>
      </c>
      <c r="B5309" s="4" t="s">
        <v>79</v>
      </c>
      <c r="C5309" s="4" t="s">
        <v>86</v>
      </c>
      <c r="D5309" s="4" t="s">
        <v>10555</v>
      </c>
      <c r="E5309" s="4">
        <v>3504206</v>
      </c>
      <c r="F5309" s="4" t="s">
        <v>10556</v>
      </c>
      <c r="G5309" s="4" t="s">
        <v>243</v>
      </c>
      <c r="H5309" s="13"/>
    </row>
    <row r="5310" s="1" customFormat="1" spans="1:8">
      <c r="A5310" s="4" t="s">
        <v>205</v>
      </c>
      <c r="B5310" s="4" t="s">
        <v>79</v>
      </c>
      <c r="C5310" s="4" t="s">
        <v>86</v>
      </c>
      <c r="D5310" s="4" t="s">
        <v>10557</v>
      </c>
      <c r="E5310" s="4">
        <v>3505104</v>
      </c>
      <c r="F5310" s="4" t="s">
        <v>10558</v>
      </c>
      <c r="G5310" s="4" t="s">
        <v>243</v>
      </c>
      <c r="H5310" s="13"/>
    </row>
    <row r="5311" s="1" customFormat="1" spans="1:8">
      <c r="A5311" s="4" t="s">
        <v>205</v>
      </c>
      <c r="B5311" s="4" t="s">
        <v>79</v>
      </c>
      <c r="C5311" s="4" t="s">
        <v>86</v>
      </c>
      <c r="D5311" s="4" t="s">
        <v>10559</v>
      </c>
      <c r="E5311" s="4">
        <v>3505807</v>
      </c>
      <c r="F5311" s="4" t="s">
        <v>10560</v>
      </c>
      <c r="G5311" s="4" t="s">
        <v>243</v>
      </c>
      <c r="H5311" s="13"/>
    </row>
    <row r="5312" s="1" customFormat="1" spans="1:8">
      <c r="A5312" s="4" t="s">
        <v>205</v>
      </c>
      <c r="B5312" s="4" t="s">
        <v>79</v>
      </c>
      <c r="C5312" s="4" t="s">
        <v>86</v>
      </c>
      <c r="D5312" s="4" t="s">
        <v>10561</v>
      </c>
      <c r="E5312" s="4">
        <v>3506201</v>
      </c>
      <c r="F5312" s="4" t="s">
        <v>10562</v>
      </c>
      <c r="G5312" s="4" t="s">
        <v>243</v>
      </c>
      <c r="H5312" s="13"/>
    </row>
    <row r="5313" s="1" customFormat="1" spans="1:8">
      <c r="A5313" s="4" t="s">
        <v>205</v>
      </c>
      <c r="B5313" s="4" t="s">
        <v>79</v>
      </c>
      <c r="C5313" s="4" t="s">
        <v>86</v>
      </c>
      <c r="D5313" s="4" t="s">
        <v>10563</v>
      </c>
      <c r="E5313" s="4">
        <v>3506409</v>
      </c>
      <c r="F5313" s="4" t="s">
        <v>10564</v>
      </c>
      <c r="G5313" s="4" t="s">
        <v>243</v>
      </c>
      <c r="H5313" s="13"/>
    </row>
    <row r="5314" s="1" customFormat="1" spans="1:8">
      <c r="A5314" s="4" t="s">
        <v>205</v>
      </c>
      <c r="B5314" s="4" t="s">
        <v>79</v>
      </c>
      <c r="C5314" s="4" t="s">
        <v>86</v>
      </c>
      <c r="D5314" s="4" t="s">
        <v>10565</v>
      </c>
      <c r="E5314" s="4">
        <v>3506508</v>
      </c>
      <c r="F5314" s="4" t="s">
        <v>10566</v>
      </c>
      <c r="G5314" s="4" t="s">
        <v>243</v>
      </c>
      <c r="H5314" s="13"/>
    </row>
    <row r="5315" s="1" customFormat="1" spans="1:8">
      <c r="A5315" s="4" t="s">
        <v>205</v>
      </c>
      <c r="B5315" s="4" t="s">
        <v>79</v>
      </c>
      <c r="C5315" s="4" t="s">
        <v>86</v>
      </c>
      <c r="D5315" s="4" t="s">
        <v>10567</v>
      </c>
      <c r="E5315" s="4">
        <v>3507704</v>
      </c>
      <c r="F5315" s="4" t="s">
        <v>10568</v>
      </c>
      <c r="G5315" s="4" t="s">
        <v>243</v>
      </c>
      <c r="H5315" s="13"/>
    </row>
    <row r="5316" s="1" customFormat="1" spans="1:8">
      <c r="A5316" s="4" t="s">
        <v>205</v>
      </c>
      <c r="B5316" s="4" t="s">
        <v>79</v>
      </c>
      <c r="C5316" s="4" t="s">
        <v>86</v>
      </c>
      <c r="D5316" s="4" t="s">
        <v>10569</v>
      </c>
      <c r="E5316" s="4">
        <v>3507753</v>
      </c>
      <c r="F5316" s="4" t="s">
        <v>10570</v>
      </c>
      <c r="G5316" s="4" t="s">
        <v>243</v>
      </c>
      <c r="H5316" s="13"/>
    </row>
    <row r="5317" s="1" customFormat="1" spans="1:8">
      <c r="A5317" s="4" t="s">
        <v>205</v>
      </c>
      <c r="B5317" s="4" t="s">
        <v>79</v>
      </c>
      <c r="C5317" s="4" t="s">
        <v>86</v>
      </c>
      <c r="D5317" s="4" t="s">
        <v>10571</v>
      </c>
      <c r="E5317" s="4">
        <v>3508108</v>
      </c>
      <c r="F5317" s="4" t="s">
        <v>10572</v>
      </c>
      <c r="G5317" s="4" t="s">
        <v>243</v>
      </c>
      <c r="H5317" s="13"/>
    </row>
    <row r="5318" s="1" customFormat="1" spans="1:8">
      <c r="A5318" s="4" t="s">
        <v>205</v>
      </c>
      <c r="B5318" s="4" t="s">
        <v>79</v>
      </c>
      <c r="C5318" s="4" t="s">
        <v>86</v>
      </c>
      <c r="D5318" s="4" t="s">
        <v>10573</v>
      </c>
      <c r="E5318" s="4">
        <v>3508900</v>
      </c>
      <c r="F5318" s="4" t="s">
        <v>10574</v>
      </c>
      <c r="G5318" s="4" t="s">
        <v>243</v>
      </c>
      <c r="H5318" s="13"/>
    </row>
    <row r="5319" s="1" customFormat="1" spans="1:8">
      <c r="A5319" s="4" t="s">
        <v>205</v>
      </c>
      <c r="B5319" s="4" t="s">
        <v>79</v>
      </c>
      <c r="C5319" s="4" t="s">
        <v>86</v>
      </c>
      <c r="D5319" s="4" t="s">
        <v>10575</v>
      </c>
      <c r="E5319" s="4">
        <v>3509106</v>
      </c>
      <c r="F5319" s="4" t="s">
        <v>10576</v>
      </c>
      <c r="G5319" s="4" t="s">
        <v>243</v>
      </c>
      <c r="H5319" s="13"/>
    </row>
    <row r="5320" s="1" customFormat="1" spans="1:8">
      <c r="A5320" s="4" t="s">
        <v>205</v>
      </c>
      <c r="B5320" s="4" t="s">
        <v>79</v>
      </c>
      <c r="C5320" s="4" t="s">
        <v>86</v>
      </c>
      <c r="D5320" s="4" t="s">
        <v>10577</v>
      </c>
      <c r="E5320" s="4">
        <v>3510708</v>
      </c>
      <c r="F5320" s="4" t="s">
        <v>10578</v>
      </c>
      <c r="G5320" s="4" t="s">
        <v>243</v>
      </c>
      <c r="H5320" s="13"/>
    </row>
    <row r="5321" s="1" customFormat="1" spans="1:8">
      <c r="A5321" s="4" t="s">
        <v>205</v>
      </c>
      <c r="B5321" s="4" t="s">
        <v>79</v>
      </c>
      <c r="C5321" s="4" t="s">
        <v>86</v>
      </c>
      <c r="D5321" s="4" t="s">
        <v>10579</v>
      </c>
      <c r="E5321" s="4">
        <v>3511003</v>
      </c>
      <c r="F5321" s="4" t="s">
        <v>10580</v>
      </c>
      <c r="G5321" s="4" t="s">
        <v>243</v>
      </c>
      <c r="H5321" s="13"/>
    </row>
    <row r="5322" s="1" customFormat="1" spans="1:8">
      <c r="A5322" s="4" t="s">
        <v>205</v>
      </c>
      <c r="B5322" s="4" t="s">
        <v>79</v>
      </c>
      <c r="C5322" s="4" t="s">
        <v>86</v>
      </c>
      <c r="D5322" s="4" t="s">
        <v>10581</v>
      </c>
      <c r="E5322" s="4">
        <v>3511904</v>
      </c>
      <c r="F5322" s="4" t="s">
        <v>10582</v>
      </c>
      <c r="G5322" s="4" t="s">
        <v>243</v>
      </c>
      <c r="H5322" s="13"/>
    </row>
    <row r="5323" s="1" customFormat="1" spans="1:8">
      <c r="A5323" s="4" t="s">
        <v>205</v>
      </c>
      <c r="B5323" s="4" t="s">
        <v>79</v>
      </c>
      <c r="C5323" s="4" t="s">
        <v>86</v>
      </c>
      <c r="D5323" s="4" t="s">
        <v>10583</v>
      </c>
      <c r="E5323" s="4">
        <v>3512902</v>
      </c>
      <c r="F5323" s="4" t="s">
        <v>10584</v>
      </c>
      <c r="G5323" s="4" t="s">
        <v>243</v>
      </c>
      <c r="H5323" s="13"/>
    </row>
    <row r="5324" s="1" customFormat="1" spans="1:8">
      <c r="A5324" s="4" t="s">
        <v>205</v>
      </c>
      <c r="B5324" s="4" t="s">
        <v>79</v>
      </c>
      <c r="C5324" s="4" t="s">
        <v>86</v>
      </c>
      <c r="D5324" s="4" t="s">
        <v>10585</v>
      </c>
      <c r="E5324" s="4">
        <v>3513850</v>
      </c>
      <c r="F5324" s="4" t="s">
        <v>10586</v>
      </c>
      <c r="G5324" s="4" t="s">
        <v>243</v>
      </c>
      <c r="H5324" s="13"/>
    </row>
    <row r="5325" s="1" customFormat="1" spans="1:8">
      <c r="A5325" s="4" t="s">
        <v>205</v>
      </c>
      <c r="B5325" s="4" t="s">
        <v>79</v>
      </c>
      <c r="C5325" s="4" t="s">
        <v>86</v>
      </c>
      <c r="D5325" s="4" t="s">
        <v>10587</v>
      </c>
      <c r="E5325" s="4">
        <v>3514205</v>
      </c>
      <c r="F5325" s="4" t="s">
        <v>10588</v>
      </c>
      <c r="G5325" s="4" t="s">
        <v>243</v>
      </c>
      <c r="H5325" s="13"/>
    </row>
    <row r="5326" s="1" customFormat="1" spans="1:8">
      <c r="A5326" s="4" t="s">
        <v>205</v>
      </c>
      <c r="B5326" s="4" t="s">
        <v>79</v>
      </c>
      <c r="C5326" s="4" t="s">
        <v>86</v>
      </c>
      <c r="D5326" s="4" t="s">
        <v>10589</v>
      </c>
      <c r="E5326" s="4">
        <v>3514403</v>
      </c>
      <c r="F5326" s="4" t="s">
        <v>10590</v>
      </c>
      <c r="G5326" s="4" t="s">
        <v>243</v>
      </c>
      <c r="H5326" s="13"/>
    </row>
    <row r="5327" s="1" customFormat="1" spans="1:8">
      <c r="A5327" s="4" t="s">
        <v>205</v>
      </c>
      <c r="B5327" s="4" t="s">
        <v>79</v>
      </c>
      <c r="C5327" s="4" t="s">
        <v>86</v>
      </c>
      <c r="D5327" s="4" t="s">
        <v>10591</v>
      </c>
      <c r="E5327" s="4">
        <v>3515129</v>
      </c>
      <c r="F5327" s="4" t="s">
        <v>10592</v>
      </c>
      <c r="G5327" s="4" t="s">
        <v>243</v>
      </c>
      <c r="H5327" s="13"/>
    </row>
    <row r="5328" s="1" customFormat="1" spans="1:8">
      <c r="A5328" s="4" t="s">
        <v>205</v>
      </c>
      <c r="B5328" s="4" t="s">
        <v>79</v>
      </c>
      <c r="C5328" s="4" t="s">
        <v>86</v>
      </c>
      <c r="D5328" s="4" t="s">
        <v>2396</v>
      </c>
      <c r="E5328" s="4">
        <v>3515301</v>
      </c>
      <c r="F5328" s="4" t="s">
        <v>10593</v>
      </c>
      <c r="G5328" s="4" t="s">
        <v>243</v>
      </c>
      <c r="H5328" s="13"/>
    </row>
    <row r="5329" s="1" customFormat="1" spans="1:8">
      <c r="A5329" s="4" t="s">
        <v>205</v>
      </c>
      <c r="B5329" s="4" t="s">
        <v>79</v>
      </c>
      <c r="C5329" s="4" t="s">
        <v>86</v>
      </c>
      <c r="D5329" s="4" t="s">
        <v>10594</v>
      </c>
      <c r="E5329" s="4">
        <v>3515202</v>
      </c>
      <c r="F5329" s="4" t="s">
        <v>10595</v>
      </c>
      <c r="G5329" s="4" t="s">
        <v>243</v>
      </c>
      <c r="H5329" s="13"/>
    </row>
    <row r="5330" s="1" customFormat="1" spans="1:8">
      <c r="A5330" s="4" t="s">
        <v>205</v>
      </c>
      <c r="B5330" s="4" t="s">
        <v>79</v>
      </c>
      <c r="C5330" s="4" t="s">
        <v>86</v>
      </c>
      <c r="D5330" s="4" t="s">
        <v>10596</v>
      </c>
      <c r="E5330" s="4">
        <v>3515350</v>
      </c>
      <c r="F5330" s="4" t="s">
        <v>10597</v>
      </c>
      <c r="G5330" s="4" t="s">
        <v>243</v>
      </c>
      <c r="H5330" s="13"/>
    </row>
    <row r="5331" s="1" customFormat="1" spans="1:8">
      <c r="A5331" s="4" t="s">
        <v>205</v>
      </c>
      <c r="B5331" s="4" t="s">
        <v>79</v>
      </c>
      <c r="C5331" s="4" t="s">
        <v>86</v>
      </c>
      <c r="D5331" s="4" t="s">
        <v>10598</v>
      </c>
      <c r="E5331" s="4">
        <v>3515509</v>
      </c>
      <c r="F5331" s="4" t="s">
        <v>10599</v>
      </c>
      <c r="G5331" s="4" t="s">
        <v>243</v>
      </c>
      <c r="H5331" s="13"/>
    </row>
    <row r="5332" s="1" customFormat="1" spans="1:8">
      <c r="A5332" s="4" t="s">
        <v>205</v>
      </c>
      <c r="B5332" s="4" t="s">
        <v>79</v>
      </c>
      <c r="C5332" s="4" t="s">
        <v>86</v>
      </c>
      <c r="D5332" s="4" t="s">
        <v>10600</v>
      </c>
      <c r="E5332" s="4">
        <v>3515806</v>
      </c>
      <c r="F5332" s="4" t="s">
        <v>10601</v>
      </c>
      <c r="G5332" s="4" t="s">
        <v>243</v>
      </c>
      <c r="H5332" s="13"/>
    </row>
    <row r="5333" s="1" customFormat="1" spans="1:8">
      <c r="A5333" s="4" t="s">
        <v>205</v>
      </c>
      <c r="B5333" s="4" t="s">
        <v>79</v>
      </c>
      <c r="C5333" s="4" t="s">
        <v>86</v>
      </c>
      <c r="D5333" s="4" t="s">
        <v>10602</v>
      </c>
      <c r="E5333" s="4">
        <v>3515905</v>
      </c>
      <c r="F5333" s="4" t="s">
        <v>10603</v>
      </c>
      <c r="G5333" s="4" t="s">
        <v>243</v>
      </c>
      <c r="H5333" s="13"/>
    </row>
    <row r="5334" s="1" customFormat="1" spans="1:8">
      <c r="A5334" s="4" t="s">
        <v>205</v>
      </c>
      <c r="B5334" s="4" t="s">
        <v>79</v>
      </c>
      <c r="C5334" s="4" t="s">
        <v>86</v>
      </c>
      <c r="D5334" s="4" t="s">
        <v>10604</v>
      </c>
      <c r="E5334" s="4">
        <v>3516002</v>
      </c>
      <c r="F5334" s="4" t="s">
        <v>10605</v>
      </c>
      <c r="G5334" s="4" t="s">
        <v>243</v>
      </c>
      <c r="H5334" s="13"/>
    </row>
    <row r="5335" s="1" customFormat="1" spans="1:8">
      <c r="A5335" s="4" t="s">
        <v>205</v>
      </c>
      <c r="B5335" s="4" t="s">
        <v>79</v>
      </c>
      <c r="C5335" s="4" t="s">
        <v>86</v>
      </c>
      <c r="D5335" s="4" t="s">
        <v>10606</v>
      </c>
      <c r="E5335" s="4">
        <v>3516507</v>
      </c>
      <c r="F5335" s="4" t="s">
        <v>10607</v>
      </c>
      <c r="G5335" s="4" t="s">
        <v>243</v>
      </c>
      <c r="H5335" s="13"/>
    </row>
    <row r="5336" s="1" customFormat="1" spans="1:8">
      <c r="A5336" s="4" t="s">
        <v>205</v>
      </c>
      <c r="B5336" s="4" t="s">
        <v>79</v>
      </c>
      <c r="C5336" s="4" t="s">
        <v>86</v>
      </c>
      <c r="D5336" s="4" t="s">
        <v>10608</v>
      </c>
      <c r="E5336" s="4">
        <v>3516804</v>
      </c>
      <c r="F5336" s="4" t="s">
        <v>10609</v>
      </c>
      <c r="G5336" s="4" t="s">
        <v>243</v>
      </c>
      <c r="H5336" s="13"/>
    </row>
    <row r="5337" s="1" customFormat="1" spans="1:8">
      <c r="A5337" s="4" t="s">
        <v>205</v>
      </c>
      <c r="B5337" s="4" t="s">
        <v>79</v>
      </c>
      <c r="C5337" s="4" t="s">
        <v>86</v>
      </c>
      <c r="D5337" s="4" t="s">
        <v>10610</v>
      </c>
      <c r="E5337" s="4">
        <v>3516903</v>
      </c>
      <c r="F5337" s="4" t="s">
        <v>10611</v>
      </c>
      <c r="G5337" s="4" t="s">
        <v>243</v>
      </c>
      <c r="H5337" s="13"/>
    </row>
    <row r="5338" s="1" customFormat="1" spans="1:8">
      <c r="A5338" s="4" t="s">
        <v>205</v>
      </c>
      <c r="B5338" s="4" t="s">
        <v>79</v>
      </c>
      <c r="C5338" s="4" t="s">
        <v>86</v>
      </c>
      <c r="D5338" s="4" t="s">
        <v>10612</v>
      </c>
      <c r="E5338" s="4">
        <v>3518008</v>
      </c>
      <c r="F5338" s="4" t="s">
        <v>10613</v>
      </c>
      <c r="G5338" s="4" t="s">
        <v>243</v>
      </c>
      <c r="H5338" s="13"/>
    </row>
    <row r="5339" s="1" customFormat="1" spans="1:8">
      <c r="A5339" s="4" t="s">
        <v>205</v>
      </c>
      <c r="B5339" s="4" t="s">
        <v>79</v>
      </c>
      <c r="C5339" s="4" t="s">
        <v>86</v>
      </c>
      <c r="D5339" s="4" t="s">
        <v>10614</v>
      </c>
      <c r="E5339" s="4">
        <v>3518206</v>
      </c>
      <c r="F5339" s="4" t="s">
        <v>10615</v>
      </c>
      <c r="G5339" s="4" t="s">
        <v>243</v>
      </c>
      <c r="H5339" s="13"/>
    </row>
    <row r="5340" s="1" customFormat="1" spans="1:8">
      <c r="A5340" s="4" t="s">
        <v>205</v>
      </c>
      <c r="B5340" s="4" t="s">
        <v>79</v>
      </c>
      <c r="C5340" s="4" t="s">
        <v>86</v>
      </c>
      <c r="D5340" s="4" t="s">
        <v>10616</v>
      </c>
      <c r="E5340" s="4">
        <v>3517802</v>
      </c>
      <c r="F5340" s="4" t="s">
        <v>10617</v>
      </c>
      <c r="G5340" s="4" t="s">
        <v>243</v>
      </c>
      <c r="H5340" s="13"/>
    </row>
    <row r="5341" s="1" customFormat="1" spans="1:8">
      <c r="A5341" s="4" t="s">
        <v>205</v>
      </c>
      <c r="B5341" s="4" t="s">
        <v>79</v>
      </c>
      <c r="C5341" s="4" t="s">
        <v>86</v>
      </c>
      <c r="D5341" s="4" t="s">
        <v>10618</v>
      </c>
      <c r="E5341" s="4">
        <v>3518909</v>
      </c>
      <c r="F5341" s="4" t="s">
        <v>10619</v>
      </c>
      <c r="G5341" s="4" t="s">
        <v>243</v>
      </c>
      <c r="H5341" s="13"/>
    </row>
    <row r="5342" s="1" customFormat="1" spans="1:8">
      <c r="A5342" s="4" t="s">
        <v>205</v>
      </c>
      <c r="B5342" s="4" t="s">
        <v>79</v>
      </c>
      <c r="C5342" s="4" t="s">
        <v>86</v>
      </c>
      <c r="D5342" s="4" t="s">
        <v>10620</v>
      </c>
      <c r="E5342" s="4">
        <v>3519006</v>
      </c>
      <c r="F5342" s="4" t="s">
        <v>10621</v>
      </c>
      <c r="G5342" s="4" t="s">
        <v>243</v>
      </c>
      <c r="H5342" s="13"/>
    </row>
    <row r="5343" s="1" customFormat="1" spans="1:8">
      <c r="A5343" s="4" t="s">
        <v>205</v>
      </c>
      <c r="B5343" s="4" t="s">
        <v>79</v>
      </c>
      <c r="C5343" s="4" t="s">
        <v>86</v>
      </c>
      <c r="D5343" s="4" t="s">
        <v>10622</v>
      </c>
      <c r="E5343" s="4">
        <v>3519204</v>
      </c>
      <c r="F5343" s="4" t="s">
        <v>10623</v>
      </c>
      <c r="G5343" s="4" t="s">
        <v>243</v>
      </c>
      <c r="H5343" s="13"/>
    </row>
    <row r="5344" s="1" customFormat="1" spans="1:8">
      <c r="A5344" s="4" t="s">
        <v>205</v>
      </c>
      <c r="B5344" s="4" t="s">
        <v>79</v>
      </c>
      <c r="C5344" s="4" t="s">
        <v>86</v>
      </c>
      <c r="D5344" s="4" t="s">
        <v>10624</v>
      </c>
      <c r="E5344" s="4">
        <v>3519907</v>
      </c>
      <c r="F5344" s="4" t="s">
        <v>10625</v>
      </c>
      <c r="G5344" s="4" t="s">
        <v>243</v>
      </c>
      <c r="H5344" s="13"/>
    </row>
    <row r="5345" s="1" customFormat="1" spans="1:8">
      <c r="A5345" s="4" t="s">
        <v>205</v>
      </c>
      <c r="B5345" s="4" t="s">
        <v>79</v>
      </c>
      <c r="C5345" s="4" t="s">
        <v>86</v>
      </c>
      <c r="D5345" s="4" t="s">
        <v>10626</v>
      </c>
      <c r="E5345" s="4">
        <v>3520442</v>
      </c>
      <c r="F5345" s="4" t="s">
        <v>10627</v>
      </c>
      <c r="G5345" s="4" t="s">
        <v>243</v>
      </c>
      <c r="H5345" s="13"/>
    </row>
    <row r="5346" s="1" customFormat="1" spans="1:8">
      <c r="A5346" s="4" t="s">
        <v>205</v>
      </c>
      <c r="B5346" s="4" t="s">
        <v>79</v>
      </c>
      <c r="C5346" s="4" t="s">
        <v>86</v>
      </c>
      <c r="D5346" s="4" t="s">
        <v>10628</v>
      </c>
      <c r="E5346" s="4">
        <v>3520608</v>
      </c>
      <c r="F5346" s="4" t="s">
        <v>10629</v>
      </c>
      <c r="G5346" s="4" t="s">
        <v>243</v>
      </c>
      <c r="H5346" s="13"/>
    </row>
    <row r="5347" s="1" customFormat="1" spans="1:8">
      <c r="A5347" s="4" t="s">
        <v>205</v>
      </c>
      <c r="B5347" s="4" t="s">
        <v>79</v>
      </c>
      <c r="C5347" s="4" t="s">
        <v>86</v>
      </c>
      <c r="D5347" s="4" t="s">
        <v>10630</v>
      </c>
      <c r="E5347" s="4">
        <v>3520707</v>
      </c>
      <c r="F5347" s="4" t="s">
        <v>10631</v>
      </c>
      <c r="G5347" s="4" t="s">
        <v>243</v>
      </c>
      <c r="H5347" s="13"/>
    </row>
    <row r="5348" s="1" customFormat="1" spans="1:8">
      <c r="A5348" s="4" t="s">
        <v>205</v>
      </c>
      <c r="B5348" s="4" t="s">
        <v>79</v>
      </c>
      <c r="C5348" s="4" t="s">
        <v>86</v>
      </c>
      <c r="D5348" s="4" t="s">
        <v>10632</v>
      </c>
      <c r="E5348" s="4">
        <v>3520806</v>
      </c>
      <c r="F5348" s="4" t="s">
        <v>10633</v>
      </c>
      <c r="G5348" s="4" t="s">
        <v>243</v>
      </c>
      <c r="H5348" s="13"/>
    </row>
    <row r="5349" s="1" customFormat="1" spans="1:8">
      <c r="A5349" s="4" t="s">
        <v>205</v>
      </c>
      <c r="B5349" s="4" t="s">
        <v>79</v>
      </c>
      <c r="C5349" s="4" t="s">
        <v>86</v>
      </c>
      <c r="D5349" s="4" t="s">
        <v>10634</v>
      </c>
      <c r="E5349" s="4">
        <v>3521606</v>
      </c>
      <c r="F5349" s="4" t="s">
        <v>10635</v>
      </c>
      <c r="G5349" s="4" t="s">
        <v>243</v>
      </c>
      <c r="H5349" s="13"/>
    </row>
    <row r="5350" s="1" customFormat="1" spans="1:8">
      <c r="A5350" s="4" t="s">
        <v>205</v>
      </c>
      <c r="B5350" s="4" t="s">
        <v>79</v>
      </c>
      <c r="C5350" s="4" t="s">
        <v>86</v>
      </c>
      <c r="D5350" s="4" t="s">
        <v>10636</v>
      </c>
      <c r="E5350" s="4">
        <v>3523008</v>
      </c>
      <c r="F5350" s="4" t="s">
        <v>10637</v>
      </c>
      <c r="G5350" s="4" t="s">
        <v>243</v>
      </c>
      <c r="H5350" s="13"/>
    </row>
    <row r="5351" s="1" customFormat="1" spans="1:8">
      <c r="A5351" s="4" t="s">
        <v>205</v>
      </c>
      <c r="B5351" s="4" t="s">
        <v>79</v>
      </c>
      <c r="C5351" s="4" t="s">
        <v>86</v>
      </c>
      <c r="D5351" s="4" t="s">
        <v>10638</v>
      </c>
      <c r="E5351" s="4">
        <v>3524808</v>
      </c>
      <c r="F5351" s="4" t="s">
        <v>10639</v>
      </c>
      <c r="G5351" s="4" t="s">
        <v>243</v>
      </c>
      <c r="H5351" s="13"/>
    </row>
    <row r="5352" s="1" customFormat="1" spans="1:8">
      <c r="A5352" s="4" t="s">
        <v>205</v>
      </c>
      <c r="B5352" s="4" t="s">
        <v>79</v>
      </c>
      <c r="C5352" s="4" t="s">
        <v>86</v>
      </c>
      <c r="D5352" s="4" t="s">
        <v>10640</v>
      </c>
      <c r="E5352" s="4">
        <v>3526001</v>
      </c>
      <c r="F5352" s="4" t="s">
        <v>10641</v>
      </c>
      <c r="G5352" s="4" t="s">
        <v>243</v>
      </c>
      <c r="H5352" s="13"/>
    </row>
    <row r="5353" s="1" customFormat="1" spans="1:8">
      <c r="A5353" s="4" t="s">
        <v>205</v>
      </c>
      <c r="B5353" s="4" t="s">
        <v>79</v>
      </c>
      <c r="C5353" s="4" t="s">
        <v>86</v>
      </c>
      <c r="D5353" s="4" t="s">
        <v>10642</v>
      </c>
      <c r="E5353" s="4">
        <v>3526506</v>
      </c>
      <c r="F5353" s="4" t="s">
        <v>10643</v>
      </c>
      <c r="G5353" s="4" t="s">
        <v>243</v>
      </c>
      <c r="H5353" s="13"/>
    </row>
    <row r="5354" s="1" customFormat="1" spans="1:8">
      <c r="A5354" s="4" t="s">
        <v>205</v>
      </c>
      <c r="B5354" s="4" t="s">
        <v>79</v>
      </c>
      <c r="C5354" s="4" t="s">
        <v>86</v>
      </c>
      <c r="D5354" s="4" t="s">
        <v>10644</v>
      </c>
      <c r="E5354" s="4">
        <v>3527256</v>
      </c>
      <c r="F5354" s="4" t="s">
        <v>10645</v>
      </c>
      <c r="G5354" s="4" t="s">
        <v>243</v>
      </c>
      <c r="H5354" s="13"/>
    </row>
    <row r="5355" s="1" customFormat="1" spans="1:8">
      <c r="A5355" s="4" t="s">
        <v>205</v>
      </c>
      <c r="B5355" s="4" t="s">
        <v>79</v>
      </c>
      <c r="C5355" s="4" t="s">
        <v>86</v>
      </c>
      <c r="D5355" s="4" t="s">
        <v>10646</v>
      </c>
      <c r="E5355" s="4">
        <v>3527405</v>
      </c>
      <c r="F5355" s="4" t="s">
        <v>10647</v>
      </c>
      <c r="G5355" s="4" t="s">
        <v>243</v>
      </c>
      <c r="H5355" s="13"/>
    </row>
    <row r="5356" s="1" customFormat="1" spans="1:8">
      <c r="A5356" s="4" t="s">
        <v>205</v>
      </c>
      <c r="B5356" s="4" t="s">
        <v>79</v>
      </c>
      <c r="C5356" s="4" t="s">
        <v>86</v>
      </c>
      <c r="D5356" s="4" t="s">
        <v>10648</v>
      </c>
      <c r="E5356" s="4">
        <v>3527702</v>
      </c>
      <c r="F5356" s="4" t="s">
        <v>10649</v>
      </c>
      <c r="G5356" s="4" t="s">
        <v>243</v>
      </c>
      <c r="H5356" s="13"/>
    </row>
    <row r="5357" s="1" customFormat="1" spans="1:8">
      <c r="A5357" s="4" t="s">
        <v>205</v>
      </c>
      <c r="B5357" s="4" t="s">
        <v>79</v>
      </c>
      <c r="C5357" s="4" t="s">
        <v>86</v>
      </c>
      <c r="D5357" s="4" t="s">
        <v>10650</v>
      </c>
      <c r="E5357" s="4">
        <v>3528106</v>
      </c>
      <c r="F5357" s="4" t="s">
        <v>10651</v>
      </c>
      <c r="G5357" s="4" t="s">
        <v>243</v>
      </c>
      <c r="H5357" s="13"/>
    </row>
    <row r="5358" s="1" customFormat="1" spans="1:8">
      <c r="A5358" s="4" t="s">
        <v>205</v>
      </c>
      <c r="B5358" s="4" t="s">
        <v>79</v>
      </c>
      <c r="C5358" s="4" t="s">
        <v>86</v>
      </c>
      <c r="D5358" s="4" t="s">
        <v>10652</v>
      </c>
      <c r="E5358" s="4">
        <v>3528205</v>
      </c>
      <c r="F5358" s="4" t="s">
        <v>10653</v>
      </c>
      <c r="G5358" s="4" t="s">
        <v>243</v>
      </c>
      <c r="H5358" s="13"/>
    </row>
    <row r="5359" s="1" customFormat="1" spans="1:8">
      <c r="A5359" s="4" t="s">
        <v>205</v>
      </c>
      <c r="B5359" s="4" t="s">
        <v>79</v>
      </c>
      <c r="C5359" s="4" t="s">
        <v>86</v>
      </c>
      <c r="D5359" s="4" t="s">
        <v>10654</v>
      </c>
      <c r="E5359" s="4">
        <v>3528304</v>
      </c>
      <c r="F5359" s="4" t="s">
        <v>10655</v>
      </c>
      <c r="G5359" s="4" t="s">
        <v>243</v>
      </c>
      <c r="H5359" s="13"/>
    </row>
    <row r="5360" s="1" customFormat="1" spans="1:8">
      <c r="A5360" s="4" t="s">
        <v>205</v>
      </c>
      <c r="B5360" s="4" t="s">
        <v>79</v>
      </c>
      <c r="C5360" s="4" t="s">
        <v>86</v>
      </c>
      <c r="D5360" s="4" t="s">
        <v>10656</v>
      </c>
      <c r="E5360" s="4">
        <v>3528700</v>
      </c>
      <c r="F5360" s="4" t="s">
        <v>10657</v>
      </c>
      <c r="G5360" s="4" t="s">
        <v>243</v>
      </c>
      <c r="H5360" s="13"/>
    </row>
    <row r="5361" s="1" customFormat="1" spans="1:8">
      <c r="A5361" s="4" t="s">
        <v>205</v>
      </c>
      <c r="B5361" s="4" t="s">
        <v>79</v>
      </c>
      <c r="C5361" s="4" t="s">
        <v>86</v>
      </c>
      <c r="D5361" s="4" t="s">
        <v>10658</v>
      </c>
      <c r="E5361" s="4">
        <v>3529104</v>
      </c>
      <c r="F5361" s="4" t="s">
        <v>10659</v>
      </c>
      <c r="G5361" s="4" t="s">
        <v>243</v>
      </c>
      <c r="H5361" s="13"/>
    </row>
    <row r="5362" s="1" customFormat="1" spans="1:8">
      <c r="A5362" s="4" t="s">
        <v>205</v>
      </c>
      <c r="B5362" s="4" t="s">
        <v>79</v>
      </c>
      <c r="C5362" s="4" t="s">
        <v>86</v>
      </c>
      <c r="D5362" s="4" t="s">
        <v>10660</v>
      </c>
      <c r="E5362" s="4">
        <v>3528908</v>
      </c>
      <c r="F5362" s="4" t="s">
        <v>10661</v>
      </c>
      <c r="G5362" s="4" t="s">
        <v>243</v>
      </c>
      <c r="H5362" s="13"/>
    </row>
    <row r="5363" s="1" customFormat="1" spans="1:8">
      <c r="A5363" s="4" t="s">
        <v>205</v>
      </c>
      <c r="B5363" s="4" t="s">
        <v>79</v>
      </c>
      <c r="C5363" s="4" t="s">
        <v>86</v>
      </c>
      <c r="D5363" s="4" t="s">
        <v>10662</v>
      </c>
      <c r="E5363" s="4">
        <v>3529203</v>
      </c>
      <c r="F5363" s="4" t="s">
        <v>10663</v>
      </c>
      <c r="G5363" s="4" t="s">
        <v>243</v>
      </c>
      <c r="H5363" s="13"/>
    </row>
    <row r="5364" s="1" customFormat="1" spans="1:8">
      <c r="A5364" s="4" t="s">
        <v>205</v>
      </c>
      <c r="B5364" s="4" t="s">
        <v>79</v>
      </c>
      <c r="C5364" s="4" t="s">
        <v>86</v>
      </c>
      <c r="D5364" s="4" t="s">
        <v>10664</v>
      </c>
      <c r="E5364" s="4">
        <v>3529609</v>
      </c>
      <c r="F5364" s="4" t="s">
        <v>10665</v>
      </c>
      <c r="G5364" s="4" t="s">
        <v>243</v>
      </c>
      <c r="H5364" s="13"/>
    </row>
    <row r="5365" s="1" customFormat="1" spans="1:8">
      <c r="A5365" s="4" t="s">
        <v>205</v>
      </c>
      <c r="B5365" s="4" t="s">
        <v>79</v>
      </c>
      <c r="C5365" s="4" t="s">
        <v>86</v>
      </c>
      <c r="D5365" s="4" t="s">
        <v>10666</v>
      </c>
      <c r="E5365" s="4">
        <v>3529658</v>
      </c>
      <c r="F5365" s="4" t="s">
        <v>10667</v>
      </c>
      <c r="G5365" s="4" t="s">
        <v>243</v>
      </c>
      <c r="H5365" s="13"/>
    </row>
    <row r="5366" s="1" customFormat="1" spans="1:8">
      <c r="A5366" s="4" t="s">
        <v>205</v>
      </c>
      <c r="B5366" s="4" t="s">
        <v>79</v>
      </c>
      <c r="C5366" s="4" t="s">
        <v>86</v>
      </c>
      <c r="D5366" s="4" t="s">
        <v>10668</v>
      </c>
      <c r="E5366" s="4">
        <v>3530003</v>
      </c>
      <c r="F5366" s="4" t="s">
        <v>10669</v>
      </c>
      <c r="G5366" s="4" t="s">
        <v>243</v>
      </c>
      <c r="H5366" s="13"/>
    </row>
    <row r="5367" s="1" customFormat="1" spans="1:8">
      <c r="A5367" s="4" t="s">
        <v>205</v>
      </c>
      <c r="B5367" s="4" t="s">
        <v>79</v>
      </c>
      <c r="C5367" s="4" t="s">
        <v>86</v>
      </c>
      <c r="D5367" s="4" t="s">
        <v>10670</v>
      </c>
      <c r="E5367" s="4">
        <v>3530102</v>
      </c>
      <c r="F5367" s="4" t="s">
        <v>10671</v>
      </c>
      <c r="G5367" s="4" t="s">
        <v>243</v>
      </c>
      <c r="H5367" s="13"/>
    </row>
    <row r="5368" s="1" customFormat="1" spans="1:8">
      <c r="A5368" s="4" t="s">
        <v>205</v>
      </c>
      <c r="B5368" s="4" t="s">
        <v>79</v>
      </c>
      <c r="C5368" s="4" t="s">
        <v>86</v>
      </c>
      <c r="D5368" s="4" t="s">
        <v>10672</v>
      </c>
      <c r="E5368" s="4">
        <v>3530201</v>
      </c>
      <c r="F5368" s="4" t="s">
        <v>10673</v>
      </c>
      <c r="G5368" s="4" t="s">
        <v>243</v>
      </c>
      <c r="H5368" s="13"/>
    </row>
    <row r="5369" s="1" customFormat="1" spans="1:8">
      <c r="A5369" s="4" t="s">
        <v>205</v>
      </c>
      <c r="B5369" s="4" t="s">
        <v>79</v>
      </c>
      <c r="C5369" s="4" t="s">
        <v>86</v>
      </c>
      <c r="D5369" s="4" t="s">
        <v>9009</v>
      </c>
      <c r="E5369" s="4">
        <v>3531605</v>
      </c>
      <c r="F5369" s="4" t="s">
        <v>10674</v>
      </c>
      <c r="G5369" s="4" t="s">
        <v>243</v>
      </c>
      <c r="H5369" s="13"/>
    </row>
    <row r="5370" s="1" customFormat="1" spans="1:8">
      <c r="A5370" s="4" t="s">
        <v>205</v>
      </c>
      <c r="B5370" s="4" t="s">
        <v>79</v>
      </c>
      <c r="C5370" s="4" t="s">
        <v>86</v>
      </c>
      <c r="D5370" s="4" t="s">
        <v>10675</v>
      </c>
      <c r="E5370" s="4">
        <v>3531001</v>
      </c>
      <c r="F5370" s="4" t="s">
        <v>10676</v>
      </c>
      <c r="G5370" s="4" t="s">
        <v>243</v>
      </c>
      <c r="H5370" s="13"/>
    </row>
    <row r="5371" s="1" customFormat="1" spans="1:8">
      <c r="A5371" s="4" t="s">
        <v>205</v>
      </c>
      <c r="B5371" s="4" t="s">
        <v>79</v>
      </c>
      <c r="C5371" s="4" t="s">
        <v>86</v>
      </c>
      <c r="D5371" s="4" t="s">
        <v>10677</v>
      </c>
      <c r="E5371" s="4">
        <v>3532108</v>
      </c>
      <c r="F5371" s="4" t="s">
        <v>10678</v>
      </c>
      <c r="G5371" s="4" t="s">
        <v>243</v>
      </c>
      <c r="H5371" s="13"/>
    </row>
    <row r="5372" s="1" customFormat="1" spans="1:8">
      <c r="A5372" s="4" t="s">
        <v>205</v>
      </c>
      <c r="B5372" s="4" t="s">
        <v>79</v>
      </c>
      <c r="C5372" s="4" t="s">
        <v>86</v>
      </c>
      <c r="D5372" s="4" t="s">
        <v>10679</v>
      </c>
      <c r="E5372" s="4">
        <v>3532157</v>
      </c>
      <c r="F5372" s="4" t="s">
        <v>10680</v>
      </c>
      <c r="G5372" s="4" t="s">
        <v>243</v>
      </c>
      <c r="H5372" s="13"/>
    </row>
    <row r="5373" s="1" customFormat="1" spans="1:8">
      <c r="A5373" s="4" t="s">
        <v>205</v>
      </c>
      <c r="B5373" s="4" t="s">
        <v>79</v>
      </c>
      <c r="C5373" s="4" t="s">
        <v>86</v>
      </c>
      <c r="D5373" s="4" t="s">
        <v>10681</v>
      </c>
      <c r="E5373" s="4">
        <v>3532207</v>
      </c>
      <c r="F5373" s="4" t="s">
        <v>10682</v>
      </c>
      <c r="G5373" s="4" t="s">
        <v>243</v>
      </c>
      <c r="H5373" s="13"/>
    </row>
    <row r="5374" s="1" customFormat="1" spans="1:8">
      <c r="A5374" s="4" t="s">
        <v>205</v>
      </c>
      <c r="B5374" s="4" t="s">
        <v>79</v>
      </c>
      <c r="C5374" s="4" t="s">
        <v>86</v>
      </c>
      <c r="D5374" s="4" t="s">
        <v>10683</v>
      </c>
      <c r="E5374" s="4">
        <v>3532603</v>
      </c>
      <c r="F5374" s="4" t="s">
        <v>10684</v>
      </c>
      <c r="G5374" s="4" t="s">
        <v>243</v>
      </c>
      <c r="H5374" s="13"/>
    </row>
    <row r="5375" s="1" customFormat="1" spans="1:8">
      <c r="A5375" s="4" t="s">
        <v>205</v>
      </c>
      <c r="B5375" s="4" t="s">
        <v>79</v>
      </c>
      <c r="C5375" s="4" t="s">
        <v>86</v>
      </c>
      <c r="D5375" s="4" t="s">
        <v>10685</v>
      </c>
      <c r="E5375" s="4">
        <v>3532702</v>
      </c>
      <c r="F5375" s="4" t="s">
        <v>10686</v>
      </c>
      <c r="G5375" s="4" t="s">
        <v>243</v>
      </c>
      <c r="H5375" s="13"/>
    </row>
    <row r="5376" s="1" customFormat="1" spans="1:8">
      <c r="A5376" s="4" t="s">
        <v>205</v>
      </c>
      <c r="B5376" s="4" t="s">
        <v>79</v>
      </c>
      <c r="C5376" s="4" t="s">
        <v>86</v>
      </c>
      <c r="D5376" s="4" t="s">
        <v>10687</v>
      </c>
      <c r="E5376" s="4">
        <v>3532843</v>
      </c>
      <c r="F5376" s="4" t="s">
        <v>10688</v>
      </c>
      <c r="G5376" s="4" t="s">
        <v>243</v>
      </c>
      <c r="H5376" s="13"/>
    </row>
    <row r="5377" s="1" customFormat="1" spans="1:8">
      <c r="A5377" s="4" t="s">
        <v>205</v>
      </c>
      <c r="B5377" s="4" t="s">
        <v>79</v>
      </c>
      <c r="C5377" s="4" t="s">
        <v>86</v>
      </c>
      <c r="D5377" s="4" t="s">
        <v>10689</v>
      </c>
      <c r="E5377" s="4">
        <v>3532868</v>
      </c>
      <c r="F5377" s="4" t="s">
        <v>10690</v>
      </c>
      <c r="G5377" s="4" t="s">
        <v>243</v>
      </c>
      <c r="H5377" s="13"/>
    </row>
    <row r="5378" s="1" customFormat="1" spans="1:8">
      <c r="A5378" s="4" t="s">
        <v>205</v>
      </c>
      <c r="B5378" s="4" t="s">
        <v>79</v>
      </c>
      <c r="C5378" s="4" t="s">
        <v>86</v>
      </c>
      <c r="D5378" s="4" t="s">
        <v>10691</v>
      </c>
      <c r="E5378" s="4">
        <v>3533106</v>
      </c>
      <c r="F5378" s="4" t="s">
        <v>10692</v>
      </c>
      <c r="G5378" s="4" t="s">
        <v>243</v>
      </c>
      <c r="H5378" s="13"/>
    </row>
    <row r="5379" s="1" customFormat="1" spans="1:8">
      <c r="A5379" s="4" t="s">
        <v>205</v>
      </c>
      <c r="B5379" s="4" t="s">
        <v>79</v>
      </c>
      <c r="C5379" s="4" t="s">
        <v>86</v>
      </c>
      <c r="D5379" s="4" t="s">
        <v>10693</v>
      </c>
      <c r="E5379" s="4">
        <v>3533205</v>
      </c>
      <c r="F5379" s="4" t="s">
        <v>10694</v>
      </c>
      <c r="G5379" s="4" t="s">
        <v>243</v>
      </c>
      <c r="H5379" s="13"/>
    </row>
    <row r="5380" s="1" customFormat="1" spans="1:8">
      <c r="A5380" s="4" t="s">
        <v>205</v>
      </c>
      <c r="B5380" s="4" t="s">
        <v>79</v>
      </c>
      <c r="C5380" s="4" t="s">
        <v>86</v>
      </c>
      <c r="D5380" s="4" t="s">
        <v>10695</v>
      </c>
      <c r="E5380" s="4">
        <v>3533304</v>
      </c>
      <c r="F5380" s="4" t="s">
        <v>10696</v>
      </c>
      <c r="G5380" s="4" t="s">
        <v>243</v>
      </c>
      <c r="H5380" s="13"/>
    </row>
    <row r="5381" s="1" customFormat="1" spans="1:8">
      <c r="A5381" s="4" t="s">
        <v>205</v>
      </c>
      <c r="B5381" s="4" t="s">
        <v>79</v>
      </c>
      <c r="C5381" s="4" t="s">
        <v>86</v>
      </c>
      <c r="D5381" s="4" t="s">
        <v>10697</v>
      </c>
      <c r="E5381" s="4">
        <v>3534203</v>
      </c>
      <c r="F5381" s="4" t="s">
        <v>10698</v>
      </c>
      <c r="G5381" s="4" t="s">
        <v>243</v>
      </c>
      <c r="H5381" s="13"/>
    </row>
    <row r="5382" s="1" customFormat="1" spans="1:8">
      <c r="A5382" s="4" t="s">
        <v>205</v>
      </c>
      <c r="B5382" s="4" t="s">
        <v>79</v>
      </c>
      <c r="C5382" s="4" t="s">
        <v>86</v>
      </c>
      <c r="D5382" s="4" t="s">
        <v>10699</v>
      </c>
      <c r="E5382" s="4">
        <v>3534609</v>
      </c>
      <c r="F5382" s="4" t="s">
        <v>10700</v>
      </c>
      <c r="G5382" s="4" t="s">
        <v>243</v>
      </c>
      <c r="H5382" s="13"/>
    </row>
    <row r="5383" s="1" customFormat="1" spans="1:8">
      <c r="A5383" s="4" t="s">
        <v>205</v>
      </c>
      <c r="B5383" s="4" t="s">
        <v>79</v>
      </c>
      <c r="C5383" s="4" t="s">
        <v>86</v>
      </c>
      <c r="D5383" s="4" t="s">
        <v>9247</v>
      </c>
      <c r="E5383" s="4">
        <v>3534807</v>
      </c>
      <c r="F5383" s="4" t="s">
        <v>10701</v>
      </c>
      <c r="G5383" s="4" t="s">
        <v>243</v>
      </c>
      <c r="H5383" s="13"/>
    </row>
    <row r="5384" s="1" customFormat="1" spans="1:8">
      <c r="A5384" s="4" t="s">
        <v>205</v>
      </c>
      <c r="B5384" s="4" t="s">
        <v>79</v>
      </c>
      <c r="C5384" s="4" t="s">
        <v>86</v>
      </c>
      <c r="D5384" s="4" t="s">
        <v>10702</v>
      </c>
      <c r="E5384" s="4">
        <v>3534757</v>
      </c>
      <c r="F5384" s="4" t="s">
        <v>10703</v>
      </c>
      <c r="G5384" s="4" t="s">
        <v>243</v>
      </c>
      <c r="H5384" s="13"/>
    </row>
    <row r="5385" s="1" customFormat="1" spans="1:8">
      <c r="A5385" s="4" t="s">
        <v>205</v>
      </c>
      <c r="B5385" s="4" t="s">
        <v>79</v>
      </c>
      <c r="C5385" s="4" t="s">
        <v>86</v>
      </c>
      <c r="D5385" s="4" t="s">
        <v>10704</v>
      </c>
      <c r="E5385" s="4">
        <v>3534906</v>
      </c>
      <c r="F5385" s="4" t="s">
        <v>10705</v>
      </c>
      <c r="G5385" s="4" t="s">
        <v>243</v>
      </c>
      <c r="H5385" s="13"/>
    </row>
    <row r="5386" s="1" customFormat="1" spans="1:8">
      <c r="A5386" s="4" t="s">
        <v>205</v>
      </c>
      <c r="B5386" s="4" t="s">
        <v>79</v>
      </c>
      <c r="C5386" s="4" t="s">
        <v>86</v>
      </c>
      <c r="D5386" s="4" t="s">
        <v>435</v>
      </c>
      <c r="E5386" s="4">
        <v>3535002</v>
      </c>
      <c r="F5386" s="4" t="s">
        <v>10706</v>
      </c>
      <c r="G5386" s="4" t="s">
        <v>243</v>
      </c>
      <c r="H5386" s="13"/>
    </row>
    <row r="5387" s="1" customFormat="1" spans="1:8">
      <c r="A5387" s="4" t="s">
        <v>205</v>
      </c>
      <c r="B5387" s="4" t="s">
        <v>79</v>
      </c>
      <c r="C5387" s="4" t="s">
        <v>86</v>
      </c>
      <c r="D5387" s="4" t="s">
        <v>10707</v>
      </c>
      <c r="E5387" s="4">
        <v>3535200</v>
      </c>
      <c r="F5387" s="4" t="s">
        <v>10708</v>
      </c>
      <c r="G5387" s="4" t="s">
        <v>243</v>
      </c>
      <c r="H5387" s="13"/>
    </row>
    <row r="5388" s="1" customFormat="1" spans="1:8">
      <c r="A5388" s="4" t="s">
        <v>205</v>
      </c>
      <c r="B5388" s="4" t="s">
        <v>79</v>
      </c>
      <c r="C5388" s="4" t="s">
        <v>86</v>
      </c>
      <c r="D5388" s="4" t="s">
        <v>10709</v>
      </c>
      <c r="E5388" s="4">
        <v>3535408</v>
      </c>
      <c r="F5388" s="4" t="s">
        <v>10710</v>
      </c>
      <c r="G5388" s="4" t="s">
        <v>243</v>
      </c>
      <c r="H5388" s="13"/>
    </row>
    <row r="5389" s="1" customFormat="1" spans="1:8">
      <c r="A5389" s="4" t="s">
        <v>205</v>
      </c>
      <c r="B5389" s="4" t="s">
        <v>79</v>
      </c>
      <c r="C5389" s="4" t="s">
        <v>86</v>
      </c>
      <c r="D5389" s="4" t="s">
        <v>10711</v>
      </c>
      <c r="E5389" s="4">
        <v>3535903</v>
      </c>
      <c r="F5389" s="4" t="s">
        <v>10712</v>
      </c>
      <c r="G5389" s="4" t="s">
        <v>243</v>
      </c>
      <c r="H5389" s="13"/>
    </row>
    <row r="5390" s="1" customFormat="1" spans="1:8">
      <c r="A5390" s="4" t="s">
        <v>205</v>
      </c>
      <c r="B5390" s="4" t="s">
        <v>79</v>
      </c>
      <c r="C5390" s="4" t="s">
        <v>86</v>
      </c>
      <c r="D5390" s="4" t="s">
        <v>10713</v>
      </c>
      <c r="E5390" s="4">
        <v>3536000</v>
      </c>
      <c r="F5390" s="4" t="s">
        <v>10714</v>
      </c>
      <c r="G5390" s="4" t="s">
        <v>243</v>
      </c>
      <c r="H5390" s="13"/>
    </row>
    <row r="5391" s="1" customFormat="1" spans="1:8">
      <c r="A5391" s="4" t="s">
        <v>205</v>
      </c>
      <c r="B5391" s="4" t="s">
        <v>79</v>
      </c>
      <c r="C5391" s="4" t="s">
        <v>86</v>
      </c>
      <c r="D5391" s="4" t="s">
        <v>10715</v>
      </c>
      <c r="E5391" s="4">
        <v>3536257</v>
      </c>
      <c r="F5391" s="4" t="s">
        <v>10716</v>
      </c>
      <c r="G5391" s="4" t="s">
        <v>243</v>
      </c>
      <c r="H5391" s="13"/>
    </row>
    <row r="5392" s="1" customFormat="1" spans="1:8">
      <c r="A5392" s="4" t="s">
        <v>205</v>
      </c>
      <c r="B5392" s="4" t="s">
        <v>79</v>
      </c>
      <c r="C5392" s="4" t="s">
        <v>86</v>
      </c>
      <c r="D5392" s="4" t="s">
        <v>10717</v>
      </c>
      <c r="E5392" s="4">
        <v>3536406</v>
      </c>
      <c r="F5392" s="4" t="s">
        <v>10718</v>
      </c>
      <c r="G5392" s="4" t="s">
        <v>243</v>
      </c>
      <c r="H5392" s="13"/>
    </row>
    <row r="5393" s="1" customFormat="1" spans="1:8">
      <c r="A5393" s="4" t="s">
        <v>205</v>
      </c>
      <c r="B5393" s="4" t="s">
        <v>79</v>
      </c>
      <c r="C5393" s="4" t="s">
        <v>86</v>
      </c>
      <c r="D5393" s="4" t="s">
        <v>10719</v>
      </c>
      <c r="E5393" s="4">
        <v>3536604</v>
      </c>
      <c r="F5393" s="4" t="s">
        <v>10720</v>
      </c>
      <c r="G5393" s="4" t="s">
        <v>243</v>
      </c>
      <c r="H5393" s="13"/>
    </row>
    <row r="5394" s="1" customFormat="1" spans="1:8">
      <c r="A5394" s="4" t="s">
        <v>205</v>
      </c>
      <c r="B5394" s="4" t="s">
        <v>79</v>
      </c>
      <c r="C5394" s="4" t="s">
        <v>86</v>
      </c>
      <c r="D5394" s="4" t="s">
        <v>10721</v>
      </c>
      <c r="E5394" s="4">
        <v>3536901</v>
      </c>
      <c r="F5394" s="4" t="s">
        <v>10722</v>
      </c>
      <c r="G5394" s="4" t="s">
        <v>243</v>
      </c>
      <c r="H5394" s="13"/>
    </row>
    <row r="5395" s="1" customFormat="1" spans="1:8">
      <c r="A5395" s="4" t="s">
        <v>205</v>
      </c>
      <c r="B5395" s="4" t="s">
        <v>79</v>
      </c>
      <c r="C5395" s="4" t="s">
        <v>86</v>
      </c>
      <c r="D5395" s="4" t="s">
        <v>10723</v>
      </c>
      <c r="E5395" s="4">
        <v>3537404</v>
      </c>
      <c r="F5395" s="4" t="s">
        <v>10724</v>
      </c>
      <c r="G5395" s="4" t="s">
        <v>243</v>
      </c>
      <c r="H5395" s="13"/>
    </row>
    <row r="5396" s="1" customFormat="1" spans="1:8">
      <c r="A5396" s="4" t="s">
        <v>205</v>
      </c>
      <c r="B5396" s="4" t="s">
        <v>79</v>
      </c>
      <c r="C5396" s="4" t="s">
        <v>86</v>
      </c>
      <c r="D5396" s="4" t="s">
        <v>10725</v>
      </c>
      <c r="E5396" s="4">
        <v>3537701</v>
      </c>
      <c r="F5396" s="4" t="s">
        <v>10726</v>
      </c>
      <c r="G5396" s="4" t="s">
        <v>243</v>
      </c>
      <c r="H5396" s="13"/>
    </row>
    <row r="5397" s="1" customFormat="1" spans="1:8">
      <c r="A5397" s="4" t="s">
        <v>205</v>
      </c>
      <c r="B5397" s="4" t="s">
        <v>79</v>
      </c>
      <c r="C5397" s="4" t="s">
        <v>86</v>
      </c>
      <c r="D5397" s="4" t="s">
        <v>10727</v>
      </c>
      <c r="E5397" s="4">
        <v>3538303</v>
      </c>
      <c r="F5397" s="4" t="s">
        <v>10728</v>
      </c>
      <c r="G5397" s="4" t="s">
        <v>243</v>
      </c>
      <c r="H5397" s="13"/>
    </row>
    <row r="5398" s="1" customFormat="1" spans="1:8">
      <c r="A5398" s="4" t="s">
        <v>205</v>
      </c>
      <c r="B5398" s="4" t="s">
        <v>79</v>
      </c>
      <c r="C5398" s="4" t="s">
        <v>86</v>
      </c>
      <c r="D5398" s="4" t="s">
        <v>10729</v>
      </c>
      <c r="E5398" s="4">
        <v>3539202</v>
      </c>
      <c r="F5398" s="4" t="s">
        <v>10730</v>
      </c>
      <c r="G5398" s="4" t="s">
        <v>243</v>
      </c>
      <c r="H5398" s="13"/>
    </row>
    <row r="5399" s="1" customFormat="1" spans="1:8">
      <c r="A5399" s="4" t="s">
        <v>205</v>
      </c>
      <c r="B5399" s="4" t="s">
        <v>79</v>
      </c>
      <c r="C5399" s="4" t="s">
        <v>86</v>
      </c>
      <c r="D5399" s="4" t="s">
        <v>1201</v>
      </c>
      <c r="E5399" s="4">
        <v>3539608</v>
      </c>
      <c r="F5399" s="4" t="s">
        <v>10731</v>
      </c>
      <c r="G5399" s="4" t="s">
        <v>243</v>
      </c>
      <c r="H5399" s="13"/>
    </row>
    <row r="5400" s="1" customFormat="1" spans="1:8">
      <c r="A5400" s="4" t="s">
        <v>205</v>
      </c>
      <c r="B5400" s="4" t="s">
        <v>79</v>
      </c>
      <c r="C5400" s="4" t="s">
        <v>86</v>
      </c>
      <c r="D5400" s="4" t="s">
        <v>10732</v>
      </c>
      <c r="E5400" s="4">
        <v>3540259</v>
      </c>
      <c r="F5400" s="4" t="s">
        <v>10733</v>
      </c>
      <c r="G5400" s="4" t="s">
        <v>243</v>
      </c>
      <c r="H5400" s="13"/>
    </row>
    <row r="5401" s="1" customFormat="1" spans="1:8">
      <c r="A5401" s="4" t="s">
        <v>205</v>
      </c>
      <c r="B5401" s="4" t="s">
        <v>79</v>
      </c>
      <c r="C5401" s="4" t="s">
        <v>86</v>
      </c>
      <c r="D5401" s="4" t="s">
        <v>10734</v>
      </c>
      <c r="E5401" s="4">
        <v>3540309</v>
      </c>
      <c r="F5401" s="4" t="s">
        <v>10735</v>
      </c>
      <c r="G5401" s="4" t="s">
        <v>243</v>
      </c>
      <c r="H5401" s="13"/>
    </row>
    <row r="5402" s="1" customFormat="1" spans="1:8">
      <c r="A5402" s="4" t="s">
        <v>205</v>
      </c>
      <c r="B5402" s="4" t="s">
        <v>79</v>
      </c>
      <c r="C5402" s="4" t="s">
        <v>86</v>
      </c>
      <c r="D5402" s="4" t="s">
        <v>10736</v>
      </c>
      <c r="E5402" s="4">
        <v>3540408</v>
      </c>
      <c r="F5402" s="4" t="s">
        <v>10737</v>
      </c>
      <c r="G5402" s="4" t="s">
        <v>243</v>
      </c>
      <c r="H5402" s="13"/>
    </row>
    <row r="5403" s="1" customFormat="1" spans="1:8">
      <c r="A5403" s="4" t="s">
        <v>205</v>
      </c>
      <c r="B5403" s="4" t="s">
        <v>79</v>
      </c>
      <c r="C5403" s="4" t="s">
        <v>86</v>
      </c>
      <c r="D5403" s="4" t="s">
        <v>10738</v>
      </c>
      <c r="E5403" s="4">
        <v>3540853</v>
      </c>
      <c r="F5403" s="4" t="s">
        <v>10739</v>
      </c>
      <c r="G5403" s="4" t="s">
        <v>243</v>
      </c>
      <c r="H5403" s="13"/>
    </row>
    <row r="5404" s="1" customFormat="1" spans="1:8">
      <c r="A5404" s="4" t="s">
        <v>205</v>
      </c>
      <c r="B5404" s="4" t="s">
        <v>79</v>
      </c>
      <c r="C5404" s="4" t="s">
        <v>86</v>
      </c>
      <c r="D5404" s="4" t="s">
        <v>3404</v>
      </c>
      <c r="E5404" s="4">
        <v>3541208</v>
      </c>
      <c r="F5404" s="4" t="s">
        <v>10740</v>
      </c>
      <c r="G5404" s="4" t="s">
        <v>243</v>
      </c>
      <c r="H5404" s="13"/>
    </row>
    <row r="5405" s="1" customFormat="1" spans="1:8">
      <c r="A5405" s="4" t="s">
        <v>205</v>
      </c>
      <c r="B5405" s="4" t="s">
        <v>79</v>
      </c>
      <c r="C5405" s="4" t="s">
        <v>86</v>
      </c>
      <c r="D5405" s="4" t="s">
        <v>10741</v>
      </c>
      <c r="E5405" s="4">
        <v>3541307</v>
      </c>
      <c r="F5405" s="4" t="s">
        <v>10742</v>
      </c>
      <c r="G5405" s="4" t="s">
        <v>243</v>
      </c>
      <c r="H5405" s="13"/>
    </row>
    <row r="5406" s="1" customFormat="1" spans="1:8">
      <c r="A5406" s="4" t="s">
        <v>205</v>
      </c>
      <c r="B5406" s="4" t="s">
        <v>79</v>
      </c>
      <c r="C5406" s="4" t="s">
        <v>86</v>
      </c>
      <c r="D5406" s="4" t="s">
        <v>10743</v>
      </c>
      <c r="E5406" s="4">
        <v>3541406</v>
      </c>
      <c r="F5406" s="4" t="s">
        <v>10744</v>
      </c>
      <c r="G5406" s="4" t="s">
        <v>243</v>
      </c>
      <c r="H5406" s="13"/>
    </row>
    <row r="5407" s="1" customFormat="1" spans="1:8">
      <c r="A5407" s="4" t="s">
        <v>205</v>
      </c>
      <c r="B5407" s="4" t="s">
        <v>79</v>
      </c>
      <c r="C5407" s="4" t="s">
        <v>86</v>
      </c>
      <c r="D5407" s="4" t="s">
        <v>10745</v>
      </c>
      <c r="E5407" s="4">
        <v>3541505</v>
      </c>
      <c r="F5407" s="4" t="s">
        <v>10746</v>
      </c>
      <c r="G5407" s="4" t="s">
        <v>243</v>
      </c>
      <c r="H5407" s="13"/>
    </row>
    <row r="5408" s="1" customFormat="1" spans="1:8">
      <c r="A5408" s="4" t="s">
        <v>205</v>
      </c>
      <c r="B5408" s="4" t="s">
        <v>79</v>
      </c>
      <c r="C5408" s="4" t="s">
        <v>86</v>
      </c>
      <c r="D5408" s="4" t="s">
        <v>10747</v>
      </c>
      <c r="E5408" s="4">
        <v>3542206</v>
      </c>
      <c r="F5408" s="4" t="s">
        <v>10748</v>
      </c>
      <c r="G5408" s="4" t="s">
        <v>243</v>
      </c>
      <c r="H5408" s="13"/>
    </row>
    <row r="5409" s="1" customFormat="1" spans="1:8">
      <c r="A5409" s="4" t="s">
        <v>205</v>
      </c>
      <c r="B5409" s="4" t="s">
        <v>79</v>
      </c>
      <c r="C5409" s="4" t="s">
        <v>86</v>
      </c>
      <c r="D5409" s="4" t="s">
        <v>10749</v>
      </c>
      <c r="E5409" s="4">
        <v>3542404</v>
      </c>
      <c r="F5409" s="4" t="s">
        <v>10750</v>
      </c>
      <c r="G5409" s="4" t="s">
        <v>243</v>
      </c>
      <c r="H5409" s="13"/>
    </row>
    <row r="5410" s="1" customFormat="1" spans="1:8">
      <c r="A5410" s="4" t="s">
        <v>205</v>
      </c>
      <c r="B5410" s="4" t="s">
        <v>79</v>
      </c>
      <c r="C5410" s="4" t="s">
        <v>86</v>
      </c>
      <c r="D5410" s="4" t="s">
        <v>10751</v>
      </c>
      <c r="E5410" s="4">
        <v>3543808</v>
      </c>
      <c r="F5410" s="4" t="s">
        <v>10752</v>
      </c>
      <c r="G5410" s="4" t="s">
        <v>243</v>
      </c>
      <c r="H5410" s="13"/>
    </row>
    <row r="5411" s="1" customFormat="1" spans="1:8">
      <c r="A5411" s="4" t="s">
        <v>205</v>
      </c>
      <c r="B5411" s="4" t="s">
        <v>79</v>
      </c>
      <c r="C5411" s="4" t="s">
        <v>86</v>
      </c>
      <c r="D5411" s="4" t="s">
        <v>10753</v>
      </c>
      <c r="E5411" s="4">
        <v>3544202</v>
      </c>
      <c r="F5411" s="4" t="s">
        <v>10754</v>
      </c>
      <c r="G5411" s="4" t="s">
        <v>243</v>
      </c>
      <c r="H5411" s="13"/>
    </row>
    <row r="5412" s="1" customFormat="1" spans="1:8">
      <c r="A5412" s="4" t="s">
        <v>205</v>
      </c>
      <c r="B5412" s="4" t="s">
        <v>79</v>
      </c>
      <c r="C5412" s="4" t="s">
        <v>86</v>
      </c>
      <c r="D5412" s="4" t="s">
        <v>10755</v>
      </c>
      <c r="E5412" s="4">
        <v>3544251</v>
      </c>
      <c r="F5412" s="4" t="s">
        <v>10756</v>
      </c>
      <c r="G5412" s="4" t="s">
        <v>243</v>
      </c>
      <c r="H5412" s="13"/>
    </row>
    <row r="5413" s="1" customFormat="1" spans="1:8">
      <c r="A5413" s="4" t="s">
        <v>205</v>
      </c>
      <c r="B5413" s="4" t="s">
        <v>79</v>
      </c>
      <c r="C5413" s="4" t="s">
        <v>86</v>
      </c>
      <c r="D5413" s="4" t="s">
        <v>10757</v>
      </c>
      <c r="E5413" s="4">
        <v>3544509</v>
      </c>
      <c r="F5413" s="4" t="s">
        <v>10758</v>
      </c>
      <c r="G5413" s="4" t="s">
        <v>243</v>
      </c>
      <c r="H5413" s="13"/>
    </row>
    <row r="5414" s="1" customFormat="1" spans="1:8">
      <c r="A5414" s="4" t="s">
        <v>205</v>
      </c>
      <c r="B5414" s="4" t="s">
        <v>79</v>
      </c>
      <c r="C5414" s="4" t="s">
        <v>86</v>
      </c>
      <c r="D5414" s="4" t="s">
        <v>10759</v>
      </c>
      <c r="E5414" s="4">
        <v>3544400</v>
      </c>
      <c r="F5414" s="4" t="s">
        <v>10760</v>
      </c>
      <c r="G5414" s="4" t="s">
        <v>243</v>
      </c>
      <c r="H5414" s="13"/>
    </row>
    <row r="5415" s="1" customFormat="1" spans="1:8">
      <c r="A5415" s="4" t="s">
        <v>205</v>
      </c>
      <c r="B5415" s="4" t="s">
        <v>79</v>
      </c>
      <c r="C5415" s="4" t="s">
        <v>86</v>
      </c>
      <c r="D5415" s="4" t="s">
        <v>10761</v>
      </c>
      <c r="E5415" s="4">
        <v>3544707</v>
      </c>
      <c r="F5415" s="4" t="s">
        <v>10762</v>
      </c>
      <c r="G5415" s="4" t="s">
        <v>243</v>
      </c>
      <c r="H5415" s="13"/>
    </row>
    <row r="5416" s="1" customFormat="1" spans="1:8">
      <c r="A5416" s="4" t="s">
        <v>205</v>
      </c>
      <c r="B5416" s="4" t="s">
        <v>79</v>
      </c>
      <c r="C5416" s="4" t="s">
        <v>86</v>
      </c>
      <c r="D5416" s="4" t="s">
        <v>10763</v>
      </c>
      <c r="E5416" s="4">
        <v>3545100</v>
      </c>
      <c r="F5416" s="4" t="s">
        <v>10764</v>
      </c>
      <c r="G5416" s="4" t="s">
        <v>243</v>
      </c>
      <c r="H5416" s="13"/>
    </row>
    <row r="5417" s="1" customFormat="1" spans="1:8">
      <c r="A5417" s="4" t="s">
        <v>205</v>
      </c>
      <c r="B5417" s="4" t="s">
        <v>79</v>
      </c>
      <c r="C5417" s="4" t="s">
        <v>86</v>
      </c>
      <c r="D5417" s="4" t="s">
        <v>10765</v>
      </c>
      <c r="E5417" s="4">
        <v>3545506</v>
      </c>
      <c r="F5417" s="4" t="s">
        <v>10766</v>
      </c>
      <c r="G5417" s="4" t="s">
        <v>243</v>
      </c>
      <c r="H5417" s="13"/>
    </row>
    <row r="5418" s="1" customFormat="1" spans="1:8">
      <c r="A5418" s="4" t="s">
        <v>205</v>
      </c>
      <c r="B5418" s="4" t="s">
        <v>79</v>
      </c>
      <c r="C5418" s="4" t="s">
        <v>86</v>
      </c>
      <c r="D5418" s="4" t="s">
        <v>10767</v>
      </c>
      <c r="E5418" s="4">
        <v>3545704</v>
      </c>
      <c r="F5418" s="4" t="s">
        <v>10768</v>
      </c>
      <c r="G5418" s="4" t="s">
        <v>243</v>
      </c>
      <c r="H5418" s="13"/>
    </row>
    <row r="5419" s="1" customFormat="1" spans="1:8">
      <c r="A5419" s="4" t="s">
        <v>205</v>
      </c>
      <c r="B5419" s="4" t="s">
        <v>79</v>
      </c>
      <c r="C5419" s="4" t="s">
        <v>86</v>
      </c>
      <c r="D5419" s="4" t="s">
        <v>10769</v>
      </c>
      <c r="E5419" s="4">
        <v>3546108</v>
      </c>
      <c r="F5419" s="4" t="s">
        <v>10770</v>
      </c>
      <c r="G5419" s="4" t="s">
        <v>243</v>
      </c>
      <c r="H5419" s="13"/>
    </row>
    <row r="5420" s="1" customFormat="1" spans="1:8">
      <c r="A5420" s="4" t="s">
        <v>205</v>
      </c>
      <c r="B5420" s="4" t="s">
        <v>79</v>
      </c>
      <c r="C5420" s="4" t="s">
        <v>86</v>
      </c>
      <c r="D5420" s="4" t="s">
        <v>10771</v>
      </c>
      <c r="E5420" s="4">
        <v>3546603</v>
      </c>
      <c r="F5420" s="4" t="s">
        <v>10772</v>
      </c>
      <c r="G5420" s="4" t="s">
        <v>243</v>
      </c>
      <c r="H5420" s="13"/>
    </row>
    <row r="5421" s="1" customFormat="1" spans="1:8">
      <c r="A5421" s="4" t="s">
        <v>205</v>
      </c>
      <c r="B5421" s="4" t="s">
        <v>79</v>
      </c>
      <c r="C5421" s="4" t="s">
        <v>86</v>
      </c>
      <c r="D5421" s="4" t="s">
        <v>10773</v>
      </c>
      <c r="E5421" s="4">
        <v>3547106</v>
      </c>
      <c r="F5421" s="4" t="s">
        <v>10774</v>
      </c>
      <c r="G5421" s="4" t="s">
        <v>243</v>
      </c>
      <c r="H5421" s="13"/>
    </row>
    <row r="5422" s="1" customFormat="1" spans="1:8">
      <c r="A5422" s="4" t="s">
        <v>205</v>
      </c>
      <c r="B5422" s="4" t="s">
        <v>79</v>
      </c>
      <c r="C5422" s="4" t="s">
        <v>86</v>
      </c>
      <c r="D5422" s="4" t="s">
        <v>10775</v>
      </c>
      <c r="E5422" s="4">
        <v>3547403</v>
      </c>
      <c r="F5422" s="4" t="s">
        <v>10776</v>
      </c>
      <c r="G5422" s="4" t="s">
        <v>243</v>
      </c>
      <c r="H5422" s="13"/>
    </row>
    <row r="5423" s="1" customFormat="1" spans="1:8">
      <c r="A5423" s="4" t="s">
        <v>205</v>
      </c>
      <c r="B5423" s="4" t="s">
        <v>79</v>
      </c>
      <c r="C5423" s="4" t="s">
        <v>86</v>
      </c>
      <c r="D5423" s="4" t="s">
        <v>10777</v>
      </c>
      <c r="E5423" s="4">
        <v>3547650</v>
      </c>
      <c r="F5423" s="4" t="s">
        <v>10778</v>
      </c>
      <c r="G5423" s="4" t="s">
        <v>243</v>
      </c>
      <c r="H5423" s="13"/>
    </row>
    <row r="5424" s="1" customFormat="1" spans="1:8">
      <c r="A5424" s="4" t="s">
        <v>205</v>
      </c>
      <c r="B5424" s="4" t="s">
        <v>79</v>
      </c>
      <c r="C5424" s="4" t="s">
        <v>86</v>
      </c>
      <c r="D5424" s="4" t="s">
        <v>10779</v>
      </c>
      <c r="E5424" s="4">
        <v>3547205</v>
      </c>
      <c r="F5424" s="4" t="s">
        <v>10780</v>
      </c>
      <c r="G5424" s="4" t="s">
        <v>243</v>
      </c>
      <c r="H5424" s="13"/>
    </row>
    <row r="5425" s="1" customFormat="1" spans="1:8">
      <c r="A5425" s="4" t="s">
        <v>205</v>
      </c>
      <c r="B5425" s="4" t="s">
        <v>79</v>
      </c>
      <c r="C5425" s="4" t="s">
        <v>86</v>
      </c>
      <c r="D5425" s="4" t="s">
        <v>10781</v>
      </c>
      <c r="E5425" s="4">
        <v>3547700</v>
      </c>
      <c r="F5425" s="4" t="s">
        <v>10782</v>
      </c>
      <c r="G5425" s="4" t="s">
        <v>243</v>
      </c>
      <c r="H5425" s="13"/>
    </row>
    <row r="5426" s="1" customFormat="1" spans="1:8">
      <c r="A5426" s="4" t="s">
        <v>205</v>
      </c>
      <c r="B5426" s="4" t="s">
        <v>79</v>
      </c>
      <c r="C5426" s="4" t="s">
        <v>86</v>
      </c>
      <c r="D5426" s="4" t="s">
        <v>10783</v>
      </c>
      <c r="E5426" s="4">
        <v>3548054</v>
      </c>
      <c r="F5426" s="4" t="s">
        <v>10784</v>
      </c>
      <c r="G5426" s="4" t="s">
        <v>243</v>
      </c>
      <c r="H5426" s="13"/>
    </row>
    <row r="5427" s="1" customFormat="1" spans="1:8">
      <c r="A5427" s="4" t="s">
        <v>205</v>
      </c>
      <c r="B5427" s="4" t="s">
        <v>79</v>
      </c>
      <c r="C5427" s="4" t="s">
        <v>86</v>
      </c>
      <c r="D5427" s="4" t="s">
        <v>10785</v>
      </c>
      <c r="E5427" s="4">
        <v>3548302</v>
      </c>
      <c r="F5427" s="4" t="s">
        <v>10786</v>
      </c>
      <c r="G5427" s="4" t="s">
        <v>243</v>
      </c>
      <c r="H5427" s="13"/>
    </row>
    <row r="5428" s="1" customFormat="1" spans="1:8">
      <c r="A5428" s="4" t="s">
        <v>205</v>
      </c>
      <c r="B5428" s="4" t="s">
        <v>79</v>
      </c>
      <c r="C5428" s="4" t="s">
        <v>86</v>
      </c>
      <c r="D5428" s="4" t="s">
        <v>10787</v>
      </c>
      <c r="E5428" s="4">
        <v>3548401</v>
      </c>
      <c r="F5428" s="4" t="s">
        <v>10788</v>
      </c>
      <c r="G5428" s="4" t="s">
        <v>243</v>
      </c>
      <c r="H5428" s="13"/>
    </row>
    <row r="5429" s="1" customFormat="1" spans="1:8">
      <c r="A5429" s="4" t="s">
        <v>205</v>
      </c>
      <c r="B5429" s="4" t="s">
        <v>79</v>
      </c>
      <c r="C5429" s="4" t="s">
        <v>86</v>
      </c>
      <c r="D5429" s="4" t="s">
        <v>10789</v>
      </c>
      <c r="E5429" s="4">
        <v>3551306</v>
      </c>
      <c r="F5429" s="4" t="s">
        <v>10790</v>
      </c>
      <c r="G5429" s="4" t="s">
        <v>243</v>
      </c>
      <c r="H5429" s="13"/>
    </row>
    <row r="5430" s="1" customFormat="1" spans="1:8">
      <c r="A5430" s="4" t="s">
        <v>205</v>
      </c>
      <c r="B5430" s="4" t="s">
        <v>79</v>
      </c>
      <c r="C5430" s="4" t="s">
        <v>86</v>
      </c>
      <c r="D5430" s="4" t="s">
        <v>10791</v>
      </c>
      <c r="E5430" s="4">
        <v>3552304</v>
      </c>
      <c r="F5430" s="4" t="s">
        <v>10792</v>
      </c>
      <c r="G5430" s="4" t="s">
        <v>243</v>
      </c>
      <c r="H5430" s="13"/>
    </row>
    <row r="5431" s="1" customFormat="1" spans="1:8">
      <c r="A5431" s="4" t="s">
        <v>205</v>
      </c>
      <c r="B5431" s="4" t="s">
        <v>79</v>
      </c>
      <c r="C5431" s="4" t="s">
        <v>86</v>
      </c>
      <c r="D5431" s="4" t="s">
        <v>10793</v>
      </c>
      <c r="E5431" s="4">
        <v>3552551</v>
      </c>
      <c r="F5431" s="4" t="s">
        <v>10794</v>
      </c>
      <c r="G5431" s="4" t="s">
        <v>243</v>
      </c>
      <c r="H5431" s="13"/>
    </row>
    <row r="5432" s="1" customFormat="1" spans="1:8">
      <c r="A5432" s="4" t="s">
        <v>205</v>
      </c>
      <c r="B5432" s="4" t="s">
        <v>79</v>
      </c>
      <c r="C5432" s="4" t="s">
        <v>86</v>
      </c>
      <c r="D5432" s="4" t="s">
        <v>4268</v>
      </c>
      <c r="E5432" s="4">
        <v>3549003</v>
      </c>
      <c r="F5432" s="4" t="s">
        <v>10795</v>
      </c>
      <c r="G5432" s="4" t="s">
        <v>243</v>
      </c>
      <c r="H5432" s="13"/>
    </row>
    <row r="5433" s="1" customFormat="1" spans="1:8">
      <c r="A5433" s="4" t="s">
        <v>205</v>
      </c>
      <c r="B5433" s="4" t="s">
        <v>79</v>
      </c>
      <c r="C5433" s="4" t="s">
        <v>86</v>
      </c>
      <c r="D5433" s="4" t="s">
        <v>10796</v>
      </c>
      <c r="E5433" s="4">
        <v>3549607</v>
      </c>
      <c r="F5433" s="4" t="s">
        <v>10797</v>
      </c>
      <c r="G5433" s="4" t="s">
        <v>243</v>
      </c>
      <c r="H5433" s="13"/>
    </row>
    <row r="5434" s="1" customFormat="1" spans="1:8">
      <c r="A5434" s="4" t="s">
        <v>205</v>
      </c>
      <c r="B5434" s="4" t="s">
        <v>79</v>
      </c>
      <c r="C5434" s="4" t="s">
        <v>86</v>
      </c>
      <c r="D5434" s="4" t="s">
        <v>10798</v>
      </c>
      <c r="E5434" s="4">
        <v>3549201</v>
      </c>
      <c r="F5434" s="4" t="s">
        <v>10799</v>
      </c>
      <c r="G5434" s="4" t="s">
        <v>243</v>
      </c>
      <c r="H5434" s="13"/>
    </row>
    <row r="5435" s="1" customFormat="1" spans="1:8">
      <c r="A5435" s="4" t="s">
        <v>205</v>
      </c>
      <c r="B5435" s="4" t="s">
        <v>79</v>
      </c>
      <c r="C5435" s="4" t="s">
        <v>86</v>
      </c>
      <c r="D5435" s="4" t="s">
        <v>10800</v>
      </c>
      <c r="E5435" s="4">
        <v>3549250</v>
      </c>
      <c r="F5435" s="4" t="s">
        <v>10801</v>
      </c>
      <c r="G5435" s="4" t="s">
        <v>243</v>
      </c>
      <c r="H5435" s="13"/>
    </row>
    <row r="5436" s="1" customFormat="1" spans="1:8">
      <c r="A5436" s="4" t="s">
        <v>205</v>
      </c>
      <c r="B5436" s="4" t="s">
        <v>79</v>
      </c>
      <c r="C5436" s="4" t="s">
        <v>86</v>
      </c>
      <c r="D5436" s="4" t="s">
        <v>10802</v>
      </c>
      <c r="E5436" s="4">
        <v>3549300</v>
      </c>
      <c r="F5436" s="4" t="s">
        <v>10803</v>
      </c>
      <c r="G5436" s="4" t="s">
        <v>243</v>
      </c>
      <c r="H5436" s="13"/>
    </row>
    <row r="5437" s="1" customFormat="1" spans="1:8">
      <c r="A5437" s="4" t="s">
        <v>205</v>
      </c>
      <c r="B5437" s="4" t="s">
        <v>79</v>
      </c>
      <c r="C5437" s="4" t="s">
        <v>86</v>
      </c>
      <c r="D5437" s="4" t="s">
        <v>10804</v>
      </c>
      <c r="E5437" s="4">
        <v>3552908</v>
      </c>
      <c r="F5437" s="4" t="s">
        <v>10805</v>
      </c>
      <c r="G5437" s="4" t="s">
        <v>243</v>
      </c>
      <c r="H5437" s="13"/>
    </row>
    <row r="5438" s="1" customFormat="1" spans="1:8">
      <c r="A5438" s="4" t="s">
        <v>205</v>
      </c>
      <c r="B5438" s="4" t="s">
        <v>79</v>
      </c>
      <c r="C5438" s="4" t="s">
        <v>86</v>
      </c>
      <c r="D5438" s="4" t="s">
        <v>10806</v>
      </c>
      <c r="E5438" s="4">
        <v>3553906</v>
      </c>
      <c r="F5438" s="4" t="s">
        <v>10807</v>
      </c>
      <c r="G5438" s="4" t="s">
        <v>243</v>
      </c>
      <c r="H5438" s="13"/>
    </row>
    <row r="5439" s="1" customFormat="1" spans="1:8">
      <c r="A5439" s="4" t="s">
        <v>205</v>
      </c>
      <c r="B5439" s="4" t="s">
        <v>79</v>
      </c>
      <c r="C5439" s="4" t="s">
        <v>86</v>
      </c>
      <c r="D5439" s="4" t="s">
        <v>869</v>
      </c>
      <c r="E5439" s="4">
        <v>3554300</v>
      </c>
      <c r="F5439" s="4" t="s">
        <v>10808</v>
      </c>
      <c r="G5439" s="4" t="s">
        <v>243</v>
      </c>
      <c r="H5439" s="13"/>
    </row>
    <row r="5440" s="1" customFormat="1" spans="1:8">
      <c r="A5440" s="4" t="s">
        <v>205</v>
      </c>
      <c r="B5440" s="4" t="s">
        <v>79</v>
      </c>
      <c r="C5440" s="4" t="s">
        <v>86</v>
      </c>
      <c r="D5440" s="4" t="s">
        <v>10809</v>
      </c>
      <c r="E5440" s="4">
        <v>3554904</v>
      </c>
      <c r="F5440" s="4" t="s">
        <v>10810</v>
      </c>
      <c r="G5440" s="4" t="s">
        <v>243</v>
      </c>
      <c r="H5440" s="13"/>
    </row>
    <row r="5441" s="1" customFormat="1" spans="1:8">
      <c r="A5441" s="4" t="s">
        <v>205</v>
      </c>
      <c r="B5441" s="4" t="s">
        <v>79</v>
      </c>
      <c r="C5441" s="4" t="s">
        <v>86</v>
      </c>
      <c r="D5441" s="4" t="s">
        <v>10811</v>
      </c>
      <c r="E5441" s="4">
        <v>3555109</v>
      </c>
      <c r="F5441" s="4" t="s">
        <v>10812</v>
      </c>
      <c r="G5441" s="4" t="s">
        <v>243</v>
      </c>
      <c r="H5441" s="13"/>
    </row>
    <row r="5442" s="1" customFormat="1" spans="1:8">
      <c r="A5442" s="4" t="s">
        <v>205</v>
      </c>
      <c r="B5442" s="4" t="s">
        <v>79</v>
      </c>
      <c r="C5442" s="4" t="s">
        <v>86</v>
      </c>
      <c r="D5442" s="4" t="s">
        <v>10813</v>
      </c>
      <c r="E5442" s="4">
        <v>3555000</v>
      </c>
      <c r="F5442" s="4" t="s">
        <v>10814</v>
      </c>
      <c r="G5442" s="4" t="s">
        <v>243</v>
      </c>
      <c r="H5442" s="13"/>
    </row>
    <row r="5443" s="1" customFormat="1" spans="1:8">
      <c r="A5443" s="4" t="s">
        <v>205</v>
      </c>
      <c r="B5443" s="4" t="s">
        <v>79</v>
      </c>
      <c r="C5443" s="4" t="s">
        <v>86</v>
      </c>
      <c r="D5443" s="4" t="s">
        <v>10815</v>
      </c>
      <c r="E5443" s="4">
        <v>3555208</v>
      </c>
      <c r="F5443" s="4" t="s">
        <v>10816</v>
      </c>
      <c r="G5443" s="4" t="s">
        <v>243</v>
      </c>
      <c r="H5443" s="13"/>
    </row>
    <row r="5444" s="1" customFormat="1" spans="1:8">
      <c r="A5444" s="4" t="s">
        <v>205</v>
      </c>
      <c r="B5444" s="4" t="s">
        <v>79</v>
      </c>
      <c r="C5444" s="4" t="s">
        <v>86</v>
      </c>
      <c r="D5444" s="4" t="s">
        <v>4356</v>
      </c>
      <c r="E5444" s="4">
        <v>3555307</v>
      </c>
      <c r="F5444" s="4" t="s">
        <v>10817</v>
      </c>
      <c r="G5444" s="4" t="s">
        <v>243</v>
      </c>
      <c r="H5444" s="13"/>
    </row>
    <row r="5445" s="1" customFormat="1" spans="1:8">
      <c r="A5445" s="4" t="s">
        <v>205</v>
      </c>
      <c r="B5445" s="4" t="s">
        <v>79</v>
      </c>
      <c r="C5445" s="4" t="s">
        <v>86</v>
      </c>
      <c r="D5445" s="4" t="s">
        <v>10818</v>
      </c>
      <c r="E5445" s="4">
        <v>3555703</v>
      </c>
      <c r="F5445" s="4" t="s">
        <v>10819</v>
      </c>
      <c r="G5445" s="4" t="s">
        <v>243</v>
      </c>
      <c r="H5445" s="13"/>
    </row>
    <row r="5446" s="1" customFormat="1" spans="1:8">
      <c r="A5446" s="4" t="s">
        <v>205</v>
      </c>
      <c r="B5446" s="4" t="s">
        <v>79</v>
      </c>
      <c r="C5446" s="4" t="s">
        <v>86</v>
      </c>
      <c r="D5446" s="4" t="s">
        <v>10820</v>
      </c>
      <c r="E5446" s="4">
        <v>3555802</v>
      </c>
      <c r="F5446" s="4" t="s">
        <v>10821</v>
      </c>
      <c r="G5446" s="4" t="s">
        <v>243</v>
      </c>
      <c r="H5446" s="13"/>
    </row>
    <row r="5447" s="1" customFormat="1" spans="1:8">
      <c r="A5447" s="4" t="s">
        <v>205</v>
      </c>
      <c r="B5447" s="4" t="s">
        <v>79</v>
      </c>
      <c r="C5447" s="4" t="s">
        <v>86</v>
      </c>
      <c r="D5447" s="4" t="s">
        <v>10822</v>
      </c>
      <c r="E5447" s="4">
        <v>3556107</v>
      </c>
      <c r="F5447" s="4" t="s">
        <v>10823</v>
      </c>
      <c r="G5447" s="4" t="s">
        <v>243</v>
      </c>
      <c r="H5447" s="13"/>
    </row>
    <row r="5448" s="1" customFormat="1" spans="1:8">
      <c r="A5448" s="4" t="s">
        <v>205</v>
      </c>
      <c r="B5448" s="4" t="s">
        <v>79</v>
      </c>
      <c r="C5448" s="4" t="s">
        <v>86</v>
      </c>
      <c r="D5448" s="4" t="s">
        <v>10824</v>
      </c>
      <c r="E5448" s="4">
        <v>3556305</v>
      </c>
      <c r="F5448" s="4" t="s">
        <v>10825</v>
      </c>
      <c r="G5448" s="4" t="s">
        <v>243</v>
      </c>
      <c r="H5448" s="13"/>
    </row>
    <row r="5449" s="1" customFormat="1" spans="1:8">
      <c r="A5449" s="4" t="s">
        <v>205</v>
      </c>
      <c r="B5449" s="4" t="s">
        <v>79</v>
      </c>
      <c r="C5449" s="4" t="s">
        <v>86</v>
      </c>
      <c r="D5449" s="4" t="s">
        <v>10826</v>
      </c>
      <c r="E5449" s="4">
        <v>3556958</v>
      </c>
      <c r="F5449" s="4" t="s">
        <v>10827</v>
      </c>
      <c r="G5449" s="4" t="s">
        <v>243</v>
      </c>
      <c r="H5449" s="13"/>
    </row>
    <row r="5450" s="1" customFormat="1" spans="1:8">
      <c r="A5450" s="4" t="s">
        <v>205</v>
      </c>
      <c r="B5450" s="4" t="s">
        <v>79</v>
      </c>
      <c r="C5450" s="4" t="s">
        <v>86</v>
      </c>
      <c r="D5450" s="4" t="s">
        <v>10828</v>
      </c>
      <c r="E5450" s="4">
        <v>3557105</v>
      </c>
      <c r="F5450" s="4" t="s">
        <v>10829</v>
      </c>
      <c r="G5450" s="4" t="s">
        <v>243</v>
      </c>
      <c r="H5450" s="13"/>
    </row>
    <row r="5451" s="1" customFormat="1" spans="1:8">
      <c r="A5451" s="4" t="s">
        <v>205</v>
      </c>
      <c r="B5451" s="4" t="s">
        <v>79</v>
      </c>
      <c r="C5451" s="4" t="s">
        <v>86</v>
      </c>
      <c r="D5451" s="4" t="s">
        <v>10830</v>
      </c>
      <c r="E5451" s="4">
        <v>3557154</v>
      </c>
      <c r="F5451" s="4" t="s">
        <v>10831</v>
      </c>
      <c r="G5451" s="4" t="s">
        <v>243</v>
      </c>
      <c r="H5451" s="13"/>
    </row>
    <row r="5452" s="1" customFormat="1" spans="1:8">
      <c r="A5452" s="4" t="s">
        <v>205</v>
      </c>
      <c r="B5452" s="4" t="s">
        <v>79</v>
      </c>
      <c r="C5452" s="4" t="s">
        <v>86</v>
      </c>
      <c r="D5452" s="4" t="s">
        <v>10832</v>
      </c>
      <c r="E5452" s="4">
        <v>3501202</v>
      </c>
      <c r="F5452" s="4" t="s">
        <v>10833</v>
      </c>
      <c r="G5452" s="4" t="s">
        <v>243</v>
      </c>
      <c r="H5452" s="13"/>
    </row>
    <row r="5453" s="1" customFormat="1" spans="1:8">
      <c r="A5453" s="4" t="s">
        <v>205</v>
      </c>
      <c r="B5453" s="4" t="s">
        <v>79</v>
      </c>
      <c r="C5453" s="4" t="s">
        <v>86</v>
      </c>
      <c r="D5453" s="4" t="s">
        <v>10834</v>
      </c>
      <c r="E5453" s="4">
        <v>3501301</v>
      </c>
      <c r="F5453" s="4" t="s">
        <v>10835</v>
      </c>
      <c r="G5453" s="4" t="s">
        <v>243</v>
      </c>
      <c r="H5453" s="13"/>
    </row>
    <row r="5454" s="1" customFormat="1" spans="1:8">
      <c r="A5454" s="4" t="s">
        <v>205</v>
      </c>
      <c r="B5454" s="4" t="s">
        <v>33</v>
      </c>
      <c r="C5454" s="4" t="s">
        <v>55</v>
      </c>
      <c r="D5454" s="4" t="s">
        <v>6851</v>
      </c>
      <c r="E5454" s="4">
        <v>1721000</v>
      </c>
      <c r="F5454" s="4" t="s">
        <v>10836</v>
      </c>
      <c r="G5454" s="4" t="s">
        <v>207</v>
      </c>
      <c r="H5454" s="4"/>
    </row>
    <row r="5455" s="1" customFormat="1" spans="1:8">
      <c r="A5455" s="4" t="s">
        <v>205</v>
      </c>
      <c r="B5455" s="4" t="s">
        <v>33</v>
      </c>
      <c r="C5455" s="4" t="s">
        <v>55</v>
      </c>
      <c r="D5455" s="4" t="s">
        <v>10837</v>
      </c>
      <c r="E5455" s="4">
        <v>1700251</v>
      </c>
      <c r="F5455" s="4" t="s">
        <v>10838</v>
      </c>
      <c r="G5455" s="4" t="s">
        <v>215</v>
      </c>
      <c r="H5455" s="4"/>
    </row>
    <row r="5456" s="1" customFormat="1" spans="1:8">
      <c r="A5456" s="4" t="s">
        <v>205</v>
      </c>
      <c r="B5456" s="4" t="s">
        <v>33</v>
      </c>
      <c r="C5456" s="4" t="s">
        <v>55</v>
      </c>
      <c r="D5456" s="4" t="s">
        <v>10839</v>
      </c>
      <c r="E5456" s="4">
        <v>1700350</v>
      </c>
      <c r="F5456" s="4" t="s">
        <v>10840</v>
      </c>
      <c r="G5456" s="4" t="s">
        <v>215</v>
      </c>
      <c r="H5456" s="4"/>
    </row>
    <row r="5457" s="1" customFormat="1" spans="1:8">
      <c r="A5457" s="4" t="s">
        <v>205</v>
      </c>
      <c r="B5457" s="4" t="s">
        <v>33</v>
      </c>
      <c r="C5457" s="4" t="s">
        <v>55</v>
      </c>
      <c r="D5457" s="4" t="s">
        <v>10841</v>
      </c>
      <c r="E5457" s="4">
        <v>1701101</v>
      </c>
      <c r="F5457" s="4" t="s">
        <v>10842</v>
      </c>
      <c r="G5457" s="4" t="s">
        <v>215</v>
      </c>
      <c r="H5457" s="4"/>
    </row>
    <row r="5458" s="1" customFormat="1" spans="1:8">
      <c r="A5458" s="4" t="s">
        <v>205</v>
      </c>
      <c r="B5458" s="4" t="s">
        <v>33</v>
      </c>
      <c r="C5458" s="4" t="s">
        <v>55</v>
      </c>
      <c r="D5458" s="4" t="s">
        <v>10843</v>
      </c>
      <c r="E5458" s="4">
        <v>1703107</v>
      </c>
      <c r="F5458" s="4" t="s">
        <v>10844</v>
      </c>
      <c r="G5458" s="4" t="s">
        <v>215</v>
      </c>
      <c r="H5458" s="4"/>
    </row>
    <row r="5459" s="1" customFormat="1" spans="1:8">
      <c r="A5459" s="4" t="s">
        <v>205</v>
      </c>
      <c r="B5459" s="4" t="s">
        <v>33</v>
      </c>
      <c r="C5459" s="4" t="s">
        <v>55</v>
      </c>
      <c r="D5459" s="4" t="s">
        <v>5253</v>
      </c>
      <c r="E5459" s="4">
        <v>1703305</v>
      </c>
      <c r="F5459" s="4" t="s">
        <v>10845</v>
      </c>
      <c r="G5459" s="4" t="s">
        <v>215</v>
      </c>
      <c r="H5459" s="4"/>
    </row>
    <row r="5460" s="1" customFormat="1" spans="1:8">
      <c r="A5460" s="4" t="s">
        <v>205</v>
      </c>
      <c r="B5460" s="4" t="s">
        <v>33</v>
      </c>
      <c r="C5460" s="4" t="s">
        <v>55</v>
      </c>
      <c r="D5460" s="4" t="s">
        <v>10846</v>
      </c>
      <c r="E5460" s="4">
        <v>1703701</v>
      </c>
      <c r="F5460" s="4" t="s">
        <v>10847</v>
      </c>
      <c r="G5460" s="4" t="s">
        <v>215</v>
      </c>
      <c r="H5460" s="4"/>
    </row>
    <row r="5461" s="1" customFormat="1" spans="1:8">
      <c r="A5461" s="4" t="s">
        <v>205</v>
      </c>
      <c r="B5461" s="4" t="s">
        <v>33</v>
      </c>
      <c r="C5461" s="4" t="s">
        <v>55</v>
      </c>
      <c r="D5461" s="4" t="s">
        <v>10848</v>
      </c>
      <c r="E5461" s="4">
        <v>1705102</v>
      </c>
      <c r="F5461" s="4" t="s">
        <v>10849</v>
      </c>
      <c r="G5461" s="4" t="s">
        <v>215</v>
      </c>
      <c r="H5461" s="4"/>
    </row>
    <row r="5462" s="1" customFormat="1" spans="1:8">
      <c r="A5462" s="4" t="s">
        <v>205</v>
      </c>
      <c r="B5462" s="4" t="s">
        <v>33</v>
      </c>
      <c r="C5462" s="4" t="s">
        <v>55</v>
      </c>
      <c r="D5462" s="4" t="s">
        <v>10850</v>
      </c>
      <c r="E5462" s="4">
        <v>1704600</v>
      </c>
      <c r="F5462" s="4" t="s">
        <v>10851</v>
      </c>
      <c r="G5462" s="4" t="s">
        <v>215</v>
      </c>
      <c r="H5462" s="4"/>
    </row>
    <row r="5463" s="1" customFormat="1" spans="1:8">
      <c r="A5463" s="4" t="s">
        <v>205</v>
      </c>
      <c r="B5463" s="4" t="s">
        <v>33</v>
      </c>
      <c r="C5463" s="4" t="s">
        <v>55</v>
      </c>
      <c r="D5463" s="4" t="s">
        <v>10852</v>
      </c>
      <c r="E5463" s="4">
        <v>1716703</v>
      </c>
      <c r="F5463" s="4" t="s">
        <v>10853</v>
      </c>
      <c r="G5463" s="4" t="s">
        <v>215</v>
      </c>
      <c r="H5463" s="4"/>
    </row>
    <row r="5464" s="1" customFormat="1" spans="1:8">
      <c r="A5464" s="4" t="s">
        <v>205</v>
      </c>
      <c r="B5464" s="4" t="s">
        <v>33</v>
      </c>
      <c r="C5464" s="4" t="s">
        <v>55</v>
      </c>
      <c r="D5464" s="4" t="s">
        <v>10854</v>
      </c>
      <c r="E5464" s="4">
        <v>1706100</v>
      </c>
      <c r="F5464" s="4" t="s">
        <v>10855</v>
      </c>
      <c r="G5464" s="4" t="s">
        <v>215</v>
      </c>
      <c r="H5464" s="4"/>
    </row>
    <row r="5465" s="1" customFormat="1" spans="1:8">
      <c r="A5465" s="4" t="s">
        <v>205</v>
      </c>
      <c r="B5465" s="4" t="s">
        <v>33</v>
      </c>
      <c r="C5465" s="4" t="s">
        <v>55</v>
      </c>
      <c r="D5465" s="4" t="s">
        <v>10856</v>
      </c>
      <c r="E5465" s="4">
        <v>1706258</v>
      </c>
      <c r="F5465" s="4" t="s">
        <v>10857</v>
      </c>
      <c r="G5465" s="4" t="s">
        <v>215</v>
      </c>
      <c r="H5465" s="4"/>
    </row>
    <row r="5466" s="1" customFormat="1" spans="1:8">
      <c r="A5466" s="4" t="s">
        <v>205</v>
      </c>
      <c r="B5466" s="4" t="s">
        <v>33</v>
      </c>
      <c r="C5466" s="4" t="s">
        <v>55</v>
      </c>
      <c r="D5466" s="4" t="s">
        <v>10858</v>
      </c>
      <c r="E5466" s="4">
        <v>1707108</v>
      </c>
      <c r="F5466" s="4" t="s">
        <v>10859</v>
      </c>
      <c r="G5466" s="4" t="s">
        <v>215</v>
      </c>
      <c r="H5466" s="4"/>
    </row>
    <row r="5467" s="1" customFormat="1" spans="1:8">
      <c r="A5467" s="4" t="s">
        <v>205</v>
      </c>
      <c r="B5467" s="4" t="s">
        <v>33</v>
      </c>
      <c r="C5467" s="4" t="s">
        <v>55</v>
      </c>
      <c r="D5467" s="4" t="s">
        <v>10860</v>
      </c>
      <c r="E5467" s="4">
        <v>1707207</v>
      </c>
      <c r="F5467" s="4" t="s">
        <v>10861</v>
      </c>
      <c r="G5467" s="4" t="s">
        <v>215</v>
      </c>
      <c r="H5467" s="4"/>
    </row>
    <row r="5468" s="1" customFormat="1" spans="1:8">
      <c r="A5468" s="4" t="s">
        <v>205</v>
      </c>
      <c r="B5468" s="4" t="s">
        <v>33</v>
      </c>
      <c r="C5468" s="4" t="s">
        <v>55</v>
      </c>
      <c r="D5468" s="4" t="s">
        <v>1013</v>
      </c>
      <c r="E5468" s="4">
        <v>1707553</v>
      </c>
      <c r="F5468" s="4" t="s">
        <v>10862</v>
      </c>
      <c r="G5468" s="4" t="s">
        <v>215</v>
      </c>
      <c r="H5468" s="4"/>
    </row>
    <row r="5469" s="1" customFormat="1" spans="1:8">
      <c r="A5469" s="4" t="s">
        <v>205</v>
      </c>
      <c r="B5469" s="4" t="s">
        <v>33</v>
      </c>
      <c r="C5469" s="4" t="s">
        <v>55</v>
      </c>
      <c r="D5469" s="4" t="s">
        <v>10863</v>
      </c>
      <c r="E5469" s="4">
        <v>1709302</v>
      </c>
      <c r="F5469" s="4" t="s">
        <v>10864</v>
      </c>
      <c r="G5469" s="4" t="s">
        <v>215</v>
      </c>
      <c r="H5469" s="4"/>
    </row>
    <row r="5470" s="1" customFormat="1" spans="1:8">
      <c r="A5470" s="4" t="s">
        <v>205</v>
      </c>
      <c r="B5470" s="4" t="s">
        <v>33</v>
      </c>
      <c r="C5470" s="4" t="s">
        <v>55</v>
      </c>
      <c r="D5470" s="4" t="s">
        <v>1629</v>
      </c>
      <c r="E5470" s="4">
        <v>1709807</v>
      </c>
      <c r="F5470" s="4" t="s">
        <v>10865</v>
      </c>
      <c r="G5470" s="4" t="s">
        <v>215</v>
      </c>
      <c r="H5470" s="4"/>
    </row>
    <row r="5471" s="1" customFormat="1" spans="1:8">
      <c r="A5471" s="4" t="s">
        <v>205</v>
      </c>
      <c r="B5471" s="4" t="s">
        <v>33</v>
      </c>
      <c r="C5471" s="4" t="s">
        <v>55</v>
      </c>
      <c r="D5471" s="4" t="s">
        <v>10866</v>
      </c>
      <c r="E5471" s="4">
        <v>1711902</v>
      </c>
      <c r="F5471" s="4" t="s">
        <v>10867</v>
      </c>
      <c r="G5471" s="4" t="s">
        <v>215</v>
      </c>
      <c r="H5471" s="4"/>
    </row>
    <row r="5472" s="1" customFormat="1" spans="1:8">
      <c r="A5472" s="4" t="s">
        <v>205</v>
      </c>
      <c r="B5472" s="4" t="s">
        <v>33</v>
      </c>
      <c r="C5472" s="4" t="s">
        <v>55</v>
      </c>
      <c r="D5472" s="4" t="s">
        <v>10868</v>
      </c>
      <c r="E5472" s="4">
        <v>1711951</v>
      </c>
      <c r="F5472" s="4" t="s">
        <v>10869</v>
      </c>
      <c r="G5472" s="4" t="s">
        <v>215</v>
      </c>
      <c r="H5472" s="4"/>
    </row>
    <row r="5473" s="1" customFormat="1" spans="1:8">
      <c r="A5473" s="4" t="s">
        <v>205</v>
      </c>
      <c r="B5473" s="4" t="s">
        <v>33</v>
      </c>
      <c r="C5473" s="4" t="s">
        <v>55</v>
      </c>
      <c r="D5473" s="4" t="s">
        <v>8112</v>
      </c>
      <c r="E5473" s="4">
        <v>1712009</v>
      </c>
      <c r="F5473" s="4" t="s">
        <v>10870</v>
      </c>
      <c r="G5473" s="4" t="s">
        <v>215</v>
      </c>
      <c r="H5473" s="4"/>
    </row>
    <row r="5474" s="1" customFormat="1" spans="1:8">
      <c r="A5474" s="4" t="s">
        <v>205</v>
      </c>
      <c r="B5474" s="4" t="s">
        <v>33</v>
      </c>
      <c r="C5474" s="4" t="s">
        <v>55</v>
      </c>
      <c r="D5474" s="4" t="s">
        <v>10871</v>
      </c>
      <c r="E5474" s="4">
        <v>1712504</v>
      </c>
      <c r="F5474" s="4" t="s">
        <v>10872</v>
      </c>
      <c r="G5474" s="4" t="s">
        <v>215</v>
      </c>
      <c r="H5474" s="4"/>
    </row>
    <row r="5475" s="1" customFormat="1" spans="1:8">
      <c r="A5475" s="4" t="s">
        <v>205</v>
      </c>
      <c r="B5475" s="4" t="s">
        <v>33</v>
      </c>
      <c r="C5475" s="4" t="s">
        <v>55</v>
      </c>
      <c r="D5475" s="4" t="s">
        <v>10873</v>
      </c>
      <c r="E5475" s="4">
        <v>1713205</v>
      </c>
      <c r="F5475" s="4" t="s">
        <v>10874</v>
      </c>
      <c r="G5475" s="4" t="s">
        <v>215</v>
      </c>
      <c r="H5475" s="4"/>
    </row>
    <row r="5476" s="1" customFormat="1" spans="1:8">
      <c r="A5476" s="4" t="s">
        <v>205</v>
      </c>
      <c r="B5476" s="4" t="s">
        <v>33</v>
      </c>
      <c r="C5476" s="4" t="s">
        <v>55</v>
      </c>
      <c r="D5476" s="4" t="s">
        <v>10875</v>
      </c>
      <c r="E5476" s="4">
        <v>1713304</v>
      </c>
      <c r="F5476" s="4" t="s">
        <v>10876</v>
      </c>
      <c r="G5476" s="4" t="s">
        <v>215</v>
      </c>
      <c r="H5476" s="4"/>
    </row>
    <row r="5477" s="1" customFormat="1" spans="1:8">
      <c r="A5477" s="4" t="s">
        <v>205</v>
      </c>
      <c r="B5477" s="4" t="s">
        <v>33</v>
      </c>
      <c r="C5477" s="4" t="s">
        <v>55</v>
      </c>
      <c r="D5477" s="4" t="s">
        <v>10877</v>
      </c>
      <c r="E5477" s="4">
        <v>1713601</v>
      </c>
      <c r="F5477" s="4" t="s">
        <v>10878</v>
      </c>
      <c r="G5477" s="4" t="s">
        <v>215</v>
      </c>
      <c r="H5477" s="4"/>
    </row>
    <row r="5478" s="1" customFormat="1" spans="1:8">
      <c r="A5478" s="4" t="s">
        <v>205</v>
      </c>
      <c r="B5478" s="4" t="s">
        <v>33</v>
      </c>
      <c r="C5478" s="4" t="s">
        <v>55</v>
      </c>
      <c r="D5478" s="4" t="s">
        <v>10879</v>
      </c>
      <c r="E5478" s="4">
        <v>1713700</v>
      </c>
      <c r="F5478" s="4" t="s">
        <v>10880</v>
      </c>
      <c r="G5478" s="4" t="s">
        <v>215</v>
      </c>
      <c r="H5478" s="4"/>
    </row>
    <row r="5479" s="1" customFormat="1" spans="1:8">
      <c r="A5479" s="4" t="s">
        <v>205</v>
      </c>
      <c r="B5479" s="4" t="s">
        <v>33</v>
      </c>
      <c r="C5479" s="4" t="s">
        <v>55</v>
      </c>
      <c r="D5479" s="4" t="s">
        <v>7472</v>
      </c>
      <c r="E5479" s="4">
        <v>1714203</v>
      </c>
      <c r="F5479" s="4" t="s">
        <v>10881</v>
      </c>
      <c r="G5479" s="4" t="s">
        <v>215</v>
      </c>
      <c r="H5479" s="4"/>
    </row>
    <row r="5480" s="1" customFormat="1" spans="1:8">
      <c r="A5480" s="4" t="s">
        <v>205</v>
      </c>
      <c r="B5480" s="4" t="s">
        <v>33</v>
      </c>
      <c r="C5480" s="4" t="s">
        <v>55</v>
      </c>
      <c r="D5480" s="4" t="s">
        <v>10882</v>
      </c>
      <c r="E5480" s="4">
        <v>1715002</v>
      </c>
      <c r="F5480" s="4" t="s">
        <v>10883</v>
      </c>
      <c r="G5480" s="4" t="s">
        <v>215</v>
      </c>
      <c r="H5480" s="4"/>
    </row>
    <row r="5481" s="1" customFormat="1" spans="1:8">
      <c r="A5481" s="4" t="s">
        <v>205</v>
      </c>
      <c r="B5481" s="4" t="s">
        <v>33</v>
      </c>
      <c r="C5481" s="4" t="s">
        <v>55</v>
      </c>
      <c r="D5481" s="4" t="s">
        <v>10884</v>
      </c>
      <c r="E5481" s="4">
        <v>1715101</v>
      </c>
      <c r="F5481" s="4" t="s">
        <v>10885</v>
      </c>
      <c r="G5481" s="4" t="s">
        <v>215</v>
      </c>
      <c r="H5481" s="4"/>
    </row>
    <row r="5482" s="1" customFormat="1" spans="1:8">
      <c r="A5482" s="4" t="s">
        <v>205</v>
      </c>
      <c r="B5482" s="4" t="s">
        <v>33</v>
      </c>
      <c r="C5482" s="4" t="s">
        <v>55</v>
      </c>
      <c r="D5482" s="4" t="s">
        <v>10886</v>
      </c>
      <c r="E5482" s="4">
        <v>1715507</v>
      </c>
      <c r="F5482" s="4" t="s">
        <v>10887</v>
      </c>
      <c r="G5482" s="4" t="s">
        <v>215</v>
      </c>
      <c r="H5482" s="4"/>
    </row>
    <row r="5483" s="1" customFormat="1" spans="1:8">
      <c r="A5483" s="4" t="s">
        <v>205</v>
      </c>
      <c r="B5483" s="4" t="s">
        <v>33</v>
      </c>
      <c r="C5483" s="4" t="s">
        <v>55</v>
      </c>
      <c r="D5483" s="4" t="s">
        <v>10888</v>
      </c>
      <c r="E5483" s="4">
        <v>1716109</v>
      </c>
      <c r="F5483" s="4" t="s">
        <v>10889</v>
      </c>
      <c r="G5483" s="4" t="s">
        <v>215</v>
      </c>
      <c r="H5483" s="4"/>
    </row>
    <row r="5484" s="1" customFormat="1" spans="1:8">
      <c r="A5484" s="4" t="s">
        <v>205</v>
      </c>
      <c r="B5484" s="4" t="s">
        <v>33</v>
      </c>
      <c r="C5484" s="4" t="s">
        <v>55</v>
      </c>
      <c r="D5484" s="4" t="s">
        <v>10890</v>
      </c>
      <c r="E5484" s="4">
        <v>1716505</v>
      </c>
      <c r="F5484" s="4" t="s">
        <v>10891</v>
      </c>
      <c r="G5484" s="4" t="s">
        <v>215</v>
      </c>
      <c r="H5484" s="4"/>
    </row>
    <row r="5485" s="1" customFormat="1" spans="1:8">
      <c r="A5485" s="4" t="s">
        <v>205</v>
      </c>
      <c r="B5485" s="4" t="s">
        <v>33</v>
      </c>
      <c r="C5485" s="4" t="s">
        <v>55</v>
      </c>
      <c r="D5485" s="4" t="s">
        <v>10892</v>
      </c>
      <c r="E5485" s="4">
        <v>1717008</v>
      </c>
      <c r="F5485" s="4" t="s">
        <v>10893</v>
      </c>
      <c r="G5485" s="4" t="s">
        <v>215</v>
      </c>
      <c r="H5485" s="4"/>
    </row>
    <row r="5486" s="1" customFormat="1" spans="1:8">
      <c r="A5486" s="4" t="s">
        <v>205</v>
      </c>
      <c r="B5486" s="4" t="s">
        <v>33</v>
      </c>
      <c r="C5486" s="4" t="s">
        <v>55</v>
      </c>
      <c r="D5486" s="4" t="s">
        <v>10894</v>
      </c>
      <c r="E5486" s="4">
        <v>1717503</v>
      </c>
      <c r="F5486" s="4" t="s">
        <v>10895</v>
      </c>
      <c r="G5486" s="4" t="s">
        <v>215</v>
      </c>
      <c r="H5486" s="4"/>
    </row>
    <row r="5487" s="1" customFormat="1" spans="1:8">
      <c r="A5487" s="4" t="s">
        <v>205</v>
      </c>
      <c r="B5487" s="4" t="s">
        <v>33</v>
      </c>
      <c r="C5487" s="4" t="s">
        <v>55</v>
      </c>
      <c r="D5487" s="4" t="s">
        <v>10896</v>
      </c>
      <c r="E5487" s="4">
        <v>1717909</v>
      </c>
      <c r="F5487" s="4" t="s">
        <v>10897</v>
      </c>
      <c r="G5487" s="4" t="s">
        <v>215</v>
      </c>
      <c r="H5487" s="4"/>
    </row>
    <row r="5488" s="1" customFormat="1" spans="1:8">
      <c r="A5488" s="4" t="s">
        <v>205</v>
      </c>
      <c r="B5488" s="4" t="s">
        <v>33</v>
      </c>
      <c r="C5488" s="4" t="s">
        <v>55</v>
      </c>
      <c r="D5488" s="4" t="s">
        <v>10898</v>
      </c>
      <c r="E5488" s="4">
        <v>1718204</v>
      </c>
      <c r="F5488" s="4" t="s">
        <v>10899</v>
      </c>
      <c r="G5488" s="4" t="s">
        <v>215</v>
      </c>
      <c r="H5488" s="4"/>
    </row>
    <row r="5489" s="1" customFormat="1" spans="1:8">
      <c r="A5489" s="4" t="s">
        <v>205</v>
      </c>
      <c r="B5489" s="4" t="s">
        <v>33</v>
      </c>
      <c r="C5489" s="4" t="s">
        <v>55</v>
      </c>
      <c r="D5489" s="4" t="s">
        <v>1880</v>
      </c>
      <c r="E5489" s="4">
        <v>1718402</v>
      </c>
      <c r="F5489" s="4" t="s">
        <v>10900</v>
      </c>
      <c r="G5489" s="4" t="s">
        <v>215</v>
      </c>
      <c r="H5489" s="4"/>
    </row>
    <row r="5490" s="1" customFormat="1" spans="1:8">
      <c r="A5490" s="4" t="s">
        <v>205</v>
      </c>
      <c r="B5490" s="4" t="s">
        <v>33</v>
      </c>
      <c r="C5490" s="4" t="s">
        <v>55</v>
      </c>
      <c r="D5490" s="4" t="s">
        <v>10901</v>
      </c>
      <c r="E5490" s="4">
        <v>1718451</v>
      </c>
      <c r="F5490" s="4" t="s">
        <v>10902</v>
      </c>
      <c r="G5490" s="4" t="s">
        <v>215</v>
      </c>
      <c r="H5490" s="4"/>
    </row>
    <row r="5491" s="1" customFormat="1" spans="1:8">
      <c r="A5491" s="4" t="s">
        <v>205</v>
      </c>
      <c r="B5491" s="4" t="s">
        <v>33</v>
      </c>
      <c r="C5491" s="4" t="s">
        <v>55</v>
      </c>
      <c r="D5491" s="4" t="s">
        <v>10903</v>
      </c>
      <c r="E5491" s="4">
        <v>1718709</v>
      </c>
      <c r="F5491" s="4" t="s">
        <v>10904</v>
      </c>
      <c r="G5491" s="4" t="s">
        <v>215</v>
      </c>
      <c r="H5491" s="4"/>
    </row>
    <row r="5492" s="1" customFormat="1" spans="1:8">
      <c r="A5492" s="4" t="s">
        <v>205</v>
      </c>
      <c r="B5492" s="4" t="s">
        <v>33</v>
      </c>
      <c r="C5492" s="4" t="s">
        <v>55</v>
      </c>
      <c r="D5492" s="4" t="s">
        <v>10905</v>
      </c>
      <c r="E5492" s="4">
        <v>1718758</v>
      </c>
      <c r="F5492" s="4" t="s">
        <v>10906</v>
      </c>
      <c r="G5492" s="4" t="s">
        <v>215</v>
      </c>
      <c r="H5492" s="4"/>
    </row>
    <row r="5493" s="1" customFormat="1" spans="1:8">
      <c r="A5493" s="4" t="s">
        <v>205</v>
      </c>
      <c r="B5493" s="4" t="s">
        <v>33</v>
      </c>
      <c r="C5493" s="4" t="s">
        <v>55</v>
      </c>
      <c r="D5493" s="4" t="s">
        <v>10907</v>
      </c>
      <c r="E5493" s="4">
        <v>1718881</v>
      </c>
      <c r="F5493" s="4" t="s">
        <v>10908</v>
      </c>
      <c r="G5493" s="4" t="s">
        <v>215</v>
      </c>
      <c r="H5493" s="4"/>
    </row>
    <row r="5494" s="1" customFormat="1" spans="1:8">
      <c r="A5494" s="4" t="s">
        <v>205</v>
      </c>
      <c r="B5494" s="4" t="s">
        <v>33</v>
      </c>
      <c r="C5494" s="4" t="s">
        <v>55</v>
      </c>
      <c r="D5494" s="4" t="s">
        <v>10909</v>
      </c>
      <c r="E5494" s="4">
        <v>1718899</v>
      </c>
      <c r="F5494" s="4" t="s">
        <v>10910</v>
      </c>
      <c r="G5494" s="4" t="s">
        <v>215</v>
      </c>
      <c r="H5494" s="4"/>
    </row>
    <row r="5495" s="1" customFormat="1" spans="1:8">
      <c r="A5495" s="4" t="s">
        <v>205</v>
      </c>
      <c r="B5495" s="4" t="s">
        <v>33</v>
      </c>
      <c r="C5495" s="4" t="s">
        <v>55</v>
      </c>
      <c r="D5495" s="4" t="s">
        <v>10911</v>
      </c>
      <c r="E5495" s="4">
        <v>1718907</v>
      </c>
      <c r="F5495" s="4" t="s">
        <v>10912</v>
      </c>
      <c r="G5495" s="4" t="s">
        <v>215</v>
      </c>
      <c r="H5495" s="4"/>
    </row>
    <row r="5496" s="1" customFormat="1" spans="1:8">
      <c r="A5496" s="4" t="s">
        <v>205</v>
      </c>
      <c r="B5496" s="4" t="s">
        <v>33</v>
      </c>
      <c r="C5496" s="4" t="s">
        <v>55</v>
      </c>
      <c r="D5496" s="4" t="s">
        <v>10913</v>
      </c>
      <c r="E5496" s="4">
        <v>1719004</v>
      </c>
      <c r="F5496" s="4" t="s">
        <v>10914</v>
      </c>
      <c r="G5496" s="4" t="s">
        <v>215</v>
      </c>
      <c r="H5496" s="4"/>
    </row>
    <row r="5497" s="1" customFormat="1" spans="1:8">
      <c r="A5497" s="4" t="s">
        <v>205</v>
      </c>
      <c r="B5497" s="4" t="s">
        <v>33</v>
      </c>
      <c r="C5497" s="4" t="s">
        <v>55</v>
      </c>
      <c r="D5497" s="4" t="s">
        <v>10915</v>
      </c>
      <c r="E5497" s="4">
        <v>1720655</v>
      </c>
      <c r="F5497" s="4" t="s">
        <v>10916</v>
      </c>
      <c r="G5497" s="4" t="s">
        <v>215</v>
      </c>
      <c r="H5497" s="4"/>
    </row>
    <row r="5498" s="1" customFormat="1" spans="1:8">
      <c r="A5498" s="4" t="s">
        <v>205</v>
      </c>
      <c r="B5498" s="4" t="s">
        <v>33</v>
      </c>
      <c r="C5498" s="4" t="s">
        <v>55</v>
      </c>
      <c r="D5498" s="4" t="s">
        <v>10917</v>
      </c>
      <c r="E5498" s="4">
        <v>1708254</v>
      </c>
      <c r="F5498" s="4" t="s">
        <v>10918</v>
      </c>
      <c r="G5498" s="4" t="s">
        <v>215</v>
      </c>
      <c r="H5498" s="4"/>
    </row>
    <row r="5499" s="1" customFormat="1" spans="1:8">
      <c r="A5499" s="4" t="s">
        <v>205</v>
      </c>
      <c r="B5499" s="4" t="s">
        <v>33</v>
      </c>
      <c r="C5499" s="4" t="s">
        <v>55</v>
      </c>
      <c r="D5499" s="4" t="s">
        <v>10919</v>
      </c>
      <c r="E5499" s="4">
        <v>1721109</v>
      </c>
      <c r="F5499" s="4" t="s">
        <v>10920</v>
      </c>
      <c r="G5499" s="4" t="s">
        <v>215</v>
      </c>
      <c r="H5499" s="4"/>
    </row>
    <row r="5500" s="1" customFormat="1" spans="1:8">
      <c r="A5500" s="4" t="s">
        <v>205</v>
      </c>
      <c r="B5500" s="4" t="s">
        <v>33</v>
      </c>
      <c r="C5500" s="4" t="s">
        <v>55</v>
      </c>
      <c r="D5500" s="4" t="s">
        <v>10921</v>
      </c>
      <c r="E5500" s="4">
        <v>1721257</v>
      </c>
      <c r="F5500" s="4" t="s">
        <v>10922</v>
      </c>
      <c r="G5500" s="4" t="s">
        <v>215</v>
      </c>
      <c r="H5500" s="4"/>
    </row>
    <row r="5501" s="1" customFormat="1" spans="1:8">
      <c r="A5501" s="4" t="s">
        <v>205</v>
      </c>
      <c r="B5501" s="4" t="s">
        <v>33</v>
      </c>
      <c r="C5501" s="4" t="s">
        <v>55</v>
      </c>
      <c r="D5501" s="4" t="s">
        <v>10923</v>
      </c>
      <c r="E5501" s="4">
        <v>1700400</v>
      </c>
      <c r="F5501" s="4" t="s">
        <v>10924</v>
      </c>
      <c r="G5501" s="4" t="s">
        <v>232</v>
      </c>
      <c r="H5501" s="4"/>
    </row>
    <row r="5502" s="1" customFormat="1" spans="1:8">
      <c r="A5502" s="4" t="s">
        <v>205</v>
      </c>
      <c r="B5502" s="4" t="s">
        <v>33</v>
      </c>
      <c r="C5502" s="4" t="s">
        <v>55</v>
      </c>
      <c r="D5502" s="4" t="s">
        <v>7923</v>
      </c>
      <c r="E5502" s="4">
        <v>1700707</v>
      </c>
      <c r="F5502" s="4" t="s">
        <v>10925</v>
      </c>
      <c r="G5502" s="4" t="s">
        <v>232</v>
      </c>
      <c r="H5502" s="4"/>
    </row>
    <row r="5503" s="1" customFormat="1" spans="1:8">
      <c r="A5503" s="4" t="s">
        <v>205</v>
      </c>
      <c r="B5503" s="4" t="s">
        <v>33</v>
      </c>
      <c r="C5503" s="4" t="s">
        <v>55</v>
      </c>
      <c r="D5503" s="4" t="s">
        <v>10926</v>
      </c>
      <c r="E5503" s="4">
        <v>1701309</v>
      </c>
      <c r="F5503" s="4" t="s">
        <v>10927</v>
      </c>
      <c r="G5503" s="4" t="s">
        <v>232</v>
      </c>
      <c r="H5503" s="4"/>
    </row>
    <row r="5504" s="1" customFormat="1" spans="1:8">
      <c r="A5504" s="4" t="s">
        <v>205</v>
      </c>
      <c r="B5504" s="4" t="s">
        <v>33</v>
      </c>
      <c r="C5504" s="4" t="s">
        <v>55</v>
      </c>
      <c r="D5504" s="4" t="s">
        <v>10928</v>
      </c>
      <c r="E5504" s="4">
        <v>1701903</v>
      </c>
      <c r="F5504" s="4" t="s">
        <v>10929</v>
      </c>
      <c r="G5504" s="4" t="s">
        <v>232</v>
      </c>
      <c r="H5504" s="4"/>
    </row>
    <row r="5505" s="1" customFormat="1" spans="1:8">
      <c r="A5505" s="4" t="s">
        <v>205</v>
      </c>
      <c r="B5505" s="4" t="s">
        <v>33</v>
      </c>
      <c r="C5505" s="4" t="s">
        <v>55</v>
      </c>
      <c r="D5505" s="4" t="s">
        <v>2566</v>
      </c>
      <c r="E5505" s="4">
        <v>1702158</v>
      </c>
      <c r="F5505" s="4" t="s">
        <v>10930</v>
      </c>
      <c r="G5505" s="4" t="s">
        <v>232</v>
      </c>
      <c r="H5505" s="4"/>
    </row>
    <row r="5506" s="1" customFormat="1" spans="1:8">
      <c r="A5506" s="4" t="s">
        <v>205</v>
      </c>
      <c r="B5506" s="4" t="s">
        <v>33</v>
      </c>
      <c r="C5506" s="4" t="s">
        <v>55</v>
      </c>
      <c r="D5506" s="4" t="s">
        <v>10931</v>
      </c>
      <c r="E5506" s="4">
        <v>1702000</v>
      </c>
      <c r="F5506" s="4" t="s">
        <v>10932</v>
      </c>
      <c r="G5506" s="4" t="s">
        <v>232</v>
      </c>
      <c r="H5506" s="4"/>
    </row>
    <row r="5507" s="1" customFormat="1" spans="1:8">
      <c r="A5507" s="4" t="s">
        <v>205</v>
      </c>
      <c r="B5507" s="4" t="s">
        <v>33</v>
      </c>
      <c r="C5507" s="4" t="s">
        <v>55</v>
      </c>
      <c r="D5507" s="4" t="s">
        <v>10933</v>
      </c>
      <c r="E5507" s="4">
        <v>1702109</v>
      </c>
      <c r="F5507" s="4" t="s">
        <v>10934</v>
      </c>
      <c r="G5507" s="4" t="s">
        <v>232</v>
      </c>
      <c r="H5507" s="4"/>
    </row>
    <row r="5508" s="1" customFormat="1" spans="1:8">
      <c r="A5508" s="4" t="s">
        <v>205</v>
      </c>
      <c r="B5508" s="4" t="s">
        <v>33</v>
      </c>
      <c r="C5508" s="4" t="s">
        <v>55</v>
      </c>
      <c r="D5508" s="4" t="s">
        <v>10935</v>
      </c>
      <c r="E5508" s="4">
        <v>1702307</v>
      </c>
      <c r="F5508" s="4" t="s">
        <v>10936</v>
      </c>
      <c r="G5508" s="4" t="s">
        <v>232</v>
      </c>
      <c r="H5508" s="4"/>
    </row>
    <row r="5509" s="1" customFormat="1" spans="1:8">
      <c r="A5509" s="4" t="s">
        <v>205</v>
      </c>
      <c r="B5509" s="4" t="s">
        <v>33</v>
      </c>
      <c r="C5509" s="4" t="s">
        <v>55</v>
      </c>
      <c r="D5509" s="4" t="s">
        <v>10937</v>
      </c>
      <c r="E5509" s="4">
        <v>1702406</v>
      </c>
      <c r="F5509" s="4" t="s">
        <v>10938</v>
      </c>
      <c r="G5509" s="4" t="s">
        <v>232</v>
      </c>
      <c r="H5509" s="4"/>
    </row>
    <row r="5510" s="1" customFormat="1" spans="1:8">
      <c r="A5510" s="4" t="s">
        <v>205</v>
      </c>
      <c r="B5510" s="4" t="s">
        <v>33</v>
      </c>
      <c r="C5510" s="4" t="s">
        <v>55</v>
      </c>
      <c r="D5510" s="4" t="s">
        <v>10939</v>
      </c>
      <c r="E5510" s="4">
        <v>1703008</v>
      </c>
      <c r="F5510" s="4" t="s">
        <v>10940</v>
      </c>
      <c r="G5510" s="4" t="s">
        <v>232</v>
      </c>
      <c r="H5510" s="4"/>
    </row>
    <row r="5511" s="1" customFormat="1" spans="1:8">
      <c r="A5511" s="4" t="s">
        <v>205</v>
      </c>
      <c r="B5511" s="4" t="s">
        <v>33</v>
      </c>
      <c r="C5511" s="4" t="s">
        <v>55</v>
      </c>
      <c r="D5511" s="4" t="s">
        <v>10941</v>
      </c>
      <c r="E5511" s="4">
        <v>1703057</v>
      </c>
      <c r="F5511" s="4" t="s">
        <v>10942</v>
      </c>
      <c r="G5511" s="4" t="s">
        <v>232</v>
      </c>
      <c r="H5511" s="4"/>
    </row>
    <row r="5512" s="1" customFormat="1" spans="1:8">
      <c r="A5512" s="4" t="s">
        <v>205</v>
      </c>
      <c r="B5512" s="4" t="s">
        <v>33</v>
      </c>
      <c r="C5512" s="4" t="s">
        <v>55</v>
      </c>
      <c r="D5512" s="4" t="s">
        <v>10943</v>
      </c>
      <c r="E5512" s="4">
        <v>1703073</v>
      </c>
      <c r="F5512" s="4" t="s">
        <v>10944</v>
      </c>
      <c r="G5512" s="4" t="s">
        <v>232</v>
      </c>
      <c r="H5512" s="4"/>
    </row>
    <row r="5513" s="1" customFormat="1" spans="1:8">
      <c r="A5513" s="4" t="s">
        <v>205</v>
      </c>
      <c r="B5513" s="4" t="s">
        <v>33</v>
      </c>
      <c r="C5513" s="4" t="s">
        <v>55</v>
      </c>
      <c r="D5513" s="4" t="s">
        <v>10945</v>
      </c>
      <c r="E5513" s="4">
        <v>1703206</v>
      </c>
      <c r="F5513" s="4" t="s">
        <v>10946</v>
      </c>
      <c r="G5513" s="4" t="s">
        <v>232</v>
      </c>
      <c r="H5513" s="4"/>
    </row>
    <row r="5514" s="1" customFormat="1" spans="1:8">
      <c r="A5514" s="4" t="s">
        <v>205</v>
      </c>
      <c r="B5514" s="4" t="s">
        <v>33</v>
      </c>
      <c r="C5514" s="4" t="s">
        <v>55</v>
      </c>
      <c r="D5514" s="4" t="s">
        <v>10947</v>
      </c>
      <c r="E5514" s="4">
        <v>1703602</v>
      </c>
      <c r="F5514" s="4" t="s">
        <v>10948</v>
      </c>
      <c r="G5514" s="4" t="s">
        <v>232</v>
      </c>
      <c r="H5514" s="4"/>
    </row>
    <row r="5515" s="1" customFormat="1" spans="1:8">
      <c r="A5515" s="4" t="s">
        <v>205</v>
      </c>
      <c r="B5515" s="4" t="s">
        <v>33</v>
      </c>
      <c r="C5515" s="4" t="s">
        <v>55</v>
      </c>
      <c r="D5515" s="4" t="s">
        <v>10949</v>
      </c>
      <c r="E5515" s="4">
        <v>1703867</v>
      </c>
      <c r="F5515" s="4" t="s">
        <v>10950</v>
      </c>
      <c r="G5515" s="4" t="s">
        <v>232</v>
      </c>
      <c r="H5515" s="4"/>
    </row>
    <row r="5516" s="1" customFormat="1" spans="1:8">
      <c r="A5516" s="4" t="s">
        <v>205</v>
      </c>
      <c r="B5516" s="4" t="s">
        <v>33</v>
      </c>
      <c r="C5516" s="4" t="s">
        <v>55</v>
      </c>
      <c r="D5516" s="4" t="s">
        <v>10951</v>
      </c>
      <c r="E5516" s="4">
        <v>1703883</v>
      </c>
      <c r="F5516" s="4" t="s">
        <v>10952</v>
      </c>
      <c r="G5516" s="4" t="s">
        <v>232</v>
      </c>
      <c r="H5516" s="4"/>
    </row>
    <row r="5517" s="1" customFormat="1" spans="1:8">
      <c r="A5517" s="4" t="s">
        <v>205</v>
      </c>
      <c r="B5517" s="4" t="s">
        <v>33</v>
      </c>
      <c r="C5517" s="4" t="s">
        <v>55</v>
      </c>
      <c r="D5517" s="4" t="s">
        <v>10953</v>
      </c>
      <c r="E5517" s="4">
        <v>1703909</v>
      </c>
      <c r="F5517" s="4" t="s">
        <v>10954</v>
      </c>
      <c r="G5517" s="4" t="s">
        <v>232</v>
      </c>
      <c r="H5517" s="4"/>
    </row>
    <row r="5518" s="1" customFormat="1" spans="1:8">
      <c r="A5518" s="4" t="s">
        <v>205</v>
      </c>
      <c r="B5518" s="4" t="s">
        <v>33</v>
      </c>
      <c r="C5518" s="4" t="s">
        <v>55</v>
      </c>
      <c r="D5518" s="4" t="s">
        <v>8398</v>
      </c>
      <c r="E5518" s="4">
        <v>1704105</v>
      </c>
      <c r="F5518" s="4" t="s">
        <v>10955</v>
      </c>
      <c r="G5518" s="4" t="s">
        <v>232</v>
      </c>
      <c r="H5518" s="4"/>
    </row>
    <row r="5519" s="1" customFormat="1" spans="1:8">
      <c r="A5519" s="4" t="s">
        <v>205</v>
      </c>
      <c r="B5519" s="4" t="s">
        <v>33</v>
      </c>
      <c r="C5519" s="4" t="s">
        <v>55</v>
      </c>
      <c r="D5519" s="4" t="s">
        <v>10956</v>
      </c>
      <c r="E5519" s="4">
        <v>1705508</v>
      </c>
      <c r="F5519" s="4" t="s">
        <v>10957</v>
      </c>
      <c r="G5519" s="4" t="s">
        <v>232</v>
      </c>
      <c r="H5519" s="4"/>
    </row>
    <row r="5520" s="1" customFormat="1" spans="1:8">
      <c r="A5520" s="4" t="s">
        <v>205</v>
      </c>
      <c r="B5520" s="4" t="s">
        <v>33</v>
      </c>
      <c r="C5520" s="4" t="s">
        <v>55</v>
      </c>
      <c r="D5520" s="4" t="s">
        <v>10958</v>
      </c>
      <c r="E5520" s="4">
        <v>1705607</v>
      </c>
      <c r="F5520" s="4" t="s">
        <v>10959</v>
      </c>
      <c r="G5520" s="4" t="s">
        <v>232</v>
      </c>
      <c r="H5520" s="4"/>
    </row>
    <row r="5521" s="1" customFormat="1" spans="1:8">
      <c r="A5521" s="4" t="s">
        <v>205</v>
      </c>
      <c r="B5521" s="4" t="s">
        <v>33</v>
      </c>
      <c r="C5521" s="4" t="s">
        <v>55</v>
      </c>
      <c r="D5521" s="4" t="s">
        <v>10960</v>
      </c>
      <c r="E5521" s="4">
        <v>1706001</v>
      </c>
      <c r="F5521" s="4" t="s">
        <v>10961</v>
      </c>
      <c r="G5521" s="4" t="s">
        <v>232</v>
      </c>
      <c r="H5521" s="4"/>
    </row>
    <row r="5522" s="1" customFormat="1" spans="1:8">
      <c r="A5522" s="4" t="s">
        <v>205</v>
      </c>
      <c r="B5522" s="4" t="s">
        <v>33</v>
      </c>
      <c r="C5522" s="4" t="s">
        <v>55</v>
      </c>
      <c r="D5522" s="4" t="s">
        <v>10962</v>
      </c>
      <c r="E5522" s="4">
        <v>1706506</v>
      </c>
      <c r="F5522" s="4" t="s">
        <v>10963</v>
      </c>
      <c r="G5522" s="4" t="s">
        <v>232</v>
      </c>
      <c r="H5522" s="4"/>
    </row>
    <row r="5523" s="1" customFormat="1" spans="1:8">
      <c r="A5523" s="4" t="s">
        <v>205</v>
      </c>
      <c r="B5523" s="4" t="s">
        <v>33</v>
      </c>
      <c r="C5523" s="4" t="s">
        <v>55</v>
      </c>
      <c r="D5523" s="4" t="s">
        <v>10964</v>
      </c>
      <c r="E5523" s="4">
        <v>1707009</v>
      </c>
      <c r="F5523" s="4" t="s">
        <v>10965</v>
      </c>
      <c r="G5523" s="4" t="s">
        <v>232</v>
      </c>
      <c r="H5523" s="4"/>
    </row>
    <row r="5524" s="1" customFormat="1" spans="1:8">
      <c r="A5524" s="4" t="s">
        <v>205</v>
      </c>
      <c r="B5524" s="4" t="s">
        <v>33</v>
      </c>
      <c r="C5524" s="4" t="s">
        <v>55</v>
      </c>
      <c r="D5524" s="4" t="s">
        <v>10966</v>
      </c>
      <c r="E5524" s="4">
        <v>1707306</v>
      </c>
      <c r="F5524" s="4" t="s">
        <v>10967</v>
      </c>
      <c r="G5524" s="4" t="s">
        <v>232</v>
      </c>
      <c r="H5524" s="4"/>
    </row>
    <row r="5525" s="1" customFormat="1" spans="1:8">
      <c r="A5525" s="4" t="s">
        <v>205</v>
      </c>
      <c r="B5525" s="4" t="s">
        <v>33</v>
      </c>
      <c r="C5525" s="4" t="s">
        <v>55</v>
      </c>
      <c r="D5525" s="4" t="s">
        <v>10968</v>
      </c>
      <c r="E5525" s="4">
        <v>1707652</v>
      </c>
      <c r="F5525" s="4" t="s">
        <v>10969</v>
      </c>
      <c r="G5525" s="4" t="s">
        <v>232</v>
      </c>
      <c r="H5525" s="4"/>
    </row>
    <row r="5526" s="1" customFormat="1" spans="1:8">
      <c r="A5526" s="4" t="s">
        <v>205</v>
      </c>
      <c r="B5526" s="4" t="s">
        <v>33</v>
      </c>
      <c r="C5526" s="4" t="s">
        <v>55</v>
      </c>
      <c r="D5526" s="4" t="s">
        <v>1007</v>
      </c>
      <c r="E5526" s="4">
        <v>1707702</v>
      </c>
      <c r="F5526" s="4" t="s">
        <v>10970</v>
      </c>
      <c r="G5526" s="4" t="s">
        <v>232</v>
      </c>
      <c r="H5526" s="4"/>
    </row>
    <row r="5527" s="1" customFormat="1" spans="1:8">
      <c r="A5527" s="4" t="s">
        <v>205</v>
      </c>
      <c r="B5527" s="4" t="s">
        <v>33</v>
      </c>
      <c r="C5527" s="4" t="s">
        <v>55</v>
      </c>
      <c r="D5527" s="4" t="s">
        <v>10971</v>
      </c>
      <c r="E5527" s="4">
        <v>1708205</v>
      </c>
      <c r="F5527" s="4" t="s">
        <v>10972</v>
      </c>
      <c r="G5527" s="4" t="s">
        <v>232</v>
      </c>
      <c r="H5527" s="4"/>
    </row>
    <row r="5528" s="1" customFormat="1" spans="1:8">
      <c r="A5528" s="4" t="s">
        <v>205</v>
      </c>
      <c r="B5528" s="4" t="s">
        <v>33</v>
      </c>
      <c r="C5528" s="4" t="s">
        <v>55</v>
      </c>
      <c r="D5528" s="4" t="s">
        <v>10973</v>
      </c>
      <c r="E5528" s="4">
        <v>1708304</v>
      </c>
      <c r="F5528" s="4" t="s">
        <v>10974</v>
      </c>
      <c r="G5528" s="4" t="s">
        <v>232</v>
      </c>
      <c r="H5528" s="4"/>
    </row>
    <row r="5529" s="1" customFormat="1" spans="1:8">
      <c r="A5529" s="4" t="s">
        <v>205</v>
      </c>
      <c r="B5529" s="4" t="s">
        <v>33</v>
      </c>
      <c r="C5529" s="4" t="s">
        <v>55</v>
      </c>
      <c r="D5529" s="4" t="s">
        <v>10975</v>
      </c>
      <c r="E5529" s="4">
        <v>1709005</v>
      </c>
      <c r="F5529" s="4" t="s">
        <v>10976</v>
      </c>
      <c r="G5529" s="4" t="s">
        <v>232</v>
      </c>
      <c r="H5529" s="4"/>
    </row>
    <row r="5530" s="1" customFormat="1" spans="1:8">
      <c r="A5530" s="4" t="s">
        <v>205</v>
      </c>
      <c r="B5530" s="4" t="s">
        <v>33</v>
      </c>
      <c r="C5530" s="4" t="s">
        <v>55</v>
      </c>
      <c r="D5530" s="4" t="s">
        <v>10977</v>
      </c>
      <c r="E5530" s="4">
        <v>1709500</v>
      </c>
      <c r="F5530" s="4" t="s">
        <v>10978</v>
      </c>
      <c r="G5530" s="4" t="s">
        <v>232</v>
      </c>
      <c r="H5530" s="4"/>
    </row>
    <row r="5531" s="1" customFormat="1" spans="1:8">
      <c r="A5531" s="4" t="s">
        <v>205</v>
      </c>
      <c r="B5531" s="4" t="s">
        <v>33</v>
      </c>
      <c r="C5531" s="4" t="s">
        <v>55</v>
      </c>
      <c r="D5531" s="4" t="s">
        <v>10979</v>
      </c>
      <c r="E5531" s="4">
        <v>1710508</v>
      </c>
      <c r="F5531" s="4" t="s">
        <v>10980</v>
      </c>
      <c r="G5531" s="4" t="s">
        <v>232</v>
      </c>
      <c r="H5531" s="4"/>
    </row>
    <row r="5532" s="1" customFormat="1" spans="1:8">
      <c r="A5532" s="4" t="s">
        <v>205</v>
      </c>
      <c r="B5532" s="4" t="s">
        <v>33</v>
      </c>
      <c r="C5532" s="4" t="s">
        <v>55</v>
      </c>
      <c r="D5532" s="4" t="s">
        <v>10981</v>
      </c>
      <c r="E5532" s="4">
        <v>1710904</v>
      </c>
      <c r="F5532" s="4" t="s">
        <v>10982</v>
      </c>
      <c r="G5532" s="4" t="s">
        <v>232</v>
      </c>
      <c r="H5532" s="4"/>
    </row>
    <row r="5533" s="1" customFormat="1" spans="1:8">
      <c r="A5533" s="4" t="s">
        <v>205</v>
      </c>
      <c r="B5533" s="4" t="s">
        <v>33</v>
      </c>
      <c r="C5533" s="4" t="s">
        <v>55</v>
      </c>
      <c r="D5533" s="4" t="s">
        <v>10983</v>
      </c>
      <c r="E5533" s="4">
        <v>1711100</v>
      </c>
      <c r="F5533" s="4" t="s">
        <v>10984</v>
      </c>
      <c r="G5533" s="4" t="s">
        <v>232</v>
      </c>
      <c r="H5533" s="4"/>
    </row>
    <row r="5534" s="1" customFormat="1" spans="1:8">
      <c r="A5534" s="4" t="s">
        <v>205</v>
      </c>
      <c r="B5534" s="4" t="s">
        <v>33</v>
      </c>
      <c r="C5534" s="4" t="s">
        <v>55</v>
      </c>
      <c r="D5534" s="4" t="s">
        <v>10985</v>
      </c>
      <c r="E5534" s="4">
        <v>1711506</v>
      </c>
      <c r="F5534" s="4" t="s">
        <v>10986</v>
      </c>
      <c r="G5534" s="4" t="s">
        <v>232</v>
      </c>
      <c r="H5534" s="4"/>
    </row>
    <row r="5535" s="1" customFormat="1" spans="1:8">
      <c r="A5535" s="4" t="s">
        <v>205</v>
      </c>
      <c r="B5535" s="4" t="s">
        <v>33</v>
      </c>
      <c r="C5535" s="4" t="s">
        <v>55</v>
      </c>
      <c r="D5535" s="4" t="s">
        <v>10987</v>
      </c>
      <c r="E5535" s="4">
        <v>1711803</v>
      </c>
      <c r="F5535" s="4" t="s">
        <v>10988</v>
      </c>
      <c r="G5535" s="4" t="s">
        <v>232</v>
      </c>
      <c r="H5535" s="4"/>
    </row>
    <row r="5536" s="1" customFormat="1" spans="1:8">
      <c r="A5536" s="4" t="s">
        <v>205</v>
      </c>
      <c r="B5536" s="4" t="s">
        <v>33</v>
      </c>
      <c r="C5536" s="4" t="s">
        <v>55</v>
      </c>
      <c r="D5536" s="4" t="s">
        <v>10989</v>
      </c>
      <c r="E5536" s="4">
        <v>1712405</v>
      </c>
      <c r="F5536" s="4" t="s">
        <v>10990</v>
      </c>
      <c r="G5536" s="4" t="s">
        <v>232</v>
      </c>
      <c r="H5536" s="4"/>
    </row>
    <row r="5537" s="1" customFormat="1" spans="1:8">
      <c r="A5537" s="4" t="s">
        <v>205</v>
      </c>
      <c r="B5537" s="4" t="s">
        <v>33</v>
      </c>
      <c r="C5537" s="4" t="s">
        <v>55</v>
      </c>
      <c r="D5537" s="4" t="s">
        <v>10991</v>
      </c>
      <c r="E5537" s="4">
        <v>1712702</v>
      </c>
      <c r="F5537" s="4" t="s">
        <v>10992</v>
      </c>
      <c r="G5537" s="4" t="s">
        <v>232</v>
      </c>
      <c r="H5537" s="4"/>
    </row>
    <row r="5538" s="1" customFormat="1" spans="1:8">
      <c r="A5538" s="4" t="s">
        <v>205</v>
      </c>
      <c r="B5538" s="4" t="s">
        <v>33</v>
      </c>
      <c r="C5538" s="4" t="s">
        <v>55</v>
      </c>
      <c r="D5538" s="4" t="s">
        <v>10993</v>
      </c>
      <c r="E5538" s="4">
        <v>1713957</v>
      </c>
      <c r="F5538" s="4" t="s">
        <v>10994</v>
      </c>
      <c r="G5538" s="4" t="s">
        <v>232</v>
      </c>
      <c r="H5538" s="4"/>
    </row>
    <row r="5539" s="1" customFormat="1" spans="1:8">
      <c r="A5539" s="4" t="s">
        <v>205</v>
      </c>
      <c r="B5539" s="4" t="s">
        <v>33</v>
      </c>
      <c r="C5539" s="4" t="s">
        <v>55</v>
      </c>
      <c r="D5539" s="4" t="s">
        <v>1786</v>
      </c>
      <c r="E5539" s="4">
        <v>1714880</v>
      </c>
      <c r="F5539" s="4" t="s">
        <v>10995</v>
      </c>
      <c r="G5539" s="4" t="s">
        <v>232</v>
      </c>
      <c r="H5539" s="4"/>
    </row>
    <row r="5540" s="1" customFormat="1" spans="1:8">
      <c r="A5540" s="4" t="s">
        <v>205</v>
      </c>
      <c r="B5540" s="4" t="s">
        <v>33</v>
      </c>
      <c r="C5540" s="4" t="s">
        <v>55</v>
      </c>
      <c r="D5540" s="4" t="s">
        <v>10996</v>
      </c>
      <c r="E5540" s="4">
        <v>1715150</v>
      </c>
      <c r="F5540" s="4" t="s">
        <v>10997</v>
      </c>
      <c r="G5540" s="4" t="s">
        <v>232</v>
      </c>
      <c r="H5540" s="4"/>
    </row>
    <row r="5541" s="1" customFormat="1" spans="1:8">
      <c r="A5541" s="4" t="s">
        <v>205</v>
      </c>
      <c r="B5541" s="4" t="s">
        <v>33</v>
      </c>
      <c r="C5541" s="4" t="s">
        <v>55</v>
      </c>
      <c r="D5541" s="4" t="s">
        <v>10998</v>
      </c>
      <c r="E5541" s="4">
        <v>1715259</v>
      </c>
      <c r="F5541" s="4" t="s">
        <v>10999</v>
      </c>
      <c r="G5541" s="4" t="s">
        <v>232</v>
      </c>
      <c r="H5541" s="4"/>
    </row>
    <row r="5542" s="1" customFormat="1" spans="1:8">
      <c r="A5542" s="4" t="s">
        <v>205</v>
      </c>
      <c r="B5542" s="4" t="s">
        <v>33</v>
      </c>
      <c r="C5542" s="4" t="s">
        <v>55</v>
      </c>
      <c r="D5542" s="4" t="s">
        <v>11000</v>
      </c>
      <c r="E5542" s="4">
        <v>1715705</v>
      </c>
      <c r="F5542" s="4" t="s">
        <v>11001</v>
      </c>
      <c r="G5542" s="4" t="s">
        <v>232</v>
      </c>
      <c r="H5542" s="4"/>
    </row>
    <row r="5543" s="1" customFormat="1" spans="1:8">
      <c r="A5543" s="4" t="s">
        <v>205</v>
      </c>
      <c r="B5543" s="4" t="s">
        <v>33</v>
      </c>
      <c r="C5543" s="4" t="s">
        <v>55</v>
      </c>
      <c r="D5543" s="4" t="s">
        <v>11002</v>
      </c>
      <c r="E5543" s="4">
        <v>1715754</v>
      </c>
      <c r="F5543" s="4" t="s">
        <v>11003</v>
      </c>
      <c r="G5543" s="4" t="s">
        <v>232</v>
      </c>
      <c r="H5543" s="4"/>
    </row>
    <row r="5544" s="1" customFormat="1" spans="1:8">
      <c r="A5544" s="4" t="s">
        <v>205</v>
      </c>
      <c r="B5544" s="4" t="s">
        <v>33</v>
      </c>
      <c r="C5544" s="4" t="s">
        <v>55</v>
      </c>
      <c r="D5544" s="4" t="s">
        <v>11004</v>
      </c>
      <c r="E5544" s="4">
        <v>1716208</v>
      </c>
      <c r="F5544" s="4" t="s">
        <v>11005</v>
      </c>
      <c r="G5544" s="4" t="s">
        <v>232</v>
      </c>
      <c r="H5544" s="4"/>
    </row>
    <row r="5545" s="1" customFormat="1" spans="1:8">
      <c r="A5545" s="4" t="s">
        <v>205</v>
      </c>
      <c r="B5545" s="4" t="s">
        <v>33</v>
      </c>
      <c r="C5545" s="4" t="s">
        <v>55</v>
      </c>
      <c r="D5545" s="4" t="s">
        <v>5303</v>
      </c>
      <c r="E5545" s="4">
        <v>1716307</v>
      </c>
      <c r="F5545" s="4" t="s">
        <v>11006</v>
      </c>
      <c r="G5545" s="4" t="s">
        <v>232</v>
      </c>
      <c r="H5545" s="4"/>
    </row>
    <row r="5546" s="1" customFormat="1" spans="1:8">
      <c r="A5546" s="4" t="s">
        <v>205</v>
      </c>
      <c r="B5546" s="4" t="s">
        <v>33</v>
      </c>
      <c r="C5546" s="4" t="s">
        <v>55</v>
      </c>
      <c r="D5546" s="4" t="s">
        <v>11007</v>
      </c>
      <c r="E5546" s="4">
        <v>1716604</v>
      </c>
      <c r="F5546" s="4" t="s">
        <v>11008</v>
      </c>
      <c r="G5546" s="4" t="s">
        <v>232</v>
      </c>
      <c r="H5546" s="4"/>
    </row>
    <row r="5547" s="1" customFormat="1" spans="1:8">
      <c r="A5547" s="4" t="s">
        <v>205</v>
      </c>
      <c r="B5547" s="4" t="s">
        <v>33</v>
      </c>
      <c r="C5547" s="4" t="s">
        <v>55</v>
      </c>
      <c r="D5547" s="4" t="s">
        <v>11009</v>
      </c>
      <c r="E5547" s="4">
        <v>1716653</v>
      </c>
      <c r="F5547" s="4" t="s">
        <v>11010</v>
      </c>
      <c r="G5547" s="4" t="s">
        <v>232</v>
      </c>
      <c r="H5547" s="4"/>
    </row>
    <row r="5548" s="1" customFormat="1" spans="1:8">
      <c r="A5548" s="4" t="s">
        <v>205</v>
      </c>
      <c r="B5548" s="4" t="s">
        <v>33</v>
      </c>
      <c r="C5548" s="4" t="s">
        <v>55</v>
      </c>
      <c r="D5548" s="4" t="s">
        <v>11011</v>
      </c>
      <c r="E5548" s="4">
        <v>1717206</v>
      </c>
      <c r="F5548" s="4" t="s">
        <v>11012</v>
      </c>
      <c r="G5548" s="4" t="s">
        <v>232</v>
      </c>
      <c r="H5548" s="4"/>
    </row>
    <row r="5549" s="1" customFormat="1" spans="1:8">
      <c r="A5549" s="4" t="s">
        <v>205</v>
      </c>
      <c r="B5549" s="4" t="s">
        <v>33</v>
      </c>
      <c r="C5549" s="4" t="s">
        <v>55</v>
      </c>
      <c r="D5549" s="4" t="s">
        <v>11013</v>
      </c>
      <c r="E5549" s="4">
        <v>1717800</v>
      </c>
      <c r="F5549" s="4" t="s">
        <v>11014</v>
      </c>
      <c r="G5549" s="4" t="s">
        <v>232</v>
      </c>
      <c r="H5549" s="4"/>
    </row>
    <row r="5550" s="1" customFormat="1" spans="1:8">
      <c r="A5550" s="4" t="s">
        <v>205</v>
      </c>
      <c r="B5550" s="4" t="s">
        <v>33</v>
      </c>
      <c r="C5550" s="4" t="s">
        <v>55</v>
      </c>
      <c r="D5550" s="4" t="s">
        <v>11015</v>
      </c>
      <c r="E5550" s="4">
        <v>1718006</v>
      </c>
      <c r="F5550" s="4" t="s">
        <v>11016</v>
      </c>
      <c r="G5550" s="4" t="s">
        <v>232</v>
      </c>
      <c r="H5550" s="4"/>
    </row>
    <row r="5551" s="1" customFormat="1" spans="1:8">
      <c r="A5551" s="4" t="s">
        <v>205</v>
      </c>
      <c r="B5551" s="4" t="s">
        <v>33</v>
      </c>
      <c r="C5551" s="4" t="s">
        <v>55</v>
      </c>
      <c r="D5551" s="4" t="s">
        <v>11017</v>
      </c>
      <c r="E5551" s="4">
        <v>1718501</v>
      </c>
      <c r="F5551" s="4" t="s">
        <v>11018</v>
      </c>
      <c r="G5551" s="4" t="s">
        <v>232</v>
      </c>
      <c r="H5551" s="4"/>
    </row>
    <row r="5552" s="1" customFormat="1" spans="1:8">
      <c r="A5552" s="4" t="s">
        <v>205</v>
      </c>
      <c r="B5552" s="4" t="s">
        <v>33</v>
      </c>
      <c r="C5552" s="4" t="s">
        <v>55</v>
      </c>
      <c r="D5552" s="4" t="s">
        <v>11019</v>
      </c>
      <c r="E5552" s="4">
        <v>1718659</v>
      </c>
      <c r="F5552" s="4" t="s">
        <v>11020</v>
      </c>
      <c r="G5552" s="4" t="s">
        <v>232</v>
      </c>
      <c r="H5552" s="4"/>
    </row>
    <row r="5553" s="1" customFormat="1" spans="1:8">
      <c r="A5553" s="4" t="s">
        <v>205</v>
      </c>
      <c r="B5553" s="4" t="s">
        <v>33</v>
      </c>
      <c r="C5553" s="4" t="s">
        <v>55</v>
      </c>
      <c r="D5553" s="4" t="s">
        <v>11021</v>
      </c>
      <c r="E5553" s="4">
        <v>1718840</v>
      </c>
      <c r="F5553" s="4" t="s">
        <v>11022</v>
      </c>
      <c r="G5553" s="4" t="s">
        <v>232</v>
      </c>
      <c r="H5553" s="4"/>
    </row>
    <row r="5554" s="1" customFormat="1" spans="1:8">
      <c r="A5554" s="4" t="s">
        <v>205</v>
      </c>
      <c r="B5554" s="4" t="s">
        <v>33</v>
      </c>
      <c r="C5554" s="4" t="s">
        <v>55</v>
      </c>
      <c r="D5554" s="4" t="s">
        <v>11023</v>
      </c>
      <c r="E5554" s="4">
        <v>1718865</v>
      </c>
      <c r="F5554" s="4" t="s">
        <v>11024</v>
      </c>
      <c r="G5554" s="4" t="s">
        <v>232</v>
      </c>
      <c r="H5554" s="4"/>
    </row>
    <row r="5555" s="1" customFormat="1" spans="1:8">
      <c r="A5555" s="4" t="s">
        <v>205</v>
      </c>
      <c r="B5555" s="4" t="s">
        <v>33</v>
      </c>
      <c r="C5555" s="4" t="s">
        <v>55</v>
      </c>
      <c r="D5555" s="4" t="s">
        <v>11025</v>
      </c>
      <c r="E5555" s="4">
        <v>1720853</v>
      </c>
      <c r="F5555" s="4" t="s">
        <v>11026</v>
      </c>
      <c r="G5555" s="4" t="s">
        <v>232</v>
      </c>
      <c r="H5555" s="4"/>
    </row>
    <row r="5556" s="1" customFormat="1" spans="1:8">
      <c r="A5556" s="4" t="s">
        <v>205</v>
      </c>
      <c r="B5556" s="4" t="s">
        <v>33</v>
      </c>
      <c r="C5556" s="4" t="s">
        <v>55</v>
      </c>
      <c r="D5556" s="4" t="s">
        <v>11027</v>
      </c>
      <c r="E5556" s="4">
        <v>1720150</v>
      </c>
      <c r="F5556" s="4" t="s">
        <v>11028</v>
      </c>
      <c r="G5556" s="4" t="s">
        <v>232</v>
      </c>
      <c r="H5556" s="4"/>
    </row>
    <row r="5557" s="1" customFormat="1" spans="1:8">
      <c r="A5557" s="4" t="s">
        <v>205</v>
      </c>
      <c r="B5557" s="4" t="s">
        <v>33</v>
      </c>
      <c r="C5557" s="4" t="s">
        <v>55</v>
      </c>
      <c r="D5557" s="4" t="s">
        <v>11029</v>
      </c>
      <c r="E5557" s="4">
        <v>1720259</v>
      </c>
      <c r="F5557" s="4" t="s">
        <v>11030</v>
      </c>
      <c r="G5557" s="4" t="s">
        <v>232</v>
      </c>
      <c r="H5557" s="4"/>
    </row>
    <row r="5558" s="1" customFormat="1" spans="1:8">
      <c r="A5558" s="4" t="s">
        <v>205</v>
      </c>
      <c r="B5558" s="4" t="s">
        <v>33</v>
      </c>
      <c r="C5558" s="4" t="s">
        <v>55</v>
      </c>
      <c r="D5558" s="4" t="s">
        <v>11031</v>
      </c>
      <c r="E5558" s="4">
        <v>1720499</v>
      </c>
      <c r="F5558" s="4" t="s">
        <v>11032</v>
      </c>
      <c r="G5558" s="4" t="s">
        <v>232</v>
      </c>
      <c r="H5558" s="4"/>
    </row>
    <row r="5559" s="1" customFormat="1" spans="1:8">
      <c r="A5559" s="4" t="s">
        <v>205</v>
      </c>
      <c r="B5559" s="4" t="s">
        <v>33</v>
      </c>
      <c r="C5559" s="4" t="s">
        <v>55</v>
      </c>
      <c r="D5559" s="4" t="s">
        <v>1844</v>
      </c>
      <c r="E5559" s="4">
        <v>1720903</v>
      </c>
      <c r="F5559" s="4" t="s">
        <v>11033</v>
      </c>
      <c r="G5559" s="4" t="s">
        <v>232</v>
      </c>
      <c r="H5559" s="4"/>
    </row>
    <row r="5560" s="1" customFormat="1" spans="1:8">
      <c r="A5560" s="4" t="s">
        <v>205</v>
      </c>
      <c r="B5560" s="4" t="s">
        <v>33</v>
      </c>
      <c r="C5560" s="4" t="s">
        <v>55</v>
      </c>
      <c r="D5560" s="4" t="s">
        <v>11034</v>
      </c>
      <c r="E5560" s="4">
        <v>1720937</v>
      </c>
      <c r="F5560" s="4" t="s">
        <v>11035</v>
      </c>
      <c r="G5560" s="4" t="s">
        <v>232</v>
      </c>
      <c r="H5560" s="4"/>
    </row>
    <row r="5561" s="1" customFormat="1" spans="1:8">
      <c r="A5561" s="4" t="s">
        <v>205</v>
      </c>
      <c r="B5561" s="4" t="s">
        <v>33</v>
      </c>
      <c r="C5561" s="4" t="s">
        <v>55</v>
      </c>
      <c r="D5561" s="4" t="s">
        <v>11036</v>
      </c>
      <c r="E5561" s="4">
        <v>1720978</v>
      </c>
      <c r="F5561" s="4" t="s">
        <v>11037</v>
      </c>
      <c r="G5561" s="4" t="s">
        <v>232</v>
      </c>
      <c r="H5561" s="4"/>
    </row>
    <row r="5562" s="1" customFormat="1" spans="1:8">
      <c r="A5562" s="4" t="s">
        <v>205</v>
      </c>
      <c r="B5562" s="4" t="s">
        <v>33</v>
      </c>
      <c r="C5562" s="4" t="s">
        <v>55</v>
      </c>
      <c r="D5562" s="4" t="s">
        <v>11038</v>
      </c>
      <c r="E5562" s="4">
        <v>1721307</v>
      </c>
      <c r="F5562" s="4" t="s">
        <v>11039</v>
      </c>
      <c r="G5562" s="4" t="s">
        <v>232</v>
      </c>
      <c r="H5562" s="4"/>
    </row>
    <row r="5563" s="1" customFormat="1" spans="1:8">
      <c r="A5563" s="4" t="s">
        <v>205</v>
      </c>
      <c r="B5563" s="4" t="s">
        <v>33</v>
      </c>
      <c r="C5563" s="4" t="s">
        <v>55</v>
      </c>
      <c r="D5563" s="4" t="s">
        <v>11040</v>
      </c>
      <c r="E5563" s="4">
        <v>1722081</v>
      </c>
      <c r="F5563" s="4" t="s">
        <v>11041</v>
      </c>
      <c r="G5563" s="4" t="s">
        <v>232</v>
      </c>
      <c r="H5563" s="4"/>
    </row>
    <row r="5564" s="1" customFormat="1" spans="1:8">
      <c r="A5564" s="4" t="s">
        <v>205</v>
      </c>
      <c r="B5564" s="4" t="s">
        <v>33</v>
      </c>
      <c r="C5564" s="4" t="s">
        <v>55</v>
      </c>
      <c r="D5564" s="4" t="s">
        <v>11042</v>
      </c>
      <c r="E5564" s="4">
        <v>1700301</v>
      </c>
      <c r="F5564" s="4" t="s">
        <v>11043</v>
      </c>
      <c r="G5564" s="4" t="s">
        <v>243</v>
      </c>
      <c r="H5564" s="4"/>
    </row>
    <row r="5565" s="1" customFormat="1" spans="1:8">
      <c r="A5565" s="4" t="s">
        <v>205</v>
      </c>
      <c r="B5565" s="4" t="s">
        <v>33</v>
      </c>
      <c r="C5565" s="4" t="s">
        <v>55</v>
      </c>
      <c r="D5565" s="4" t="s">
        <v>11044</v>
      </c>
      <c r="E5565" s="4">
        <v>1701002</v>
      </c>
      <c r="F5565" s="4" t="s">
        <v>11045</v>
      </c>
      <c r="G5565" s="4" t="s">
        <v>243</v>
      </c>
      <c r="H5565" s="4"/>
    </row>
    <row r="5566" s="1" customFormat="1" spans="1:8">
      <c r="A5566" s="4" t="s">
        <v>205</v>
      </c>
      <c r="B5566" s="4" t="s">
        <v>33</v>
      </c>
      <c r="C5566" s="4" t="s">
        <v>55</v>
      </c>
      <c r="D5566" s="4" t="s">
        <v>11046</v>
      </c>
      <c r="E5566" s="4">
        <v>1701051</v>
      </c>
      <c r="F5566" s="4" t="s">
        <v>11047</v>
      </c>
      <c r="G5566" s="4" t="s">
        <v>243</v>
      </c>
      <c r="H5566" s="4"/>
    </row>
    <row r="5567" s="1" customFormat="1" spans="1:8">
      <c r="A5567" s="4" t="s">
        <v>205</v>
      </c>
      <c r="B5567" s="4" t="s">
        <v>33</v>
      </c>
      <c r="C5567" s="4" t="s">
        <v>55</v>
      </c>
      <c r="D5567" s="4" t="s">
        <v>11048</v>
      </c>
      <c r="E5567" s="4">
        <v>1702208</v>
      </c>
      <c r="F5567" s="4" t="s">
        <v>11049</v>
      </c>
      <c r="G5567" s="4" t="s">
        <v>243</v>
      </c>
      <c r="H5567" s="4"/>
    </row>
    <row r="5568" s="1" customFormat="1" spans="1:8">
      <c r="A5568" s="4" t="s">
        <v>205</v>
      </c>
      <c r="B5568" s="4" t="s">
        <v>33</v>
      </c>
      <c r="C5568" s="4" t="s">
        <v>55</v>
      </c>
      <c r="D5568" s="4" t="s">
        <v>11050</v>
      </c>
      <c r="E5568" s="4">
        <v>1702554</v>
      </c>
      <c r="F5568" s="4" t="s">
        <v>11051</v>
      </c>
      <c r="G5568" s="4" t="s">
        <v>243</v>
      </c>
      <c r="H5568" s="4"/>
    </row>
    <row r="5569" s="1" customFormat="1" spans="1:8">
      <c r="A5569" s="4" t="s">
        <v>205</v>
      </c>
      <c r="B5569" s="4" t="s">
        <v>33</v>
      </c>
      <c r="C5569" s="4" t="s">
        <v>55</v>
      </c>
      <c r="D5569" s="4" t="s">
        <v>11052</v>
      </c>
      <c r="E5569" s="4">
        <v>1702703</v>
      </c>
      <c r="F5569" s="4" t="s">
        <v>11053</v>
      </c>
      <c r="G5569" s="4" t="s">
        <v>243</v>
      </c>
      <c r="H5569" s="4"/>
    </row>
    <row r="5570" s="1" customFormat="1" spans="1:8">
      <c r="A5570" s="4" t="s">
        <v>205</v>
      </c>
      <c r="B5570" s="4" t="s">
        <v>33</v>
      </c>
      <c r="C5570" s="4" t="s">
        <v>55</v>
      </c>
      <c r="D5570" s="4" t="s">
        <v>11054</v>
      </c>
      <c r="E5570" s="4">
        <v>1702901</v>
      </c>
      <c r="F5570" s="4" t="s">
        <v>11055</v>
      </c>
      <c r="G5570" s="4" t="s">
        <v>243</v>
      </c>
      <c r="H5570" s="4"/>
    </row>
    <row r="5571" s="1" customFormat="1" spans="1:8">
      <c r="A5571" s="4" t="s">
        <v>205</v>
      </c>
      <c r="B5571" s="4" t="s">
        <v>33</v>
      </c>
      <c r="C5571" s="4" t="s">
        <v>55</v>
      </c>
      <c r="D5571" s="4" t="s">
        <v>11056</v>
      </c>
      <c r="E5571" s="4">
        <v>1703800</v>
      </c>
      <c r="F5571" s="4" t="s">
        <v>11057</v>
      </c>
      <c r="G5571" s="4" t="s">
        <v>243</v>
      </c>
      <c r="H5571" s="4"/>
    </row>
    <row r="5572" s="1" customFormat="1" spans="1:8">
      <c r="A5572" s="4" t="s">
        <v>205</v>
      </c>
      <c r="B5572" s="4" t="s">
        <v>33</v>
      </c>
      <c r="C5572" s="4" t="s">
        <v>55</v>
      </c>
      <c r="D5572" s="4" t="s">
        <v>5803</v>
      </c>
      <c r="E5572" s="4">
        <v>1703826</v>
      </c>
      <c r="F5572" s="4" t="s">
        <v>11058</v>
      </c>
      <c r="G5572" s="4" t="s">
        <v>243</v>
      </c>
      <c r="H5572" s="4"/>
    </row>
    <row r="5573" s="1" customFormat="1" spans="1:8">
      <c r="A5573" s="4" t="s">
        <v>205</v>
      </c>
      <c r="B5573" s="4" t="s">
        <v>33</v>
      </c>
      <c r="C5573" s="4" t="s">
        <v>55</v>
      </c>
      <c r="D5573" s="4" t="s">
        <v>11059</v>
      </c>
      <c r="E5573" s="4">
        <v>1703842</v>
      </c>
      <c r="F5573" s="4" t="s">
        <v>11060</v>
      </c>
      <c r="G5573" s="4" t="s">
        <v>243</v>
      </c>
      <c r="H5573" s="4"/>
    </row>
    <row r="5574" s="1" customFormat="1" spans="1:8">
      <c r="A5574" s="4" t="s">
        <v>205</v>
      </c>
      <c r="B5574" s="4" t="s">
        <v>33</v>
      </c>
      <c r="C5574" s="4" t="s">
        <v>55</v>
      </c>
      <c r="D5574" s="4" t="s">
        <v>11061</v>
      </c>
      <c r="E5574" s="4">
        <v>1703891</v>
      </c>
      <c r="F5574" s="4" t="s">
        <v>11062</v>
      </c>
      <c r="G5574" s="4" t="s">
        <v>243</v>
      </c>
      <c r="H5574" s="4"/>
    </row>
    <row r="5575" s="1" customFormat="1" spans="1:8">
      <c r="A5575" s="4" t="s">
        <v>205</v>
      </c>
      <c r="B5575" s="4" t="s">
        <v>33</v>
      </c>
      <c r="C5575" s="4" t="s">
        <v>55</v>
      </c>
      <c r="D5575" s="4" t="s">
        <v>11063</v>
      </c>
      <c r="E5575" s="4">
        <v>1705557</v>
      </c>
      <c r="F5575" s="4" t="s">
        <v>11064</v>
      </c>
      <c r="G5575" s="4" t="s">
        <v>243</v>
      </c>
      <c r="H5575" s="4"/>
    </row>
    <row r="5576" s="1" customFormat="1" spans="1:8">
      <c r="A5576" s="4" t="s">
        <v>205</v>
      </c>
      <c r="B5576" s="4" t="s">
        <v>33</v>
      </c>
      <c r="C5576" s="4" t="s">
        <v>55</v>
      </c>
      <c r="D5576" s="4" t="s">
        <v>6176</v>
      </c>
      <c r="E5576" s="4">
        <v>1707405</v>
      </c>
      <c r="F5576" s="4" t="s">
        <v>11065</v>
      </c>
      <c r="G5576" s="4" t="s">
        <v>243</v>
      </c>
      <c r="H5576" s="4"/>
    </row>
    <row r="5577" s="1" customFormat="1" spans="1:8">
      <c r="A5577" s="4" t="s">
        <v>205</v>
      </c>
      <c r="B5577" s="4" t="s">
        <v>33</v>
      </c>
      <c r="C5577" s="4" t="s">
        <v>55</v>
      </c>
      <c r="D5577" s="4" t="s">
        <v>11066</v>
      </c>
      <c r="E5577" s="4">
        <v>1710706</v>
      </c>
      <c r="F5577" s="4" t="s">
        <v>11067</v>
      </c>
      <c r="G5577" s="4" t="s">
        <v>243</v>
      </c>
      <c r="H5577" s="4"/>
    </row>
    <row r="5578" s="1" customFormat="1" spans="1:8">
      <c r="A5578" s="4" t="s">
        <v>205</v>
      </c>
      <c r="B5578" s="4" t="s">
        <v>33</v>
      </c>
      <c r="C5578" s="4" t="s">
        <v>55</v>
      </c>
      <c r="D5578" s="4" t="s">
        <v>11068</v>
      </c>
      <c r="E5578" s="4">
        <v>1712157</v>
      </c>
      <c r="F5578" s="4" t="s">
        <v>11069</v>
      </c>
      <c r="G5578" s="4" t="s">
        <v>243</v>
      </c>
      <c r="H5578" s="4"/>
    </row>
    <row r="5579" s="1" customFormat="1" spans="1:8">
      <c r="A5579" s="4" t="s">
        <v>205</v>
      </c>
      <c r="B5579" s="4" t="s">
        <v>33</v>
      </c>
      <c r="C5579" s="4" t="s">
        <v>55</v>
      </c>
      <c r="D5579" s="4" t="s">
        <v>11070</v>
      </c>
      <c r="E5579" s="4">
        <v>1712454</v>
      </c>
      <c r="F5579" s="4" t="s">
        <v>11071</v>
      </c>
      <c r="G5579" s="4" t="s">
        <v>243</v>
      </c>
      <c r="H5579" s="4"/>
    </row>
    <row r="5580" s="1" customFormat="1" spans="1:8">
      <c r="A5580" s="4" t="s">
        <v>205</v>
      </c>
      <c r="B5580" s="4" t="s">
        <v>33</v>
      </c>
      <c r="C5580" s="4" t="s">
        <v>55</v>
      </c>
      <c r="D5580" s="4" t="s">
        <v>11072</v>
      </c>
      <c r="E5580" s="4">
        <v>1712801</v>
      </c>
      <c r="F5580" s="4" t="s">
        <v>11073</v>
      </c>
      <c r="G5580" s="4" t="s">
        <v>243</v>
      </c>
      <c r="H5580" s="4"/>
    </row>
    <row r="5581" s="1" customFormat="1" spans="1:8">
      <c r="A5581" s="4" t="s">
        <v>205</v>
      </c>
      <c r="B5581" s="4" t="s">
        <v>33</v>
      </c>
      <c r="C5581" s="4" t="s">
        <v>55</v>
      </c>
      <c r="D5581" s="4" t="s">
        <v>775</v>
      </c>
      <c r="E5581" s="4">
        <v>1714302</v>
      </c>
      <c r="F5581" s="4" t="s">
        <v>11074</v>
      </c>
      <c r="G5581" s="4" t="s">
        <v>243</v>
      </c>
      <c r="H5581" s="4"/>
    </row>
    <row r="5582" s="1" customFormat="1" spans="1:8">
      <c r="A5582" s="4" t="s">
        <v>205</v>
      </c>
      <c r="B5582" s="4" t="s">
        <v>33</v>
      </c>
      <c r="C5582" s="4" t="s">
        <v>55</v>
      </c>
      <c r="D5582" s="4" t="s">
        <v>11075</v>
      </c>
      <c r="E5582" s="4">
        <v>1713809</v>
      </c>
      <c r="F5582" s="4" t="s">
        <v>11076</v>
      </c>
      <c r="G5582" s="4" t="s">
        <v>243</v>
      </c>
      <c r="H5582" s="4"/>
    </row>
    <row r="5583" s="1" customFormat="1" spans="1:8">
      <c r="A5583" s="4" t="s">
        <v>205</v>
      </c>
      <c r="B5583" s="4" t="s">
        <v>33</v>
      </c>
      <c r="C5583" s="4" t="s">
        <v>55</v>
      </c>
      <c r="D5583" s="4" t="s">
        <v>11077</v>
      </c>
      <c r="E5583" s="4">
        <v>1718303</v>
      </c>
      <c r="F5583" s="4" t="s">
        <v>11078</v>
      </c>
      <c r="G5583" s="4" t="s">
        <v>243</v>
      </c>
      <c r="H5583" s="4"/>
    </row>
    <row r="5584" s="1" customFormat="1" spans="1:8">
      <c r="A5584" s="4" t="s">
        <v>205</v>
      </c>
      <c r="B5584" s="4" t="s">
        <v>33</v>
      </c>
      <c r="C5584" s="4" t="s">
        <v>55</v>
      </c>
      <c r="D5584" s="4" t="s">
        <v>4550</v>
      </c>
      <c r="E5584" s="4">
        <v>1718550</v>
      </c>
      <c r="F5584" s="4" t="s">
        <v>11079</v>
      </c>
      <c r="G5584" s="4" t="s">
        <v>243</v>
      </c>
      <c r="H5584" s="4"/>
    </row>
    <row r="5585" s="1" customFormat="1" spans="1:8">
      <c r="A5585" s="4" t="s">
        <v>205</v>
      </c>
      <c r="B5585" s="4" t="s">
        <v>33</v>
      </c>
      <c r="C5585" s="4" t="s">
        <v>55</v>
      </c>
      <c r="D5585" s="4" t="s">
        <v>11080</v>
      </c>
      <c r="E5585" s="4">
        <v>1718808</v>
      </c>
      <c r="F5585" s="4" t="s">
        <v>11081</v>
      </c>
      <c r="G5585" s="4" t="s">
        <v>243</v>
      </c>
      <c r="H5585" s="4"/>
    </row>
    <row r="5586" s="1" customFormat="1" spans="1:8">
      <c r="A5586" s="4" t="s">
        <v>205</v>
      </c>
      <c r="B5586" s="4" t="s">
        <v>33</v>
      </c>
      <c r="C5586" s="4" t="s">
        <v>55</v>
      </c>
      <c r="D5586" s="4" t="s">
        <v>11082</v>
      </c>
      <c r="E5586" s="4">
        <v>1720002</v>
      </c>
      <c r="F5586" s="4" t="s">
        <v>11083</v>
      </c>
      <c r="G5586" s="4" t="s">
        <v>243</v>
      </c>
      <c r="H5586" s="4"/>
    </row>
    <row r="5587" s="1" customFormat="1" spans="1:8">
      <c r="A5587" s="4" t="s">
        <v>205</v>
      </c>
      <c r="B5587" s="4" t="s">
        <v>33</v>
      </c>
      <c r="C5587" s="4" t="s">
        <v>55</v>
      </c>
      <c r="D5587" s="4" t="s">
        <v>11084</v>
      </c>
      <c r="E5587" s="4">
        <v>1720101</v>
      </c>
      <c r="F5587" s="4" t="s">
        <v>11085</v>
      </c>
      <c r="G5587" s="4" t="s">
        <v>243</v>
      </c>
      <c r="H5587" s="4"/>
    </row>
    <row r="5588" s="1" customFormat="1" spans="1:8">
      <c r="A5588" s="4" t="s">
        <v>205</v>
      </c>
      <c r="B5588" s="4" t="s">
        <v>33</v>
      </c>
      <c r="C5588" s="4" t="s">
        <v>55</v>
      </c>
      <c r="D5588" s="4" t="s">
        <v>11086</v>
      </c>
      <c r="E5588" s="4">
        <v>1720200</v>
      </c>
      <c r="F5588" s="4" t="s">
        <v>11087</v>
      </c>
      <c r="G5588" s="4" t="s">
        <v>243</v>
      </c>
      <c r="H5588" s="4"/>
    </row>
    <row r="5589" s="1" customFormat="1" spans="1:8">
      <c r="A5589" s="4" t="s">
        <v>205</v>
      </c>
      <c r="B5589" s="4" t="s">
        <v>33</v>
      </c>
      <c r="C5589" s="4" t="s">
        <v>55</v>
      </c>
      <c r="D5589" s="4" t="s">
        <v>11088</v>
      </c>
      <c r="E5589" s="4">
        <v>1720309</v>
      </c>
      <c r="F5589" s="4" t="s">
        <v>11089</v>
      </c>
      <c r="G5589" s="4" t="s">
        <v>243</v>
      </c>
      <c r="H5589" s="4"/>
    </row>
    <row r="5590" s="1" customFormat="1" spans="1:8">
      <c r="A5590" s="4" t="s">
        <v>205</v>
      </c>
      <c r="B5590" s="4" t="s">
        <v>33</v>
      </c>
      <c r="C5590" s="4" t="s">
        <v>55</v>
      </c>
      <c r="D5590" s="4" t="s">
        <v>11090</v>
      </c>
      <c r="E5590" s="4">
        <v>1720804</v>
      </c>
      <c r="F5590" s="4" t="s">
        <v>11091</v>
      </c>
      <c r="G5590" s="4" t="s">
        <v>243</v>
      </c>
      <c r="H5590" s="4"/>
    </row>
    <row r="5591" s="1" customFormat="1" spans="1:8">
      <c r="A5591" s="4" t="s">
        <v>205</v>
      </c>
      <c r="B5591" s="4" t="s">
        <v>33</v>
      </c>
      <c r="C5591" s="4" t="s">
        <v>55</v>
      </c>
      <c r="D5591" s="4" t="s">
        <v>11092</v>
      </c>
      <c r="E5591" s="4">
        <v>1721208</v>
      </c>
      <c r="F5591" s="4" t="s">
        <v>11093</v>
      </c>
      <c r="G5591" s="4" t="s">
        <v>243</v>
      </c>
      <c r="H5591" s="4"/>
    </row>
    <row r="5592" s="1" customFormat="1" spans="1:8">
      <c r="A5592" s="4" t="s">
        <v>205</v>
      </c>
      <c r="B5592" s="4" t="s">
        <v>33</v>
      </c>
      <c r="C5592" s="4" t="s">
        <v>55</v>
      </c>
      <c r="D5592" s="4" t="s">
        <v>11094</v>
      </c>
      <c r="E5592" s="4">
        <v>1722107</v>
      </c>
      <c r="F5592" s="4" t="s">
        <v>11095</v>
      </c>
      <c r="G5592" s="4" t="s">
        <v>243</v>
      </c>
      <c r="H5592" s="4"/>
    </row>
  </sheetData>
  <autoFilter ref="A1:H5592">
    <extLst/>
  </autoFilter>
  <hyperlinks>
    <hyperlink ref="H1" location="'PROPOSTA RODO - CARGA ENTREGUE'!A1" display="VOLTA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PROPOSTA RODO - CARGA COLETADA </vt:lpstr>
      <vt:lpstr>RELAÇÃO DE MUNICÍPIO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todobrasil</dc:creator>
  <cp:lastModifiedBy>todobrasil</cp:lastModifiedBy>
  <dcterms:created xsi:type="dcterms:W3CDTF">2025-04-13T18:49:00Z</dcterms:created>
  <dcterms:modified xsi:type="dcterms:W3CDTF">2025-12-11T11:52:30Z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1046-11.1.0.11723</vt:lpwstr>
  </property>
</Properties>
</file>